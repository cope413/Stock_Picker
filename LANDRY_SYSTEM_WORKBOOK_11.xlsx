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Alan/Library/CloudStorage/Dropbox/1 Personal/Financial/1 AI Optimization/CLAUDE TRADING STRATEGY/"/>
    </mc:Choice>
  </mc:AlternateContent>
  <xr:revisionPtr revIDLastSave="0" documentId="8_{36F973C5-6D59-FF49-98BA-9C579C831AD1}" xr6:coauthVersionLast="47" xr6:coauthVersionMax="47" xr10:uidLastSave="{00000000-0000-0000-0000-000000000000}"/>
  <bookViews>
    <workbookView xWindow="0" yWindow="600" windowWidth="22680" windowHeight="13320" tabRatio="500"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Schema Reference"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2" i="16" l="1"/>
  <c r="O32" i="16"/>
  <c r="Q32" i="16" s="1"/>
  <c r="P31" i="16"/>
  <c r="O31" i="16"/>
  <c r="Q31" i="16" s="1"/>
  <c r="P30" i="16"/>
  <c r="O30" i="16"/>
  <c r="Q30" i="16" s="1"/>
  <c r="P29" i="16"/>
  <c r="O29" i="16"/>
  <c r="Q29" i="16" s="1"/>
  <c r="Q28" i="16"/>
  <c r="P28" i="16"/>
  <c r="O28" i="16"/>
  <c r="Q27" i="16"/>
  <c r="P27" i="16"/>
  <c r="O27" i="16"/>
  <c r="P26" i="16"/>
  <c r="O26" i="16"/>
  <c r="Q26" i="16" s="1"/>
  <c r="P25" i="16"/>
  <c r="O25" i="16"/>
  <c r="Q25" i="16" s="1"/>
  <c r="P24" i="16"/>
  <c r="O24" i="16"/>
  <c r="Q24" i="16" s="1"/>
  <c r="P23" i="16"/>
  <c r="O23" i="16"/>
  <c r="Q23" i="16" s="1"/>
  <c r="P22" i="16"/>
  <c r="O22" i="16"/>
  <c r="Q22" i="16" s="1"/>
  <c r="P21" i="16"/>
  <c r="O21" i="16"/>
  <c r="Q21" i="16" s="1"/>
  <c r="P20" i="16"/>
  <c r="Q20" i="16" s="1"/>
  <c r="O20" i="16"/>
  <c r="Q19" i="16"/>
  <c r="P19" i="16"/>
  <c r="O19" i="16"/>
  <c r="Q18" i="16"/>
  <c r="P18" i="16"/>
  <c r="O18" i="16"/>
  <c r="Q17" i="16"/>
  <c r="P17" i="16"/>
  <c r="O17" i="16"/>
  <c r="P16" i="16"/>
  <c r="O16" i="16"/>
  <c r="Q16" i="16" s="1"/>
  <c r="P15" i="16"/>
  <c r="O15" i="16"/>
  <c r="Q15" i="16" s="1"/>
  <c r="P14" i="16"/>
  <c r="O14" i="16"/>
  <c r="Q14" i="16" s="1"/>
  <c r="P13" i="16"/>
  <c r="O13" i="16"/>
  <c r="Q13" i="16" s="1"/>
  <c r="P12" i="16"/>
  <c r="Q12" i="16" s="1"/>
  <c r="O12" i="16"/>
  <c r="Q11" i="16"/>
  <c r="P11" i="16"/>
  <c r="O11" i="16"/>
  <c r="Q10" i="16"/>
  <c r="P10" i="16"/>
  <c r="O10" i="16"/>
  <c r="Q9" i="16"/>
  <c r="P9" i="16"/>
  <c r="O9" i="16"/>
  <c r="P8" i="16"/>
  <c r="O8" i="16"/>
  <c r="Q8" i="16" s="1"/>
  <c r="P7" i="16"/>
  <c r="O7" i="16"/>
  <c r="Q7" i="16" s="1"/>
  <c r="P6" i="16"/>
  <c r="O6" i="16"/>
  <c r="Q6" i="16" s="1"/>
  <c r="P5" i="16"/>
  <c r="O5" i="16"/>
  <c r="Q5" i="16" s="1"/>
  <c r="P4" i="16"/>
  <c r="Q4" i="16" s="1"/>
  <c r="O4" i="16"/>
  <c r="Q3" i="16"/>
  <c r="P3" i="16"/>
  <c r="O3" i="16"/>
  <c r="Z23" i="15"/>
  <c r="S23" i="15"/>
  <c r="P23" i="15"/>
  <c r="AB23" i="15" s="1"/>
  <c r="M23" i="15"/>
  <c r="J23" i="15"/>
  <c r="G23" i="15"/>
  <c r="Z22" i="15"/>
  <c r="S22" i="15"/>
  <c r="P22" i="15"/>
  <c r="M22" i="15"/>
  <c r="AB22" i="15" s="1"/>
  <c r="J22" i="15"/>
  <c r="G22" i="15"/>
  <c r="Z21" i="15"/>
  <c r="S21" i="15"/>
  <c r="P21" i="15"/>
  <c r="M21" i="15"/>
  <c r="J21" i="15"/>
  <c r="AB21" i="15" s="1"/>
  <c r="G21" i="15"/>
  <c r="Z20" i="15"/>
  <c r="S20" i="15"/>
  <c r="P20" i="15"/>
  <c r="M20" i="15"/>
  <c r="J20" i="15"/>
  <c r="G20" i="15"/>
  <c r="AB20" i="15" s="1"/>
  <c r="Z19" i="15"/>
  <c r="S19" i="15"/>
  <c r="P19" i="15"/>
  <c r="M19" i="15"/>
  <c r="J19" i="15"/>
  <c r="AB19" i="15" s="1"/>
  <c r="G19" i="15"/>
  <c r="Z18" i="15"/>
  <c r="S18" i="15"/>
  <c r="P18" i="15"/>
  <c r="M18" i="15"/>
  <c r="J18" i="15"/>
  <c r="G18" i="15"/>
  <c r="AB18" i="15" s="1"/>
  <c r="Z17" i="15"/>
  <c r="S17" i="15"/>
  <c r="P17" i="15"/>
  <c r="M17" i="15"/>
  <c r="J17" i="15"/>
  <c r="G17" i="15"/>
  <c r="AB17" i="15" s="1"/>
  <c r="Z16" i="15"/>
  <c r="S16" i="15"/>
  <c r="P16" i="15"/>
  <c r="M16" i="15"/>
  <c r="J16" i="15"/>
  <c r="AB16" i="15" s="1"/>
  <c r="G16" i="15"/>
  <c r="Z15" i="15"/>
  <c r="S15" i="15"/>
  <c r="P15" i="15"/>
  <c r="M15" i="15"/>
  <c r="J15" i="15"/>
  <c r="G15" i="15"/>
  <c r="AB15" i="15" s="1"/>
  <c r="Z14" i="15"/>
  <c r="S14" i="15"/>
  <c r="P14" i="15"/>
  <c r="M14" i="15"/>
  <c r="J14" i="15"/>
  <c r="G14" i="15"/>
  <c r="AB14" i="15" s="1"/>
  <c r="Z13" i="15"/>
  <c r="S13" i="15"/>
  <c r="P13" i="15"/>
  <c r="M13" i="15"/>
  <c r="J13" i="15"/>
  <c r="AB13" i="15" s="1"/>
  <c r="G13" i="15"/>
  <c r="Z12" i="15"/>
  <c r="S12" i="15"/>
  <c r="P12" i="15"/>
  <c r="M12" i="15"/>
  <c r="J12" i="15"/>
  <c r="G12" i="15"/>
  <c r="AB12" i="15" s="1"/>
  <c r="Z11" i="15"/>
  <c r="S11" i="15"/>
  <c r="P11" i="15"/>
  <c r="M11" i="15"/>
  <c r="J11" i="15"/>
  <c r="G11" i="15"/>
  <c r="AB11" i="15" s="1"/>
  <c r="AB10" i="15"/>
  <c r="Z10" i="15"/>
  <c r="S10" i="15"/>
  <c r="P10" i="15"/>
  <c r="M10" i="15"/>
  <c r="J10" i="15"/>
  <c r="G10" i="15"/>
  <c r="Z9" i="15"/>
  <c r="S9" i="15"/>
  <c r="P9" i="15"/>
  <c r="M9" i="15"/>
  <c r="AB9" i="15" s="1"/>
  <c r="J9" i="15"/>
  <c r="G9" i="15"/>
  <c r="Z8" i="15"/>
  <c r="S8" i="15"/>
  <c r="P8" i="15"/>
  <c r="M8" i="15"/>
  <c r="J8" i="15"/>
  <c r="AB8" i="15" s="1"/>
  <c r="G8" i="15"/>
  <c r="Z7" i="15"/>
  <c r="S7" i="15"/>
  <c r="P7" i="15"/>
  <c r="M7" i="15"/>
  <c r="J7" i="15"/>
  <c r="G7" i="15"/>
  <c r="AB7" i="15" s="1"/>
  <c r="Z6" i="15"/>
  <c r="S6" i="15"/>
  <c r="P6" i="15"/>
  <c r="M6" i="15"/>
  <c r="J6" i="15"/>
  <c r="G6" i="15"/>
  <c r="Z5" i="15"/>
  <c r="S5" i="15"/>
  <c r="P5" i="15"/>
  <c r="M5" i="15"/>
  <c r="J5" i="15"/>
  <c r="AB5" i="15" s="1"/>
  <c r="G5" i="15"/>
  <c r="Z4" i="15"/>
  <c r="S4" i="15"/>
  <c r="P4" i="15"/>
  <c r="M4" i="15"/>
  <c r="J4" i="15"/>
  <c r="G4" i="15"/>
  <c r="AB4" i="15" s="1"/>
  <c r="U23" i="14"/>
  <c r="T23" i="14"/>
  <c r="S23" i="14"/>
  <c r="Q23" i="14"/>
  <c r="L23" i="14"/>
  <c r="G23" i="14"/>
  <c r="U22" i="14"/>
  <c r="T22" i="14"/>
  <c r="Q22" i="14"/>
  <c r="L22" i="14"/>
  <c r="G22" i="14"/>
  <c r="S22" i="14" s="1"/>
  <c r="U21" i="14"/>
  <c r="T21" i="14"/>
  <c r="Q21" i="14"/>
  <c r="L21" i="14"/>
  <c r="G21" i="14"/>
  <c r="S21" i="14" s="1"/>
  <c r="U20" i="14"/>
  <c r="Q20" i="14"/>
  <c r="L20" i="14"/>
  <c r="T20" i="14" s="1"/>
  <c r="G20" i="14"/>
  <c r="S20" i="14" s="1"/>
  <c r="U19" i="14"/>
  <c r="T19" i="14"/>
  <c r="S19" i="14"/>
  <c r="Q19" i="14"/>
  <c r="L19" i="14"/>
  <c r="G19" i="14"/>
  <c r="U18" i="14"/>
  <c r="T18" i="14"/>
  <c r="Q18" i="14"/>
  <c r="L18" i="14"/>
  <c r="G18" i="14"/>
  <c r="S18" i="14" s="1"/>
  <c r="U17" i="14"/>
  <c r="T17" i="14"/>
  <c r="Q17" i="14"/>
  <c r="L17" i="14"/>
  <c r="G17" i="14"/>
  <c r="S17" i="14" s="1"/>
  <c r="U16" i="14"/>
  <c r="Q16" i="14"/>
  <c r="L16" i="14"/>
  <c r="T16" i="14" s="1"/>
  <c r="G16" i="14"/>
  <c r="S16" i="14" s="1"/>
  <c r="U15" i="14"/>
  <c r="T15" i="14"/>
  <c r="S15" i="14"/>
  <c r="Q15" i="14"/>
  <c r="L15" i="14"/>
  <c r="G15" i="14"/>
  <c r="U14" i="14"/>
  <c r="T14" i="14"/>
  <c r="Q14" i="14"/>
  <c r="L14" i="14"/>
  <c r="G14" i="14"/>
  <c r="S14" i="14" s="1"/>
  <c r="U13" i="14"/>
  <c r="T13" i="14"/>
  <c r="Q13" i="14"/>
  <c r="L13" i="14"/>
  <c r="G13" i="14"/>
  <c r="S13" i="14" s="1"/>
  <c r="U12" i="14"/>
  <c r="Q12" i="14"/>
  <c r="L12" i="14"/>
  <c r="T12" i="14" s="1"/>
  <c r="G12" i="14"/>
  <c r="S12" i="14" s="1"/>
  <c r="U11" i="14"/>
  <c r="T11" i="14"/>
  <c r="S11" i="14"/>
  <c r="Q11" i="14"/>
  <c r="L11" i="14"/>
  <c r="G11" i="14"/>
  <c r="U10" i="14"/>
  <c r="T10" i="14"/>
  <c r="Q10" i="14"/>
  <c r="L10" i="14"/>
  <c r="G10" i="14"/>
  <c r="S10" i="14" s="1"/>
  <c r="U9" i="14"/>
  <c r="T9" i="14"/>
  <c r="Q9" i="14"/>
  <c r="L9" i="14"/>
  <c r="G9" i="14"/>
  <c r="S9" i="14" s="1"/>
  <c r="U8" i="14"/>
  <c r="Q8" i="14"/>
  <c r="L8" i="14"/>
  <c r="T8" i="14" s="1"/>
  <c r="G8" i="14"/>
  <c r="S8" i="14" s="1"/>
  <c r="U7" i="14"/>
  <c r="T7" i="14"/>
  <c r="S7" i="14"/>
  <c r="Q7" i="14"/>
  <c r="L7" i="14"/>
  <c r="G7" i="14"/>
  <c r="U6" i="14"/>
  <c r="T6" i="14"/>
  <c r="Q6" i="14"/>
  <c r="L6" i="14"/>
  <c r="G6" i="14"/>
  <c r="S6" i="14" s="1"/>
  <c r="U5" i="14"/>
  <c r="T5" i="14"/>
  <c r="Q5" i="14"/>
  <c r="L5" i="14"/>
  <c r="G5" i="14"/>
  <c r="S5" i="14" s="1"/>
  <c r="U4" i="14"/>
  <c r="Q4" i="14"/>
  <c r="L4" i="14"/>
  <c r="T4" i="14" s="1"/>
  <c r="G4" i="14"/>
  <c r="S4" i="14" s="1"/>
  <c r="K22" i="13"/>
  <c r="J22" i="13"/>
  <c r="I22" i="13"/>
  <c r="K21" i="13"/>
  <c r="I21" i="13"/>
  <c r="J21" i="13" s="1"/>
  <c r="K20" i="13"/>
  <c r="J20" i="13"/>
  <c r="I20" i="13"/>
  <c r="K19" i="13"/>
  <c r="J19" i="13"/>
  <c r="I19" i="13"/>
  <c r="K18" i="13"/>
  <c r="I18" i="13"/>
  <c r="J18" i="13" s="1"/>
  <c r="K17" i="13"/>
  <c r="I17" i="13"/>
  <c r="J17" i="13" s="1"/>
  <c r="K16" i="13"/>
  <c r="I16" i="13"/>
  <c r="J16" i="13" s="1"/>
  <c r="K15" i="13"/>
  <c r="I15" i="13"/>
  <c r="J15" i="13" s="1"/>
  <c r="K14" i="13"/>
  <c r="J14" i="13"/>
  <c r="I14" i="13"/>
  <c r="K13" i="13"/>
  <c r="I13" i="13"/>
  <c r="J13" i="13" s="1"/>
  <c r="K12" i="13"/>
  <c r="J12" i="13"/>
  <c r="I12" i="13"/>
  <c r="K11" i="13"/>
  <c r="J11" i="13"/>
  <c r="I11" i="13"/>
  <c r="K10" i="13"/>
  <c r="I10" i="13"/>
  <c r="J10" i="13" s="1"/>
  <c r="K9" i="13"/>
  <c r="I9" i="13"/>
  <c r="J9" i="13" s="1"/>
  <c r="K8" i="13"/>
  <c r="I8" i="13"/>
  <c r="J8" i="13" s="1"/>
  <c r="K7" i="13"/>
  <c r="I7" i="13"/>
  <c r="J7" i="13" s="1"/>
  <c r="K6" i="13"/>
  <c r="J6" i="13"/>
  <c r="I6" i="13"/>
  <c r="K5" i="13"/>
  <c r="I5" i="13"/>
  <c r="J5" i="13" s="1"/>
  <c r="K4" i="13"/>
  <c r="J4" i="13"/>
  <c r="I4" i="13"/>
  <c r="K3" i="13"/>
  <c r="J3" i="13"/>
  <c r="I3" i="13"/>
  <c r="D42" i="12"/>
  <c r="E42" i="12" s="1"/>
  <c r="C42" i="12"/>
  <c r="C41" i="12"/>
  <c r="D41" i="12" s="1"/>
  <c r="E41" i="12" s="1"/>
  <c r="D40" i="12"/>
  <c r="E40" i="12" s="1"/>
  <c r="G40" i="12" s="1"/>
  <c r="C40" i="12"/>
  <c r="C39" i="12"/>
  <c r="D39" i="12" s="1"/>
  <c r="E39" i="12" s="1"/>
  <c r="C38" i="12"/>
  <c r="D38" i="12" s="1"/>
  <c r="E38" i="12" s="1"/>
  <c r="C37" i="12"/>
  <c r="D37" i="12" s="1"/>
  <c r="E37" i="12" s="1"/>
  <c r="C36" i="12"/>
  <c r="D36" i="12" s="1"/>
  <c r="E36" i="12" s="1"/>
  <c r="G35" i="12"/>
  <c r="E35" i="12"/>
  <c r="F35" i="12" s="1"/>
  <c r="D35" i="12"/>
  <c r="C35" i="12"/>
  <c r="D34" i="12"/>
  <c r="E34" i="12" s="1"/>
  <c r="C34" i="12"/>
  <c r="C33" i="12"/>
  <c r="D33" i="12" s="1"/>
  <c r="E33" i="12" s="1"/>
  <c r="F32" i="12"/>
  <c r="D32" i="12"/>
  <c r="E32" i="12" s="1"/>
  <c r="G32" i="12" s="1"/>
  <c r="C32" i="12"/>
  <c r="C31" i="12"/>
  <c r="D31" i="12" s="1"/>
  <c r="E31" i="12" s="1"/>
  <c r="C30" i="12"/>
  <c r="D30" i="12" s="1"/>
  <c r="E30" i="12" s="1"/>
  <c r="C29" i="12"/>
  <c r="D29" i="12" s="1"/>
  <c r="E29" i="12" s="1"/>
  <c r="C28" i="12"/>
  <c r="D28" i="12" s="1"/>
  <c r="E28" i="12" s="1"/>
  <c r="G27" i="12"/>
  <c r="E27" i="12"/>
  <c r="F27" i="12" s="1"/>
  <c r="D27" i="12"/>
  <c r="C27" i="12"/>
  <c r="D26" i="12"/>
  <c r="E26" i="12" s="1"/>
  <c r="C26" i="12"/>
  <c r="D25" i="12"/>
  <c r="E25" i="12" s="1"/>
  <c r="C25" i="12"/>
  <c r="F24" i="12"/>
  <c r="D24" i="12"/>
  <c r="E24" i="12" s="1"/>
  <c r="G24" i="12" s="1"/>
  <c r="C24" i="12"/>
  <c r="C23" i="12"/>
  <c r="D23" i="12" s="1"/>
  <c r="E23" i="12" s="1"/>
  <c r="C22" i="12"/>
  <c r="D22" i="12" s="1"/>
  <c r="E22" i="12" s="1"/>
  <c r="C21" i="12"/>
  <c r="D21" i="12" s="1"/>
  <c r="E21" i="12" s="1"/>
  <c r="C20" i="12"/>
  <c r="D20" i="12" s="1"/>
  <c r="E20" i="12" s="1"/>
  <c r="G19" i="12"/>
  <c r="E19" i="12"/>
  <c r="F19" i="12" s="1"/>
  <c r="D19" i="12"/>
  <c r="C19" i="12"/>
  <c r="D18" i="12"/>
  <c r="E18" i="12" s="1"/>
  <c r="C18" i="12"/>
  <c r="D17" i="12"/>
  <c r="E17" i="12" s="1"/>
  <c r="C17" i="12"/>
  <c r="F16" i="12"/>
  <c r="D16" i="12"/>
  <c r="E16" i="12" s="1"/>
  <c r="G16" i="12" s="1"/>
  <c r="C16" i="12"/>
  <c r="C15" i="12"/>
  <c r="D15" i="12" s="1"/>
  <c r="E15" i="12" s="1"/>
  <c r="C14" i="12"/>
  <c r="D14" i="12" s="1"/>
  <c r="E14" i="12" s="1"/>
  <c r="C13" i="12"/>
  <c r="D13" i="12" s="1"/>
  <c r="E13" i="12" s="1"/>
  <c r="C12" i="12"/>
  <c r="D12" i="12" s="1"/>
  <c r="E12" i="12" s="1"/>
  <c r="G11" i="12"/>
  <c r="E11" i="12"/>
  <c r="F11" i="12" s="1"/>
  <c r="D11" i="12"/>
  <c r="C11" i="12"/>
  <c r="D10" i="12"/>
  <c r="E10" i="12" s="1"/>
  <c r="C10" i="12"/>
  <c r="D9" i="12"/>
  <c r="E9" i="12" s="1"/>
  <c r="C9" i="12"/>
  <c r="F8" i="12"/>
  <c r="D8" i="12"/>
  <c r="E8" i="12" s="1"/>
  <c r="G8" i="12" s="1"/>
  <c r="C8" i="12"/>
  <c r="C7" i="12"/>
  <c r="D7" i="12" s="1"/>
  <c r="E7" i="12" s="1"/>
  <c r="C6" i="12"/>
  <c r="D6" i="12" s="1"/>
  <c r="E6" i="12" s="1"/>
  <c r="C5" i="12"/>
  <c r="D5" i="12" s="1"/>
  <c r="E5" i="12" s="1"/>
  <c r="C4" i="12"/>
  <c r="D4" i="12" s="1"/>
  <c r="E4" i="12" s="1"/>
  <c r="G3" i="12"/>
  <c r="E3" i="12"/>
  <c r="F3" i="12" s="1"/>
  <c r="D3" i="12"/>
  <c r="C3" i="12"/>
  <c r="N2" i="11"/>
  <c r="E2" i="11"/>
  <c r="U161" i="10"/>
  <c r="T161" i="10"/>
  <c r="S161" i="10"/>
  <c r="R161" i="10"/>
  <c r="Q161" i="10"/>
  <c r="P161" i="10"/>
  <c r="O161" i="10"/>
  <c r="N161" i="10"/>
  <c r="M161" i="10"/>
  <c r="L161" i="10"/>
  <c r="K161" i="10"/>
  <c r="J161" i="10"/>
  <c r="I161" i="10"/>
  <c r="H161" i="10"/>
  <c r="G161" i="10"/>
  <c r="F161" i="10"/>
  <c r="E161" i="10"/>
  <c r="D161" i="10"/>
  <c r="C161" i="10"/>
  <c r="B161" i="10"/>
  <c r="A161" i="10"/>
  <c r="U160" i="10"/>
  <c r="T160" i="10"/>
  <c r="S160" i="10"/>
  <c r="R160" i="10"/>
  <c r="Q160" i="10"/>
  <c r="P160" i="10"/>
  <c r="O160" i="10"/>
  <c r="N160" i="10"/>
  <c r="M160" i="10"/>
  <c r="L160" i="10"/>
  <c r="K160" i="10"/>
  <c r="J160" i="10"/>
  <c r="I160" i="10"/>
  <c r="H160" i="10"/>
  <c r="G160" i="10"/>
  <c r="F160" i="10"/>
  <c r="E160" i="10"/>
  <c r="D160" i="10"/>
  <c r="C160" i="10"/>
  <c r="B160" i="10"/>
  <c r="A160" i="10"/>
  <c r="U159" i="10"/>
  <c r="T159" i="10"/>
  <c r="S159" i="10"/>
  <c r="R159" i="10"/>
  <c r="Q159" i="10"/>
  <c r="P159" i="10"/>
  <c r="O159" i="10"/>
  <c r="N159" i="10"/>
  <c r="M159" i="10"/>
  <c r="L159" i="10"/>
  <c r="K159" i="10"/>
  <c r="J159" i="10"/>
  <c r="I159" i="10"/>
  <c r="H159" i="10"/>
  <c r="G159" i="10"/>
  <c r="F159" i="10"/>
  <c r="E159" i="10"/>
  <c r="D159" i="10"/>
  <c r="C159" i="10"/>
  <c r="B159" i="10"/>
  <c r="A159" i="10"/>
  <c r="U158" i="10"/>
  <c r="T158" i="10"/>
  <c r="S158" i="10"/>
  <c r="R158" i="10"/>
  <c r="Q158" i="10"/>
  <c r="P158" i="10"/>
  <c r="O158" i="10"/>
  <c r="N158" i="10"/>
  <c r="M158" i="10"/>
  <c r="L158" i="10"/>
  <c r="K158" i="10"/>
  <c r="J158" i="10"/>
  <c r="I158" i="10"/>
  <c r="H158" i="10"/>
  <c r="G158" i="10"/>
  <c r="F158" i="10"/>
  <c r="E158" i="10"/>
  <c r="D158" i="10"/>
  <c r="C158" i="10"/>
  <c r="B158" i="10"/>
  <c r="A158" i="10"/>
  <c r="U157" i="10"/>
  <c r="T157" i="10"/>
  <c r="S157" i="10"/>
  <c r="R157" i="10"/>
  <c r="Q157" i="10"/>
  <c r="P157" i="10"/>
  <c r="O157" i="10"/>
  <c r="N157" i="10"/>
  <c r="M157" i="10"/>
  <c r="L157" i="10"/>
  <c r="K157" i="10"/>
  <c r="J157" i="10"/>
  <c r="I157" i="10"/>
  <c r="H157" i="10"/>
  <c r="G157" i="10"/>
  <c r="F157" i="10"/>
  <c r="E157" i="10"/>
  <c r="D157" i="10"/>
  <c r="C157" i="10"/>
  <c r="B157" i="10"/>
  <c r="A157" i="10"/>
  <c r="U156" i="10"/>
  <c r="T156" i="10"/>
  <c r="S156" i="10"/>
  <c r="R156" i="10"/>
  <c r="Q156" i="10"/>
  <c r="P156" i="10"/>
  <c r="O156" i="10"/>
  <c r="N156" i="10"/>
  <c r="M156" i="10"/>
  <c r="L156" i="10"/>
  <c r="K156" i="10"/>
  <c r="J156" i="10"/>
  <c r="I156" i="10"/>
  <c r="H156" i="10"/>
  <c r="G156" i="10"/>
  <c r="F156" i="10"/>
  <c r="E156" i="10"/>
  <c r="D156" i="10"/>
  <c r="C156" i="10"/>
  <c r="B156" i="10"/>
  <c r="A156" i="10"/>
  <c r="U155" i="10"/>
  <c r="T155" i="10"/>
  <c r="S155" i="10"/>
  <c r="R155" i="10"/>
  <c r="Q155" i="10"/>
  <c r="P155" i="10"/>
  <c r="O155" i="10"/>
  <c r="N155" i="10"/>
  <c r="M155" i="10"/>
  <c r="L155" i="10"/>
  <c r="K155" i="10"/>
  <c r="J155" i="10"/>
  <c r="I155" i="10"/>
  <c r="H155" i="10"/>
  <c r="G155" i="10"/>
  <c r="F155" i="10"/>
  <c r="E155" i="10"/>
  <c r="D155" i="10"/>
  <c r="C155" i="10"/>
  <c r="B155" i="10"/>
  <c r="A155" i="10"/>
  <c r="U154" i="10"/>
  <c r="T154" i="10"/>
  <c r="S154" i="10"/>
  <c r="R154" i="10"/>
  <c r="Q154" i="10"/>
  <c r="P154" i="10"/>
  <c r="O154" i="10"/>
  <c r="N154" i="10"/>
  <c r="M154" i="10"/>
  <c r="L154" i="10"/>
  <c r="K154" i="10"/>
  <c r="J154" i="10"/>
  <c r="I154" i="10"/>
  <c r="H154" i="10"/>
  <c r="G154" i="10"/>
  <c r="F154" i="10"/>
  <c r="E154" i="10"/>
  <c r="D154" i="10"/>
  <c r="C154" i="10"/>
  <c r="B154" i="10"/>
  <c r="A154" i="10"/>
  <c r="U153" i="10"/>
  <c r="T153" i="10"/>
  <c r="S153" i="10"/>
  <c r="R153" i="10"/>
  <c r="Q153" i="10"/>
  <c r="P153" i="10"/>
  <c r="O153" i="10"/>
  <c r="N153" i="10"/>
  <c r="M153" i="10"/>
  <c r="L153" i="10"/>
  <c r="K153" i="10"/>
  <c r="J153" i="10"/>
  <c r="I153" i="10"/>
  <c r="H153" i="10"/>
  <c r="G153" i="10"/>
  <c r="F153" i="10"/>
  <c r="E153" i="10"/>
  <c r="D153" i="10"/>
  <c r="C153" i="10"/>
  <c r="B153" i="10"/>
  <c r="A153" i="10"/>
  <c r="U152" i="10"/>
  <c r="T152" i="10"/>
  <c r="S152" i="10"/>
  <c r="R152" i="10"/>
  <c r="Q152" i="10"/>
  <c r="P152" i="10"/>
  <c r="O152" i="10"/>
  <c r="N152" i="10"/>
  <c r="M152" i="10"/>
  <c r="L152" i="10"/>
  <c r="K152" i="10"/>
  <c r="J152" i="10"/>
  <c r="I152" i="10"/>
  <c r="H152" i="10"/>
  <c r="G152" i="10"/>
  <c r="F152" i="10"/>
  <c r="E152" i="10"/>
  <c r="D152" i="10"/>
  <c r="C152" i="10"/>
  <c r="B152" i="10"/>
  <c r="A152" i="10"/>
  <c r="U151" i="10"/>
  <c r="T151" i="10"/>
  <c r="S151" i="10"/>
  <c r="R151" i="10"/>
  <c r="Q151" i="10"/>
  <c r="P151" i="10"/>
  <c r="O151" i="10"/>
  <c r="N151" i="10"/>
  <c r="M151" i="10"/>
  <c r="L151" i="10"/>
  <c r="K151" i="10"/>
  <c r="J151" i="10"/>
  <c r="I151" i="10"/>
  <c r="H151" i="10"/>
  <c r="G151" i="10"/>
  <c r="F151" i="10"/>
  <c r="E151" i="10"/>
  <c r="D151" i="10"/>
  <c r="C151" i="10"/>
  <c r="B151" i="10"/>
  <c r="A151" i="10"/>
  <c r="U150" i="10"/>
  <c r="T150" i="10"/>
  <c r="S150" i="10"/>
  <c r="R150" i="10"/>
  <c r="Q150" i="10"/>
  <c r="P150" i="10"/>
  <c r="O150" i="10"/>
  <c r="N150" i="10"/>
  <c r="M150" i="10"/>
  <c r="L150" i="10"/>
  <c r="K150" i="10"/>
  <c r="J150" i="10"/>
  <c r="I150" i="10"/>
  <c r="H150" i="10"/>
  <c r="G150" i="10"/>
  <c r="F150" i="10"/>
  <c r="E150" i="10"/>
  <c r="D150" i="10"/>
  <c r="C150" i="10"/>
  <c r="B150" i="10"/>
  <c r="A150" i="10"/>
  <c r="U149" i="10"/>
  <c r="T149" i="10"/>
  <c r="S149" i="10"/>
  <c r="R149" i="10"/>
  <c r="Q149" i="10"/>
  <c r="P149" i="10"/>
  <c r="O149" i="10"/>
  <c r="N149" i="10"/>
  <c r="M149" i="10"/>
  <c r="L149" i="10"/>
  <c r="K149" i="10"/>
  <c r="J149" i="10"/>
  <c r="I149" i="10"/>
  <c r="H149" i="10"/>
  <c r="G149" i="10"/>
  <c r="F149" i="10"/>
  <c r="E149" i="10"/>
  <c r="D149" i="10"/>
  <c r="C149" i="10"/>
  <c r="B149" i="10"/>
  <c r="A149" i="10"/>
  <c r="U148" i="10"/>
  <c r="T148" i="10"/>
  <c r="S148" i="10"/>
  <c r="R148" i="10"/>
  <c r="Q148" i="10"/>
  <c r="P148" i="10"/>
  <c r="O148" i="10"/>
  <c r="N148" i="10"/>
  <c r="M148" i="10"/>
  <c r="L148" i="10"/>
  <c r="K148" i="10"/>
  <c r="J148" i="10"/>
  <c r="I148" i="10"/>
  <c r="H148" i="10"/>
  <c r="G148" i="10"/>
  <c r="F148" i="10"/>
  <c r="E148" i="10"/>
  <c r="D148" i="10"/>
  <c r="C148" i="10"/>
  <c r="B148" i="10"/>
  <c r="A148" i="10"/>
  <c r="U147" i="10"/>
  <c r="T147" i="10"/>
  <c r="S147" i="10"/>
  <c r="R147" i="10"/>
  <c r="Q147" i="10"/>
  <c r="P147" i="10"/>
  <c r="O147" i="10"/>
  <c r="N147" i="10"/>
  <c r="M147" i="10"/>
  <c r="L147" i="10"/>
  <c r="K147" i="10"/>
  <c r="J147" i="10"/>
  <c r="I147" i="10"/>
  <c r="H147" i="10"/>
  <c r="G147" i="10"/>
  <c r="F147" i="10"/>
  <c r="E147" i="10"/>
  <c r="D147" i="10"/>
  <c r="C147" i="10"/>
  <c r="B147" i="10"/>
  <c r="A147" i="10"/>
  <c r="U146" i="10"/>
  <c r="T146" i="10"/>
  <c r="S146" i="10"/>
  <c r="R146" i="10"/>
  <c r="Q146" i="10"/>
  <c r="P146" i="10"/>
  <c r="O146" i="10"/>
  <c r="N146" i="10"/>
  <c r="M146" i="10"/>
  <c r="L146" i="10"/>
  <c r="K146" i="10"/>
  <c r="J146" i="10"/>
  <c r="I146" i="10"/>
  <c r="H146" i="10"/>
  <c r="G146" i="10"/>
  <c r="F146" i="10"/>
  <c r="E146" i="10"/>
  <c r="D146" i="10"/>
  <c r="C146" i="10"/>
  <c r="B146" i="10"/>
  <c r="A146" i="10"/>
  <c r="U145" i="10"/>
  <c r="T145" i="10"/>
  <c r="S145" i="10"/>
  <c r="R145" i="10"/>
  <c r="Q145" i="10"/>
  <c r="P145" i="10"/>
  <c r="O145" i="10"/>
  <c r="N145" i="10"/>
  <c r="M145" i="10"/>
  <c r="L145" i="10"/>
  <c r="K145" i="10"/>
  <c r="J145" i="10"/>
  <c r="I145" i="10"/>
  <c r="H145" i="10"/>
  <c r="G145" i="10"/>
  <c r="F145" i="10"/>
  <c r="E145" i="10"/>
  <c r="D145" i="10"/>
  <c r="C145" i="10"/>
  <c r="B145" i="10"/>
  <c r="A145" i="10"/>
  <c r="U144" i="10"/>
  <c r="T144" i="10"/>
  <c r="S144" i="10"/>
  <c r="R144" i="10"/>
  <c r="Q144" i="10"/>
  <c r="P144" i="10"/>
  <c r="O144" i="10"/>
  <c r="N144" i="10"/>
  <c r="M144" i="10"/>
  <c r="L144" i="10"/>
  <c r="K144" i="10"/>
  <c r="J144" i="10"/>
  <c r="I144" i="10"/>
  <c r="H144" i="10"/>
  <c r="G144" i="10"/>
  <c r="F144" i="10"/>
  <c r="E144" i="10"/>
  <c r="D144" i="10"/>
  <c r="C144" i="10"/>
  <c r="B144" i="10"/>
  <c r="A144" i="10"/>
  <c r="U143" i="10"/>
  <c r="T143" i="10"/>
  <c r="S143" i="10"/>
  <c r="R143" i="10"/>
  <c r="Q143" i="10"/>
  <c r="P143" i="10"/>
  <c r="O143" i="10"/>
  <c r="N143" i="10"/>
  <c r="M143" i="10"/>
  <c r="L143" i="10"/>
  <c r="K143" i="10"/>
  <c r="J143" i="10"/>
  <c r="I143" i="10"/>
  <c r="H143" i="10"/>
  <c r="G143" i="10"/>
  <c r="F143" i="10"/>
  <c r="E143" i="10"/>
  <c r="D143" i="10"/>
  <c r="C143" i="10"/>
  <c r="B143" i="10"/>
  <c r="A143" i="10"/>
  <c r="U142" i="10"/>
  <c r="T142" i="10"/>
  <c r="S142" i="10"/>
  <c r="R142" i="10"/>
  <c r="Q142" i="10"/>
  <c r="P142" i="10"/>
  <c r="O142" i="10"/>
  <c r="N142" i="10"/>
  <c r="M142" i="10"/>
  <c r="L142" i="10"/>
  <c r="K142" i="10"/>
  <c r="J142" i="10"/>
  <c r="I142" i="10"/>
  <c r="H142" i="10"/>
  <c r="G142" i="10"/>
  <c r="F142" i="10"/>
  <c r="E142" i="10"/>
  <c r="D142" i="10"/>
  <c r="C142" i="10"/>
  <c r="B142" i="10"/>
  <c r="A142" i="10"/>
  <c r="U141" i="10"/>
  <c r="T141" i="10"/>
  <c r="S141" i="10"/>
  <c r="R141" i="10"/>
  <c r="Q141" i="10"/>
  <c r="P141" i="10"/>
  <c r="O141" i="10"/>
  <c r="N141" i="10"/>
  <c r="M141" i="10"/>
  <c r="L141" i="10"/>
  <c r="K141" i="10"/>
  <c r="J141" i="10"/>
  <c r="I141" i="10"/>
  <c r="H141" i="10"/>
  <c r="G141" i="10"/>
  <c r="F141" i="10"/>
  <c r="E141" i="10"/>
  <c r="D141" i="10"/>
  <c r="C141" i="10"/>
  <c r="B141" i="10"/>
  <c r="A141" i="10"/>
  <c r="U140" i="10"/>
  <c r="T140" i="10"/>
  <c r="S140" i="10"/>
  <c r="R140" i="10"/>
  <c r="Q140" i="10"/>
  <c r="P140" i="10"/>
  <c r="O140" i="10"/>
  <c r="N140" i="10"/>
  <c r="M140" i="10"/>
  <c r="L140" i="10"/>
  <c r="K140" i="10"/>
  <c r="J140" i="10"/>
  <c r="I140" i="10"/>
  <c r="H140" i="10"/>
  <c r="G140" i="10"/>
  <c r="F140" i="10"/>
  <c r="E140" i="10"/>
  <c r="D140" i="10"/>
  <c r="C140" i="10"/>
  <c r="B140" i="10"/>
  <c r="A140" i="10"/>
  <c r="U139" i="10"/>
  <c r="T139" i="10"/>
  <c r="S139" i="10"/>
  <c r="R139" i="10"/>
  <c r="Q139" i="10"/>
  <c r="P139" i="10"/>
  <c r="O139" i="10"/>
  <c r="N139" i="10"/>
  <c r="M139" i="10"/>
  <c r="L139" i="10"/>
  <c r="K139" i="10"/>
  <c r="J139" i="10"/>
  <c r="I139" i="10"/>
  <c r="H139" i="10"/>
  <c r="G139" i="10"/>
  <c r="F139" i="10"/>
  <c r="E139" i="10"/>
  <c r="D139" i="10"/>
  <c r="C139" i="10"/>
  <c r="B139" i="10"/>
  <c r="A139" i="10"/>
  <c r="U138" i="10"/>
  <c r="T138" i="10"/>
  <c r="S138" i="10"/>
  <c r="R138" i="10"/>
  <c r="Q138" i="10"/>
  <c r="P138" i="10"/>
  <c r="O138" i="10"/>
  <c r="N138" i="10"/>
  <c r="M138" i="10"/>
  <c r="L138" i="10"/>
  <c r="K138" i="10"/>
  <c r="J138" i="10"/>
  <c r="I138" i="10"/>
  <c r="H138" i="10"/>
  <c r="G138" i="10"/>
  <c r="F138" i="10"/>
  <c r="E138" i="10"/>
  <c r="D138" i="10"/>
  <c r="C138" i="10"/>
  <c r="B138" i="10"/>
  <c r="A138" i="10"/>
  <c r="U137" i="10"/>
  <c r="T137" i="10"/>
  <c r="S137" i="10"/>
  <c r="R137" i="10"/>
  <c r="Q137" i="10"/>
  <c r="P137" i="10"/>
  <c r="O137" i="10"/>
  <c r="N137" i="10"/>
  <c r="M137" i="10"/>
  <c r="L137" i="10"/>
  <c r="K137" i="10"/>
  <c r="J137" i="10"/>
  <c r="I137" i="10"/>
  <c r="H137" i="10"/>
  <c r="G137" i="10"/>
  <c r="F137" i="10"/>
  <c r="E137" i="10"/>
  <c r="D137" i="10"/>
  <c r="C137" i="10"/>
  <c r="B137" i="10"/>
  <c r="A137" i="10"/>
  <c r="U136" i="10"/>
  <c r="T136" i="10"/>
  <c r="S136" i="10"/>
  <c r="R136" i="10"/>
  <c r="Q136" i="10"/>
  <c r="P136" i="10"/>
  <c r="O136" i="10"/>
  <c r="N136" i="10"/>
  <c r="M136" i="10"/>
  <c r="L136" i="10"/>
  <c r="K136" i="10"/>
  <c r="J136" i="10"/>
  <c r="I136" i="10"/>
  <c r="H136" i="10"/>
  <c r="G136" i="10"/>
  <c r="F136" i="10"/>
  <c r="E136" i="10"/>
  <c r="D136" i="10"/>
  <c r="C136" i="10"/>
  <c r="B136" i="10"/>
  <c r="A136" i="10"/>
  <c r="U135" i="10"/>
  <c r="T135" i="10"/>
  <c r="S135" i="10"/>
  <c r="R135" i="10"/>
  <c r="Q135" i="10"/>
  <c r="P135" i="10"/>
  <c r="O135" i="10"/>
  <c r="N135" i="10"/>
  <c r="M135" i="10"/>
  <c r="L135" i="10"/>
  <c r="K135" i="10"/>
  <c r="J135" i="10"/>
  <c r="I135" i="10"/>
  <c r="H135" i="10"/>
  <c r="G135" i="10"/>
  <c r="F135" i="10"/>
  <c r="E135" i="10"/>
  <c r="D135" i="10"/>
  <c r="C135" i="10"/>
  <c r="B135" i="10"/>
  <c r="A135" i="10"/>
  <c r="U134" i="10"/>
  <c r="T134" i="10"/>
  <c r="S134" i="10"/>
  <c r="R134" i="10"/>
  <c r="Q134" i="10"/>
  <c r="P134" i="10"/>
  <c r="O134" i="10"/>
  <c r="N134" i="10"/>
  <c r="M134" i="10"/>
  <c r="L134" i="10"/>
  <c r="K134" i="10"/>
  <c r="J134" i="10"/>
  <c r="I134" i="10"/>
  <c r="H134" i="10"/>
  <c r="G134" i="10"/>
  <c r="F134" i="10"/>
  <c r="E134" i="10"/>
  <c r="D134" i="10"/>
  <c r="C134" i="10"/>
  <c r="B134" i="10"/>
  <c r="A134" i="10"/>
  <c r="U133" i="10"/>
  <c r="T133" i="10"/>
  <c r="S133" i="10"/>
  <c r="R133" i="10"/>
  <c r="Q133" i="10"/>
  <c r="P133" i="10"/>
  <c r="O133" i="10"/>
  <c r="N133" i="10"/>
  <c r="M133" i="10"/>
  <c r="L133" i="10"/>
  <c r="K133" i="10"/>
  <c r="J133" i="10"/>
  <c r="I133" i="10"/>
  <c r="H133" i="10"/>
  <c r="G133" i="10"/>
  <c r="F133" i="10"/>
  <c r="E133" i="10"/>
  <c r="D133" i="10"/>
  <c r="C133" i="10"/>
  <c r="B133" i="10"/>
  <c r="A133" i="10"/>
  <c r="U132" i="10"/>
  <c r="T132" i="10"/>
  <c r="S132" i="10"/>
  <c r="R132" i="10"/>
  <c r="Q132" i="10"/>
  <c r="P132" i="10"/>
  <c r="O132" i="10"/>
  <c r="N132" i="10"/>
  <c r="M132" i="10"/>
  <c r="L132" i="10"/>
  <c r="K132" i="10"/>
  <c r="J132" i="10"/>
  <c r="I132" i="10"/>
  <c r="H132" i="10"/>
  <c r="G132" i="10"/>
  <c r="F132" i="10"/>
  <c r="E132" i="10"/>
  <c r="D132" i="10"/>
  <c r="C132" i="10"/>
  <c r="B132" i="10"/>
  <c r="A132" i="10"/>
  <c r="U131" i="10"/>
  <c r="T131" i="10"/>
  <c r="S131" i="10"/>
  <c r="R131" i="10"/>
  <c r="Q131" i="10"/>
  <c r="P131" i="10"/>
  <c r="O131" i="10"/>
  <c r="N131" i="10"/>
  <c r="M131" i="10"/>
  <c r="L131" i="10"/>
  <c r="K131" i="10"/>
  <c r="J131" i="10"/>
  <c r="I131" i="10"/>
  <c r="H131" i="10"/>
  <c r="G131" i="10"/>
  <c r="F131" i="10"/>
  <c r="E131" i="10"/>
  <c r="D131" i="10"/>
  <c r="C131" i="10"/>
  <c r="B131" i="10"/>
  <c r="A131" i="10"/>
  <c r="U130" i="10"/>
  <c r="T130" i="10"/>
  <c r="S130" i="10"/>
  <c r="R130" i="10"/>
  <c r="Q130" i="10"/>
  <c r="P130" i="10"/>
  <c r="O130" i="10"/>
  <c r="N130" i="10"/>
  <c r="M130" i="10"/>
  <c r="L130" i="10"/>
  <c r="K130" i="10"/>
  <c r="J130" i="10"/>
  <c r="I130" i="10"/>
  <c r="H130" i="10"/>
  <c r="G130" i="10"/>
  <c r="F130" i="10"/>
  <c r="E130" i="10"/>
  <c r="D130" i="10"/>
  <c r="C130" i="10"/>
  <c r="B130" i="10"/>
  <c r="A130" i="10"/>
  <c r="U129" i="10"/>
  <c r="T129" i="10"/>
  <c r="S129" i="10"/>
  <c r="R129" i="10"/>
  <c r="Q129" i="10"/>
  <c r="P129" i="10"/>
  <c r="O129" i="10"/>
  <c r="N129" i="10"/>
  <c r="M129" i="10"/>
  <c r="L129" i="10"/>
  <c r="K129" i="10"/>
  <c r="J129" i="10"/>
  <c r="I129" i="10"/>
  <c r="H129" i="10"/>
  <c r="G129" i="10"/>
  <c r="F129" i="10"/>
  <c r="E129" i="10"/>
  <c r="D129" i="10"/>
  <c r="C129" i="10"/>
  <c r="B129" i="10"/>
  <c r="A129" i="10"/>
  <c r="U128" i="10"/>
  <c r="T128" i="10"/>
  <c r="S128" i="10"/>
  <c r="R128" i="10"/>
  <c r="Q128" i="10"/>
  <c r="P128" i="10"/>
  <c r="O128" i="10"/>
  <c r="N128" i="10"/>
  <c r="M128" i="10"/>
  <c r="L128" i="10"/>
  <c r="K128" i="10"/>
  <c r="J128" i="10"/>
  <c r="I128" i="10"/>
  <c r="H128" i="10"/>
  <c r="G128" i="10"/>
  <c r="F128" i="10"/>
  <c r="E128" i="10"/>
  <c r="D128" i="10"/>
  <c r="C128" i="10"/>
  <c r="B128" i="10"/>
  <c r="A128" i="10"/>
  <c r="U127" i="10"/>
  <c r="T127" i="10"/>
  <c r="S127" i="10"/>
  <c r="R127" i="10"/>
  <c r="Q127" i="10"/>
  <c r="P127" i="10"/>
  <c r="O127" i="10"/>
  <c r="N127" i="10"/>
  <c r="M127" i="10"/>
  <c r="L127" i="10"/>
  <c r="K127" i="10"/>
  <c r="J127" i="10"/>
  <c r="I127" i="10"/>
  <c r="H127" i="10"/>
  <c r="G127" i="10"/>
  <c r="F127" i="10"/>
  <c r="E127" i="10"/>
  <c r="D127" i="10"/>
  <c r="C127" i="10"/>
  <c r="B127" i="10"/>
  <c r="A127" i="10"/>
  <c r="U126" i="10"/>
  <c r="T126" i="10"/>
  <c r="S126" i="10"/>
  <c r="R126" i="10"/>
  <c r="Q126" i="10"/>
  <c r="P126" i="10"/>
  <c r="O126" i="10"/>
  <c r="N126" i="10"/>
  <c r="M126" i="10"/>
  <c r="L126" i="10"/>
  <c r="K126" i="10"/>
  <c r="J126" i="10"/>
  <c r="I126" i="10"/>
  <c r="H126" i="10"/>
  <c r="G126" i="10"/>
  <c r="F126" i="10"/>
  <c r="E126" i="10"/>
  <c r="D126" i="10"/>
  <c r="C126" i="10"/>
  <c r="B126" i="10"/>
  <c r="A126" i="10"/>
  <c r="U125" i="10"/>
  <c r="T125" i="10"/>
  <c r="S125" i="10"/>
  <c r="R125" i="10"/>
  <c r="Q125" i="10"/>
  <c r="P125" i="10"/>
  <c r="O125" i="10"/>
  <c r="N125" i="10"/>
  <c r="M125" i="10"/>
  <c r="L125" i="10"/>
  <c r="K125" i="10"/>
  <c r="J125" i="10"/>
  <c r="I125" i="10"/>
  <c r="H125" i="10"/>
  <c r="G125" i="10"/>
  <c r="F125" i="10"/>
  <c r="E125" i="10"/>
  <c r="D125" i="10"/>
  <c r="C125" i="10"/>
  <c r="B125" i="10"/>
  <c r="A125" i="10"/>
  <c r="U124" i="10"/>
  <c r="T124" i="10"/>
  <c r="S124" i="10"/>
  <c r="R124" i="10"/>
  <c r="Q124" i="10"/>
  <c r="P124" i="10"/>
  <c r="O124" i="10"/>
  <c r="N124" i="10"/>
  <c r="M124" i="10"/>
  <c r="L124" i="10"/>
  <c r="K124" i="10"/>
  <c r="J124" i="10"/>
  <c r="I124" i="10"/>
  <c r="H124" i="10"/>
  <c r="G124" i="10"/>
  <c r="F124" i="10"/>
  <c r="E124" i="10"/>
  <c r="D124" i="10"/>
  <c r="C124" i="10"/>
  <c r="B124" i="10"/>
  <c r="A124" i="10"/>
  <c r="U123" i="10"/>
  <c r="T123" i="10"/>
  <c r="S123" i="10"/>
  <c r="R123" i="10"/>
  <c r="Q123" i="10"/>
  <c r="P123" i="10"/>
  <c r="O123" i="10"/>
  <c r="N123" i="10"/>
  <c r="M123" i="10"/>
  <c r="L123" i="10"/>
  <c r="K123" i="10"/>
  <c r="J123" i="10"/>
  <c r="I123" i="10"/>
  <c r="H123" i="10"/>
  <c r="G123" i="10"/>
  <c r="F123" i="10"/>
  <c r="E123" i="10"/>
  <c r="D123" i="10"/>
  <c r="C123" i="10"/>
  <c r="B123" i="10"/>
  <c r="A123" i="10"/>
  <c r="U122" i="10"/>
  <c r="T122" i="10"/>
  <c r="S122" i="10"/>
  <c r="R122" i="10"/>
  <c r="Q122" i="10"/>
  <c r="P122" i="10"/>
  <c r="O122" i="10"/>
  <c r="N122" i="10"/>
  <c r="M122" i="10"/>
  <c r="L122" i="10"/>
  <c r="K122" i="10"/>
  <c r="J122" i="10"/>
  <c r="I122" i="10"/>
  <c r="H122" i="10"/>
  <c r="G122" i="10"/>
  <c r="F122" i="10"/>
  <c r="E122" i="10"/>
  <c r="D122" i="10"/>
  <c r="C122" i="10"/>
  <c r="B122" i="10"/>
  <c r="A122" i="10"/>
  <c r="U121" i="10"/>
  <c r="T121" i="10"/>
  <c r="S121" i="10"/>
  <c r="R121" i="10"/>
  <c r="Q121" i="10"/>
  <c r="P121" i="10"/>
  <c r="O121" i="10"/>
  <c r="N121" i="10"/>
  <c r="M121" i="10"/>
  <c r="L121" i="10"/>
  <c r="K121" i="10"/>
  <c r="J121" i="10"/>
  <c r="I121" i="10"/>
  <c r="H121" i="10"/>
  <c r="G121" i="10"/>
  <c r="F121" i="10"/>
  <c r="E121" i="10"/>
  <c r="D121" i="10"/>
  <c r="C121" i="10"/>
  <c r="B121" i="10"/>
  <c r="A121" i="10"/>
  <c r="U120" i="10"/>
  <c r="T120" i="10"/>
  <c r="S120" i="10"/>
  <c r="R120" i="10"/>
  <c r="Q120" i="10"/>
  <c r="P120" i="10"/>
  <c r="O120" i="10"/>
  <c r="N120" i="10"/>
  <c r="M120" i="10"/>
  <c r="L120" i="10"/>
  <c r="K120" i="10"/>
  <c r="J120" i="10"/>
  <c r="I120" i="10"/>
  <c r="H120" i="10"/>
  <c r="G120" i="10"/>
  <c r="F120" i="10"/>
  <c r="E120" i="10"/>
  <c r="D120" i="10"/>
  <c r="C120" i="10"/>
  <c r="B120" i="10"/>
  <c r="A120" i="10"/>
  <c r="U119" i="10"/>
  <c r="T119" i="10"/>
  <c r="S119" i="10"/>
  <c r="R119" i="10"/>
  <c r="Q119" i="10"/>
  <c r="P119" i="10"/>
  <c r="O119" i="10"/>
  <c r="N119" i="10"/>
  <c r="M119" i="10"/>
  <c r="L119" i="10"/>
  <c r="K119" i="10"/>
  <c r="J119" i="10"/>
  <c r="I119" i="10"/>
  <c r="H119" i="10"/>
  <c r="G119" i="10"/>
  <c r="F119" i="10"/>
  <c r="E119" i="10"/>
  <c r="D119" i="10"/>
  <c r="C119" i="10"/>
  <c r="B119" i="10"/>
  <c r="A119" i="10"/>
  <c r="U118" i="10"/>
  <c r="T118" i="10"/>
  <c r="S118" i="10"/>
  <c r="R118" i="10"/>
  <c r="Q118" i="10"/>
  <c r="P118" i="10"/>
  <c r="O118" i="10"/>
  <c r="N118" i="10"/>
  <c r="M118" i="10"/>
  <c r="L118" i="10"/>
  <c r="K118" i="10"/>
  <c r="J118" i="10"/>
  <c r="I118" i="10"/>
  <c r="H118" i="10"/>
  <c r="G118" i="10"/>
  <c r="F118" i="10"/>
  <c r="E118" i="10"/>
  <c r="D118" i="10"/>
  <c r="C118" i="10"/>
  <c r="B118" i="10"/>
  <c r="A118" i="10"/>
  <c r="U117" i="10"/>
  <c r="T117" i="10"/>
  <c r="S117" i="10"/>
  <c r="R117" i="10"/>
  <c r="Q117" i="10"/>
  <c r="P117" i="10"/>
  <c r="O117" i="10"/>
  <c r="N117" i="10"/>
  <c r="M117" i="10"/>
  <c r="L117" i="10"/>
  <c r="K117" i="10"/>
  <c r="J117" i="10"/>
  <c r="I117" i="10"/>
  <c r="H117" i="10"/>
  <c r="G117" i="10"/>
  <c r="F117" i="10"/>
  <c r="E117" i="10"/>
  <c r="D117" i="10"/>
  <c r="C117" i="10"/>
  <c r="B117" i="10"/>
  <c r="A117" i="10"/>
  <c r="U116" i="10"/>
  <c r="T116" i="10"/>
  <c r="S116" i="10"/>
  <c r="R116" i="10"/>
  <c r="Q116" i="10"/>
  <c r="P116" i="10"/>
  <c r="O116" i="10"/>
  <c r="N116" i="10"/>
  <c r="M116" i="10"/>
  <c r="L116" i="10"/>
  <c r="K116" i="10"/>
  <c r="J116" i="10"/>
  <c r="I116" i="10"/>
  <c r="H116" i="10"/>
  <c r="G116" i="10"/>
  <c r="F116" i="10"/>
  <c r="E116" i="10"/>
  <c r="D116" i="10"/>
  <c r="C116" i="10"/>
  <c r="B116" i="10"/>
  <c r="A116" i="10"/>
  <c r="U115" i="10"/>
  <c r="T115" i="10"/>
  <c r="S115" i="10"/>
  <c r="R115" i="10"/>
  <c r="Q115" i="10"/>
  <c r="P115" i="10"/>
  <c r="O115" i="10"/>
  <c r="N115" i="10"/>
  <c r="M115" i="10"/>
  <c r="L115" i="10"/>
  <c r="K115" i="10"/>
  <c r="J115" i="10"/>
  <c r="I115" i="10"/>
  <c r="H115" i="10"/>
  <c r="G115" i="10"/>
  <c r="F115" i="10"/>
  <c r="E115" i="10"/>
  <c r="D115" i="10"/>
  <c r="C115" i="10"/>
  <c r="B115" i="10"/>
  <c r="A115" i="10"/>
  <c r="U114" i="10"/>
  <c r="T114" i="10"/>
  <c r="S114" i="10"/>
  <c r="R114" i="10"/>
  <c r="Q114" i="10"/>
  <c r="P114" i="10"/>
  <c r="O114" i="10"/>
  <c r="N114" i="10"/>
  <c r="M114" i="10"/>
  <c r="L114" i="10"/>
  <c r="K114" i="10"/>
  <c r="J114" i="10"/>
  <c r="I114" i="10"/>
  <c r="H114" i="10"/>
  <c r="G114" i="10"/>
  <c r="F114" i="10"/>
  <c r="E114" i="10"/>
  <c r="D114" i="10"/>
  <c r="C114" i="10"/>
  <c r="B114" i="10"/>
  <c r="A114" i="10"/>
  <c r="U113" i="10"/>
  <c r="T113" i="10"/>
  <c r="S113" i="10"/>
  <c r="R113" i="10"/>
  <c r="Q113" i="10"/>
  <c r="P113" i="10"/>
  <c r="O113" i="10"/>
  <c r="N113" i="10"/>
  <c r="M113" i="10"/>
  <c r="L113" i="10"/>
  <c r="K113" i="10"/>
  <c r="J113" i="10"/>
  <c r="I113" i="10"/>
  <c r="H113" i="10"/>
  <c r="G113" i="10"/>
  <c r="F113" i="10"/>
  <c r="E113" i="10"/>
  <c r="D113" i="10"/>
  <c r="C113" i="10"/>
  <c r="B113" i="10"/>
  <c r="A113" i="10"/>
  <c r="U112" i="10"/>
  <c r="T112" i="10"/>
  <c r="S112" i="10"/>
  <c r="R112" i="10"/>
  <c r="Q112" i="10"/>
  <c r="P112" i="10"/>
  <c r="O112" i="10"/>
  <c r="N112" i="10"/>
  <c r="M112" i="10"/>
  <c r="L112" i="10"/>
  <c r="K112" i="10"/>
  <c r="J112" i="10"/>
  <c r="I112" i="10"/>
  <c r="H112" i="10"/>
  <c r="G112" i="10"/>
  <c r="F112" i="10"/>
  <c r="E112" i="10"/>
  <c r="D112" i="10"/>
  <c r="C112" i="10"/>
  <c r="B112" i="10"/>
  <c r="A112" i="10"/>
  <c r="U111" i="10"/>
  <c r="T111" i="10"/>
  <c r="S111" i="10"/>
  <c r="R111" i="10"/>
  <c r="Q111" i="10"/>
  <c r="P111" i="10"/>
  <c r="O111" i="10"/>
  <c r="N111" i="10"/>
  <c r="M111" i="10"/>
  <c r="L111" i="10"/>
  <c r="K111" i="10"/>
  <c r="J111" i="10"/>
  <c r="I111" i="10"/>
  <c r="H111" i="10"/>
  <c r="G111" i="10"/>
  <c r="F111" i="10"/>
  <c r="E111" i="10"/>
  <c r="D111" i="10"/>
  <c r="C111" i="10"/>
  <c r="B111" i="10"/>
  <c r="A111" i="10"/>
  <c r="U110" i="10"/>
  <c r="T110" i="10"/>
  <c r="S110" i="10"/>
  <c r="R110" i="10"/>
  <c r="Q110" i="10"/>
  <c r="P110" i="10"/>
  <c r="O110" i="10"/>
  <c r="N110" i="10"/>
  <c r="M110" i="10"/>
  <c r="L110" i="10"/>
  <c r="K110" i="10"/>
  <c r="J110" i="10"/>
  <c r="I110" i="10"/>
  <c r="H110" i="10"/>
  <c r="G110" i="10"/>
  <c r="F110" i="10"/>
  <c r="E110" i="10"/>
  <c r="D110" i="10"/>
  <c r="C110" i="10"/>
  <c r="B110" i="10"/>
  <c r="A110" i="10"/>
  <c r="U109" i="10"/>
  <c r="T109" i="10"/>
  <c r="S109" i="10"/>
  <c r="R109" i="10"/>
  <c r="Q109" i="10"/>
  <c r="P109" i="10"/>
  <c r="O109" i="10"/>
  <c r="N109" i="10"/>
  <c r="M109" i="10"/>
  <c r="L109" i="10"/>
  <c r="K109" i="10"/>
  <c r="J109" i="10"/>
  <c r="I109" i="10"/>
  <c r="H109" i="10"/>
  <c r="G109" i="10"/>
  <c r="F109" i="10"/>
  <c r="E109" i="10"/>
  <c r="D109" i="10"/>
  <c r="C109" i="10"/>
  <c r="B109" i="10"/>
  <c r="A109" i="10"/>
  <c r="U108" i="10"/>
  <c r="T108" i="10"/>
  <c r="S108" i="10"/>
  <c r="R108" i="10"/>
  <c r="Q108" i="10"/>
  <c r="P108" i="10"/>
  <c r="O108" i="10"/>
  <c r="N108" i="10"/>
  <c r="M108" i="10"/>
  <c r="L108" i="10"/>
  <c r="K108" i="10"/>
  <c r="J108" i="10"/>
  <c r="I108" i="10"/>
  <c r="H108" i="10"/>
  <c r="G108" i="10"/>
  <c r="F108" i="10"/>
  <c r="E108" i="10"/>
  <c r="D108" i="10"/>
  <c r="C108" i="10"/>
  <c r="B108" i="10"/>
  <c r="A108" i="10"/>
  <c r="U107" i="10"/>
  <c r="T107" i="10"/>
  <c r="S107" i="10"/>
  <c r="R107" i="10"/>
  <c r="Q107" i="10"/>
  <c r="P107" i="10"/>
  <c r="O107" i="10"/>
  <c r="N107" i="10"/>
  <c r="M107" i="10"/>
  <c r="L107" i="10"/>
  <c r="K107" i="10"/>
  <c r="J107" i="10"/>
  <c r="I107" i="10"/>
  <c r="H107" i="10"/>
  <c r="G107" i="10"/>
  <c r="F107" i="10"/>
  <c r="E107" i="10"/>
  <c r="D107" i="10"/>
  <c r="C107" i="10"/>
  <c r="B107" i="10"/>
  <c r="A107" i="10"/>
  <c r="U106" i="10"/>
  <c r="T106" i="10"/>
  <c r="S106" i="10"/>
  <c r="R106" i="10"/>
  <c r="Q106" i="10"/>
  <c r="P106" i="10"/>
  <c r="O106" i="10"/>
  <c r="N106" i="10"/>
  <c r="M106" i="10"/>
  <c r="L106" i="10"/>
  <c r="K106" i="10"/>
  <c r="J106" i="10"/>
  <c r="I106" i="10"/>
  <c r="H106" i="10"/>
  <c r="G106" i="10"/>
  <c r="F106" i="10"/>
  <c r="E106" i="10"/>
  <c r="D106" i="10"/>
  <c r="C106" i="10"/>
  <c r="B106" i="10"/>
  <c r="A106" i="10"/>
  <c r="U105" i="10"/>
  <c r="T105" i="10"/>
  <c r="S105" i="10"/>
  <c r="R105" i="10"/>
  <c r="Q105" i="10"/>
  <c r="P105" i="10"/>
  <c r="O105" i="10"/>
  <c r="N105" i="10"/>
  <c r="M105" i="10"/>
  <c r="L105" i="10"/>
  <c r="K105" i="10"/>
  <c r="J105" i="10"/>
  <c r="I105" i="10"/>
  <c r="H105" i="10"/>
  <c r="G105" i="10"/>
  <c r="F105" i="10"/>
  <c r="E105" i="10"/>
  <c r="D105" i="10"/>
  <c r="C105" i="10"/>
  <c r="B105" i="10"/>
  <c r="A105" i="10"/>
  <c r="U104" i="10"/>
  <c r="T104" i="10"/>
  <c r="S104" i="10"/>
  <c r="R104" i="10"/>
  <c r="Q104" i="10"/>
  <c r="P104" i="10"/>
  <c r="O104" i="10"/>
  <c r="N104" i="10"/>
  <c r="M104" i="10"/>
  <c r="L104" i="10"/>
  <c r="K104" i="10"/>
  <c r="J104" i="10"/>
  <c r="I104" i="10"/>
  <c r="H104" i="10"/>
  <c r="G104" i="10"/>
  <c r="F104" i="10"/>
  <c r="E104" i="10"/>
  <c r="D104" i="10"/>
  <c r="C104" i="10"/>
  <c r="B104" i="10"/>
  <c r="A104" i="10"/>
  <c r="U103" i="10"/>
  <c r="T103" i="10"/>
  <c r="S103" i="10"/>
  <c r="R103" i="10"/>
  <c r="Q103" i="10"/>
  <c r="P103" i="10"/>
  <c r="O103" i="10"/>
  <c r="N103" i="10"/>
  <c r="M103" i="10"/>
  <c r="L103" i="10"/>
  <c r="K103" i="10"/>
  <c r="J103" i="10"/>
  <c r="I103" i="10"/>
  <c r="H103" i="10"/>
  <c r="G103" i="10"/>
  <c r="F103" i="10"/>
  <c r="E103" i="10"/>
  <c r="D103" i="10"/>
  <c r="C103" i="10"/>
  <c r="B103" i="10"/>
  <c r="A103" i="10"/>
  <c r="U102" i="10"/>
  <c r="T102" i="10"/>
  <c r="S102" i="10"/>
  <c r="R102" i="10"/>
  <c r="Q102" i="10"/>
  <c r="P102" i="10"/>
  <c r="O102" i="10"/>
  <c r="N102" i="10"/>
  <c r="M102" i="10"/>
  <c r="L102" i="10"/>
  <c r="K102" i="10"/>
  <c r="J102" i="10"/>
  <c r="I102" i="10"/>
  <c r="H102" i="10"/>
  <c r="G102" i="10"/>
  <c r="F102" i="10"/>
  <c r="E102" i="10"/>
  <c r="D102" i="10"/>
  <c r="C102" i="10"/>
  <c r="B102" i="10"/>
  <c r="A102" i="10"/>
  <c r="U101" i="10"/>
  <c r="T101" i="10"/>
  <c r="S101" i="10"/>
  <c r="R101" i="10"/>
  <c r="Q101" i="10"/>
  <c r="P101" i="10"/>
  <c r="O101" i="10"/>
  <c r="N101" i="10"/>
  <c r="M101" i="10"/>
  <c r="L101" i="10"/>
  <c r="K101" i="10"/>
  <c r="J101" i="10"/>
  <c r="I101" i="10"/>
  <c r="H101" i="10"/>
  <c r="G101" i="10"/>
  <c r="F101" i="10"/>
  <c r="E101" i="10"/>
  <c r="D101" i="10"/>
  <c r="C101" i="10"/>
  <c r="B101" i="10"/>
  <c r="A101" i="10"/>
  <c r="U100" i="10"/>
  <c r="T100" i="10"/>
  <c r="S100" i="10"/>
  <c r="R100" i="10"/>
  <c r="Q100" i="10"/>
  <c r="P100" i="10"/>
  <c r="O100" i="10"/>
  <c r="N100" i="10"/>
  <c r="M100" i="10"/>
  <c r="L100" i="10"/>
  <c r="K100" i="10"/>
  <c r="J100" i="10"/>
  <c r="I100" i="10"/>
  <c r="H100" i="10"/>
  <c r="G100" i="10"/>
  <c r="F100" i="10"/>
  <c r="E100" i="10"/>
  <c r="D100" i="10"/>
  <c r="C100" i="10"/>
  <c r="B100" i="10"/>
  <c r="A100" i="10"/>
  <c r="U99" i="10"/>
  <c r="T99" i="10"/>
  <c r="S99" i="10"/>
  <c r="R99" i="10"/>
  <c r="Q99" i="10"/>
  <c r="P99" i="10"/>
  <c r="O99" i="10"/>
  <c r="N99" i="10"/>
  <c r="M99" i="10"/>
  <c r="L99" i="10"/>
  <c r="K99" i="10"/>
  <c r="J99" i="10"/>
  <c r="I99" i="10"/>
  <c r="H99" i="10"/>
  <c r="G99" i="10"/>
  <c r="F99" i="10"/>
  <c r="E99" i="10"/>
  <c r="D99" i="10"/>
  <c r="C99" i="10"/>
  <c r="B99" i="10"/>
  <c r="A99" i="10"/>
  <c r="U98" i="10"/>
  <c r="T98" i="10"/>
  <c r="S98" i="10"/>
  <c r="R98" i="10"/>
  <c r="Q98" i="10"/>
  <c r="P98" i="10"/>
  <c r="O98" i="10"/>
  <c r="N98" i="10"/>
  <c r="M98" i="10"/>
  <c r="L98" i="10"/>
  <c r="K98" i="10"/>
  <c r="J98" i="10"/>
  <c r="I98" i="10"/>
  <c r="H98" i="10"/>
  <c r="G98" i="10"/>
  <c r="F98" i="10"/>
  <c r="E98" i="10"/>
  <c r="D98" i="10"/>
  <c r="C98" i="10"/>
  <c r="B98" i="10"/>
  <c r="A98" i="10"/>
  <c r="U97" i="10"/>
  <c r="T97" i="10"/>
  <c r="S97" i="10"/>
  <c r="R97" i="10"/>
  <c r="Q97" i="10"/>
  <c r="P97" i="10"/>
  <c r="O97" i="10"/>
  <c r="N97" i="10"/>
  <c r="M97" i="10"/>
  <c r="L97" i="10"/>
  <c r="K97" i="10"/>
  <c r="J97" i="10"/>
  <c r="I97" i="10"/>
  <c r="H97" i="10"/>
  <c r="G97" i="10"/>
  <c r="F97" i="10"/>
  <c r="E97" i="10"/>
  <c r="D97" i="10"/>
  <c r="C97" i="10"/>
  <c r="B97" i="10"/>
  <c r="A97" i="10"/>
  <c r="U96" i="10"/>
  <c r="T96" i="10"/>
  <c r="S96" i="10"/>
  <c r="R96" i="10"/>
  <c r="Q96" i="10"/>
  <c r="P96" i="10"/>
  <c r="O96" i="10"/>
  <c r="N96" i="10"/>
  <c r="M96" i="10"/>
  <c r="L96" i="10"/>
  <c r="K96" i="10"/>
  <c r="J96" i="10"/>
  <c r="I96" i="10"/>
  <c r="H96" i="10"/>
  <c r="G96" i="10"/>
  <c r="F96" i="10"/>
  <c r="E96" i="10"/>
  <c r="D96" i="10"/>
  <c r="C96" i="10"/>
  <c r="B96" i="10"/>
  <c r="A96" i="10"/>
  <c r="U95" i="10"/>
  <c r="T95" i="10"/>
  <c r="S95" i="10"/>
  <c r="R95" i="10"/>
  <c r="Q95" i="10"/>
  <c r="P95" i="10"/>
  <c r="O95" i="10"/>
  <c r="N95" i="10"/>
  <c r="M95" i="10"/>
  <c r="L95" i="10"/>
  <c r="K95" i="10"/>
  <c r="J95" i="10"/>
  <c r="I95" i="10"/>
  <c r="H95" i="10"/>
  <c r="G95" i="10"/>
  <c r="F95" i="10"/>
  <c r="E95" i="10"/>
  <c r="D95" i="10"/>
  <c r="C95" i="10"/>
  <c r="B95" i="10"/>
  <c r="A95" i="10"/>
  <c r="U94" i="10"/>
  <c r="T94" i="10"/>
  <c r="S94" i="10"/>
  <c r="R94" i="10"/>
  <c r="Q94" i="10"/>
  <c r="P94" i="10"/>
  <c r="O94" i="10"/>
  <c r="N94" i="10"/>
  <c r="M94" i="10"/>
  <c r="L94" i="10"/>
  <c r="K94" i="10"/>
  <c r="J94" i="10"/>
  <c r="I94" i="10"/>
  <c r="H94" i="10"/>
  <c r="G94" i="10"/>
  <c r="F94" i="10"/>
  <c r="E94" i="10"/>
  <c r="D94" i="10"/>
  <c r="C94" i="10"/>
  <c r="B94" i="10"/>
  <c r="A94" i="10"/>
  <c r="U93" i="10"/>
  <c r="T93" i="10"/>
  <c r="S93" i="10"/>
  <c r="R93" i="10"/>
  <c r="Q93" i="10"/>
  <c r="P93" i="10"/>
  <c r="O93" i="10"/>
  <c r="N93" i="10"/>
  <c r="M93" i="10"/>
  <c r="L93" i="10"/>
  <c r="K93" i="10"/>
  <c r="J93" i="10"/>
  <c r="I93" i="10"/>
  <c r="H93" i="10"/>
  <c r="G93" i="10"/>
  <c r="F93" i="10"/>
  <c r="E93" i="10"/>
  <c r="D93" i="10"/>
  <c r="C93" i="10"/>
  <c r="B93" i="10"/>
  <c r="A93" i="10"/>
  <c r="U92" i="10"/>
  <c r="T92" i="10"/>
  <c r="S92" i="10"/>
  <c r="R92" i="10"/>
  <c r="Q92" i="10"/>
  <c r="P92" i="10"/>
  <c r="O92" i="10"/>
  <c r="N92" i="10"/>
  <c r="M92" i="10"/>
  <c r="L92" i="10"/>
  <c r="K92" i="10"/>
  <c r="J92" i="10"/>
  <c r="I92" i="10"/>
  <c r="H92" i="10"/>
  <c r="G92" i="10"/>
  <c r="F92" i="10"/>
  <c r="E92" i="10"/>
  <c r="D92" i="10"/>
  <c r="C92" i="10"/>
  <c r="B92" i="10"/>
  <c r="A92" i="10"/>
  <c r="U91" i="10"/>
  <c r="T91" i="10"/>
  <c r="S91" i="10"/>
  <c r="R91" i="10"/>
  <c r="Q91" i="10"/>
  <c r="P91" i="10"/>
  <c r="O91" i="10"/>
  <c r="N91" i="10"/>
  <c r="M91" i="10"/>
  <c r="L91" i="10"/>
  <c r="K91" i="10"/>
  <c r="J91" i="10"/>
  <c r="I91" i="10"/>
  <c r="H91" i="10"/>
  <c r="G91" i="10"/>
  <c r="F91" i="10"/>
  <c r="E91" i="10"/>
  <c r="D91" i="10"/>
  <c r="C91" i="10"/>
  <c r="B91" i="10"/>
  <c r="A91" i="10"/>
  <c r="U90" i="10"/>
  <c r="T90" i="10"/>
  <c r="S90" i="10"/>
  <c r="R90" i="10"/>
  <c r="Q90" i="10"/>
  <c r="P90" i="10"/>
  <c r="O90" i="10"/>
  <c r="N90" i="10"/>
  <c r="M90" i="10"/>
  <c r="L90" i="10"/>
  <c r="K90" i="10"/>
  <c r="J90" i="10"/>
  <c r="I90" i="10"/>
  <c r="H90" i="10"/>
  <c r="G90" i="10"/>
  <c r="F90" i="10"/>
  <c r="E90" i="10"/>
  <c r="D90" i="10"/>
  <c r="C90" i="10"/>
  <c r="B90" i="10"/>
  <c r="A90" i="10"/>
  <c r="U89" i="10"/>
  <c r="T89" i="10"/>
  <c r="S89" i="10"/>
  <c r="R89" i="10"/>
  <c r="Q89" i="10"/>
  <c r="P89" i="10"/>
  <c r="O89" i="10"/>
  <c r="N89" i="10"/>
  <c r="M89" i="10"/>
  <c r="L89" i="10"/>
  <c r="K89" i="10"/>
  <c r="J89" i="10"/>
  <c r="I89" i="10"/>
  <c r="H89" i="10"/>
  <c r="G89" i="10"/>
  <c r="F89" i="10"/>
  <c r="E89" i="10"/>
  <c r="D89" i="10"/>
  <c r="C89" i="10"/>
  <c r="B89" i="10"/>
  <c r="A89" i="10"/>
  <c r="U88" i="10"/>
  <c r="T88" i="10"/>
  <c r="S88" i="10"/>
  <c r="R88" i="10"/>
  <c r="Q88" i="10"/>
  <c r="P88" i="10"/>
  <c r="O88" i="10"/>
  <c r="N88" i="10"/>
  <c r="M88" i="10"/>
  <c r="L88" i="10"/>
  <c r="K88" i="10"/>
  <c r="J88" i="10"/>
  <c r="I88" i="10"/>
  <c r="H88" i="10"/>
  <c r="G88" i="10"/>
  <c r="F88" i="10"/>
  <c r="E88" i="10"/>
  <c r="D88" i="10"/>
  <c r="C88" i="10"/>
  <c r="B88" i="10"/>
  <c r="A88" i="10"/>
  <c r="U87" i="10"/>
  <c r="T87" i="10"/>
  <c r="S87" i="10"/>
  <c r="R87" i="10"/>
  <c r="Q87" i="10"/>
  <c r="P87" i="10"/>
  <c r="O87" i="10"/>
  <c r="N87" i="10"/>
  <c r="M87" i="10"/>
  <c r="L87" i="10"/>
  <c r="K87" i="10"/>
  <c r="J87" i="10"/>
  <c r="I87" i="10"/>
  <c r="H87" i="10"/>
  <c r="G87" i="10"/>
  <c r="F87" i="10"/>
  <c r="E87" i="10"/>
  <c r="D87" i="10"/>
  <c r="C87" i="10"/>
  <c r="B87" i="10"/>
  <c r="A87" i="10"/>
  <c r="U86" i="10"/>
  <c r="T86" i="10"/>
  <c r="S86" i="10"/>
  <c r="R86" i="10"/>
  <c r="Q86" i="10"/>
  <c r="P86" i="10"/>
  <c r="O86" i="10"/>
  <c r="N86" i="10"/>
  <c r="M86" i="10"/>
  <c r="L86" i="10"/>
  <c r="K86" i="10"/>
  <c r="J86" i="10"/>
  <c r="I86" i="10"/>
  <c r="H86" i="10"/>
  <c r="G86" i="10"/>
  <c r="F86" i="10"/>
  <c r="E86" i="10"/>
  <c r="D86" i="10"/>
  <c r="C86" i="10"/>
  <c r="B86" i="10"/>
  <c r="A86" i="10"/>
  <c r="U85" i="10"/>
  <c r="T85" i="10"/>
  <c r="S85" i="10"/>
  <c r="R85" i="10"/>
  <c r="Q85" i="10"/>
  <c r="P85" i="10"/>
  <c r="O85" i="10"/>
  <c r="N85" i="10"/>
  <c r="M85" i="10"/>
  <c r="L85" i="10"/>
  <c r="K85" i="10"/>
  <c r="J85" i="10"/>
  <c r="I85" i="10"/>
  <c r="H85" i="10"/>
  <c r="G85" i="10"/>
  <c r="F85" i="10"/>
  <c r="E85" i="10"/>
  <c r="D85" i="10"/>
  <c r="C85" i="10"/>
  <c r="B85" i="10"/>
  <c r="A85" i="10"/>
  <c r="U84" i="10"/>
  <c r="T84" i="10"/>
  <c r="S84" i="10"/>
  <c r="R84" i="10"/>
  <c r="Q84" i="10"/>
  <c r="P84" i="10"/>
  <c r="O84" i="10"/>
  <c r="N84" i="10"/>
  <c r="M84" i="10"/>
  <c r="L84" i="10"/>
  <c r="K84" i="10"/>
  <c r="J84" i="10"/>
  <c r="I84" i="10"/>
  <c r="H84" i="10"/>
  <c r="G84" i="10"/>
  <c r="F84" i="10"/>
  <c r="E84" i="10"/>
  <c r="D84" i="10"/>
  <c r="C84" i="10"/>
  <c r="B84" i="10"/>
  <c r="A84" i="10"/>
  <c r="U83" i="10"/>
  <c r="T83" i="10"/>
  <c r="S83" i="10"/>
  <c r="R83" i="10"/>
  <c r="Q83" i="10"/>
  <c r="P83" i="10"/>
  <c r="O83" i="10"/>
  <c r="N83" i="10"/>
  <c r="M83" i="10"/>
  <c r="L83" i="10"/>
  <c r="K83" i="10"/>
  <c r="J83" i="10"/>
  <c r="I83" i="10"/>
  <c r="H83" i="10"/>
  <c r="G83" i="10"/>
  <c r="F83" i="10"/>
  <c r="E83" i="10"/>
  <c r="D83" i="10"/>
  <c r="C83" i="10"/>
  <c r="B83" i="10"/>
  <c r="A83" i="10"/>
  <c r="U82" i="10"/>
  <c r="T82" i="10"/>
  <c r="S82" i="10"/>
  <c r="R82" i="10"/>
  <c r="Q82" i="10"/>
  <c r="P82" i="10"/>
  <c r="O82" i="10"/>
  <c r="N82" i="10"/>
  <c r="M82" i="10"/>
  <c r="L82" i="10"/>
  <c r="K82" i="10"/>
  <c r="J82" i="10"/>
  <c r="I82" i="10"/>
  <c r="H82" i="10"/>
  <c r="G82" i="10"/>
  <c r="F82" i="10"/>
  <c r="E82" i="10"/>
  <c r="D82" i="10"/>
  <c r="C82" i="10"/>
  <c r="B82" i="10"/>
  <c r="A82" i="10"/>
  <c r="U81" i="10"/>
  <c r="T81" i="10"/>
  <c r="S81" i="10"/>
  <c r="R81" i="10"/>
  <c r="Q81" i="10"/>
  <c r="P81" i="10"/>
  <c r="O81" i="10"/>
  <c r="N81" i="10"/>
  <c r="M81" i="10"/>
  <c r="L81" i="10"/>
  <c r="K81" i="10"/>
  <c r="J81" i="10"/>
  <c r="I81" i="10"/>
  <c r="H81" i="10"/>
  <c r="G81" i="10"/>
  <c r="F81" i="10"/>
  <c r="E81" i="10"/>
  <c r="D81" i="10"/>
  <c r="C81" i="10"/>
  <c r="B81" i="10"/>
  <c r="A81" i="10"/>
  <c r="U80" i="10"/>
  <c r="T80" i="10"/>
  <c r="S80" i="10"/>
  <c r="R80" i="10"/>
  <c r="Q80" i="10"/>
  <c r="P80" i="10"/>
  <c r="O80" i="10"/>
  <c r="N80" i="10"/>
  <c r="M80" i="10"/>
  <c r="L80" i="10"/>
  <c r="K80" i="10"/>
  <c r="J80" i="10"/>
  <c r="I80" i="10"/>
  <c r="H80" i="10"/>
  <c r="G80" i="10"/>
  <c r="F80" i="10"/>
  <c r="E80" i="10"/>
  <c r="D80" i="10"/>
  <c r="C80" i="10"/>
  <c r="B80" i="10"/>
  <c r="A80" i="10"/>
  <c r="U79" i="10"/>
  <c r="T79" i="10"/>
  <c r="S79" i="10"/>
  <c r="R79" i="10"/>
  <c r="Q79" i="10"/>
  <c r="P79" i="10"/>
  <c r="O79" i="10"/>
  <c r="N79" i="10"/>
  <c r="M79" i="10"/>
  <c r="L79" i="10"/>
  <c r="K79" i="10"/>
  <c r="J79" i="10"/>
  <c r="I79" i="10"/>
  <c r="H79" i="10"/>
  <c r="G79" i="10"/>
  <c r="F79" i="10"/>
  <c r="E79" i="10"/>
  <c r="D79" i="10"/>
  <c r="C79" i="10"/>
  <c r="B79" i="10"/>
  <c r="A79" i="10"/>
  <c r="U78" i="10"/>
  <c r="T78" i="10"/>
  <c r="S78" i="10"/>
  <c r="R78" i="10"/>
  <c r="Q78" i="10"/>
  <c r="P78" i="10"/>
  <c r="O78" i="10"/>
  <c r="N78" i="10"/>
  <c r="M78" i="10"/>
  <c r="L78" i="10"/>
  <c r="K78" i="10"/>
  <c r="J78" i="10"/>
  <c r="I78" i="10"/>
  <c r="H78" i="10"/>
  <c r="G78" i="10"/>
  <c r="F78" i="10"/>
  <c r="E78" i="10"/>
  <c r="D78" i="10"/>
  <c r="C78" i="10"/>
  <c r="B78" i="10"/>
  <c r="A78" i="10"/>
  <c r="U77" i="10"/>
  <c r="T77" i="10"/>
  <c r="S77" i="10"/>
  <c r="R77" i="10"/>
  <c r="Q77" i="10"/>
  <c r="P77" i="10"/>
  <c r="O77" i="10"/>
  <c r="N77" i="10"/>
  <c r="M77" i="10"/>
  <c r="L77" i="10"/>
  <c r="K77" i="10"/>
  <c r="J77" i="10"/>
  <c r="I77" i="10"/>
  <c r="H77" i="10"/>
  <c r="G77" i="10"/>
  <c r="F77" i="10"/>
  <c r="E77" i="10"/>
  <c r="D77" i="10"/>
  <c r="C77" i="10"/>
  <c r="B77" i="10"/>
  <c r="A77" i="10"/>
  <c r="U76" i="10"/>
  <c r="T76" i="10"/>
  <c r="S76" i="10"/>
  <c r="R76" i="10"/>
  <c r="Q76" i="10"/>
  <c r="P76" i="10"/>
  <c r="O76" i="10"/>
  <c r="N76" i="10"/>
  <c r="M76" i="10"/>
  <c r="L76" i="10"/>
  <c r="K76" i="10"/>
  <c r="J76" i="10"/>
  <c r="I76" i="10"/>
  <c r="H76" i="10"/>
  <c r="G76" i="10"/>
  <c r="F76" i="10"/>
  <c r="E76" i="10"/>
  <c r="D76" i="10"/>
  <c r="C76" i="10"/>
  <c r="B76" i="10"/>
  <c r="A76" i="10"/>
  <c r="U75" i="10"/>
  <c r="T75" i="10"/>
  <c r="S75" i="10"/>
  <c r="R75" i="10"/>
  <c r="Q75" i="10"/>
  <c r="P75" i="10"/>
  <c r="O75" i="10"/>
  <c r="N75" i="10"/>
  <c r="M75" i="10"/>
  <c r="L75" i="10"/>
  <c r="K75" i="10"/>
  <c r="J75" i="10"/>
  <c r="I75" i="10"/>
  <c r="H75" i="10"/>
  <c r="G75" i="10"/>
  <c r="F75" i="10"/>
  <c r="E75" i="10"/>
  <c r="D75" i="10"/>
  <c r="C75" i="10"/>
  <c r="B75" i="10"/>
  <c r="A75" i="10"/>
  <c r="U74" i="10"/>
  <c r="T74" i="10"/>
  <c r="S74" i="10"/>
  <c r="R74" i="10"/>
  <c r="Q74" i="10"/>
  <c r="P74" i="10"/>
  <c r="O74" i="10"/>
  <c r="N74" i="10"/>
  <c r="M74" i="10"/>
  <c r="L74" i="10"/>
  <c r="K74" i="10"/>
  <c r="J74" i="10"/>
  <c r="I74" i="10"/>
  <c r="H74" i="10"/>
  <c r="G74" i="10"/>
  <c r="F74" i="10"/>
  <c r="E74" i="10"/>
  <c r="D74" i="10"/>
  <c r="C74" i="10"/>
  <c r="B74" i="10"/>
  <c r="A74" i="10"/>
  <c r="U73" i="10"/>
  <c r="T73" i="10"/>
  <c r="S73" i="10"/>
  <c r="R73" i="10"/>
  <c r="Q73" i="10"/>
  <c r="P73" i="10"/>
  <c r="O73" i="10"/>
  <c r="N73" i="10"/>
  <c r="M73" i="10"/>
  <c r="L73" i="10"/>
  <c r="K73" i="10"/>
  <c r="J73" i="10"/>
  <c r="I73" i="10"/>
  <c r="H73" i="10"/>
  <c r="G73" i="10"/>
  <c r="F73" i="10"/>
  <c r="E73" i="10"/>
  <c r="D73" i="10"/>
  <c r="C73" i="10"/>
  <c r="B73" i="10"/>
  <c r="A73" i="10"/>
  <c r="U72" i="10"/>
  <c r="T72" i="10"/>
  <c r="S72" i="10"/>
  <c r="R72" i="10"/>
  <c r="Q72" i="10"/>
  <c r="P72" i="10"/>
  <c r="O72" i="10"/>
  <c r="N72" i="10"/>
  <c r="M72" i="10"/>
  <c r="L72" i="10"/>
  <c r="K72" i="10"/>
  <c r="J72" i="10"/>
  <c r="I72" i="10"/>
  <c r="H72" i="10"/>
  <c r="G72" i="10"/>
  <c r="F72" i="10"/>
  <c r="E72" i="10"/>
  <c r="D72" i="10"/>
  <c r="C72" i="10"/>
  <c r="B72" i="10"/>
  <c r="A72" i="10"/>
  <c r="U71" i="10"/>
  <c r="T71" i="10"/>
  <c r="S71" i="10"/>
  <c r="R71" i="10"/>
  <c r="Q71" i="10"/>
  <c r="P71" i="10"/>
  <c r="O71" i="10"/>
  <c r="N71" i="10"/>
  <c r="M71" i="10"/>
  <c r="L71" i="10"/>
  <c r="K71" i="10"/>
  <c r="J71" i="10"/>
  <c r="I71" i="10"/>
  <c r="H71" i="10"/>
  <c r="G71" i="10"/>
  <c r="F71" i="10"/>
  <c r="E71" i="10"/>
  <c r="D71" i="10"/>
  <c r="C71" i="10"/>
  <c r="B71" i="10"/>
  <c r="A71" i="10"/>
  <c r="U70" i="10"/>
  <c r="T70" i="10"/>
  <c r="S70" i="10"/>
  <c r="R70" i="10"/>
  <c r="Q70" i="10"/>
  <c r="P70" i="10"/>
  <c r="O70" i="10"/>
  <c r="N70" i="10"/>
  <c r="M70" i="10"/>
  <c r="L70" i="10"/>
  <c r="K70" i="10"/>
  <c r="J70" i="10"/>
  <c r="I70" i="10"/>
  <c r="H70" i="10"/>
  <c r="G70" i="10"/>
  <c r="F70" i="10"/>
  <c r="E70" i="10"/>
  <c r="D70" i="10"/>
  <c r="C70" i="10"/>
  <c r="B70" i="10"/>
  <c r="A70" i="10"/>
  <c r="U69" i="10"/>
  <c r="T69" i="10"/>
  <c r="S69" i="10"/>
  <c r="R69" i="10"/>
  <c r="Q69" i="10"/>
  <c r="P69" i="10"/>
  <c r="O69" i="10"/>
  <c r="N69" i="10"/>
  <c r="M69" i="10"/>
  <c r="L69" i="10"/>
  <c r="K69" i="10"/>
  <c r="J69" i="10"/>
  <c r="I69" i="10"/>
  <c r="H69" i="10"/>
  <c r="G69" i="10"/>
  <c r="F69" i="10"/>
  <c r="E69" i="10"/>
  <c r="D69" i="10"/>
  <c r="C69" i="10"/>
  <c r="B69" i="10"/>
  <c r="A69" i="10"/>
  <c r="U68" i="10"/>
  <c r="T68" i="10"/>
  <c r="S68" i="10"/>
  <c r="R68" i="10"/>
  <c r="Q68" i="10"/>
  <c r="P68" i="10"/>
  <c r="O68" i="10"/>
  <c r="N68" i="10"/>
  <c r="M68" i="10"/>
  <c r="L68" i="10"/>
  <c r="K68" i="10"/>
  <c r="J68" i="10"/>
  <c r="I68" i="10"/>
  <c r="H68" i="10"/>
  <c r="G68" i="10"/>
  <c r="F68" i="10"/>
  <c r="E68" i="10"/>
  <c r="D68" i="10"/>
  <c r="C68" i="10"/>
  <c r="B68" i="10"/>
  <c r="A68" i="10"/>
  <c r="U67" i="10"/>
  <c r="T67" i="10"/>
  <c r="S67" i="10"/>
  <c r="R67" i="10"/>
  <c r="Q67" i="10"/>
  <c r="P67" i="10"/>
  <c r="O67" i="10"/>
  <c r="N67" i="10"/>
  <c r="M67" i="10"/>
  <c r="L67" i="10"/>
  <c r="K67" i="10"/>
  <c r="J67" i="10"/>
  <c r="I67" i="10"/>
  <c r="H67" i="10"/>
  <c r="G67" i="10"/>
  <c r="F67" i="10"/>
  <c r="E67" i="10"/>
  <c r="D67" i="10"/>
  <c r="C67" i="10"/>
  <c r="B67" i="10"/>
  <c r="A67" i="10"/>
  <c r="U66" i="10"/>
  <c r="T66" i="10"/>
  <c r="S66" i="10"/>
  <c r="R66" i="10"/>
  <c r="Q66" i="10"/>
  <c r="P66" i="10"/>
  <c r="O66" i="10"/>
  <c r="N66" i="10"/>
  <c r="M66" i="10"/>
  <c r="L66" i="10"/>
  <c r="K66" i="10"/>
  <c r="J66" i="10"/>
  <c r="I66" i="10"/>
  <c r="H66" i="10"/>
  <c r="G66" i="10"/>
  <c r="F66" i="10"/>
  <c r="E66" i="10"/>
  <c r="D66" i="10"/>
  <c r="C66" i="10"/>
  <c r="B66" i="10"/>
  <c r="A66" i="10"/>
  <c r="U65" i="10"/>
  <c r="T65" i="10"/>
  <c r="S65" i="10"/>
  <c r="R65" i="10"/>
  <c r="Q65" i="10"/>
  <c r="P65" i="10"/>
  <c r="O65" i="10"/>
  <c r="N65" i="10"/>
  <c r="M65" i="10"/>
  <c r="L65" i="10"/>
  <c r="K65" i="10"/>
  <c r="J65" i="10"/>
  <c r="I65" i="10"/>
  <c r="H65" i="10"/>
  <c r="G65" i="10"/>
  <c r="F65" i="10"/>
  <c r="E65" i="10"/>
  <c r="D65" i="10"/>
  <c r="C65" i="10"/>
  <c r="B65" i="10"/>
  <c r="A65" i="10"/>
  <c r="U64" i="10"/>
  <c r="T64" i="10"/>
  <c r="S64" i="10"/>
  <c r="R64" i="10"/>
  <c r="Q64" i="10"/>
  <c r="P64" i="10"/>
  <c r="O64" i="10"/>
  <c r="N64" i="10"/>
  <c r="M64" i="10"/>
  <c r="L64" i="10"/>
  <c r="K64" i="10"/>
  <c r="J64" i="10"/>
  <c r="I64" i="10"/>
  <c r="H64" i="10"/>
  <c r="G64" i="10"/>
  <c r="F64" i="10"/>
  <c r="E64" i="10"/>
  <c r="D64" i="10"/>
  <c r="C64" i="10"/>
  <c r="B64" i="10"/>
  <c r="A64" i="10"/>
  <c r="U63" i="10"/>
  <c r="T63" i="10"/>
  <c r="S63" i="10"/>
  <c r="R63" i="10"/>
  <c r="Q63" i="10"/>
  <c r="P63" i="10"/>
  <c r="O63" i="10"/>
  <c r="N63" i="10"/>
  <c r="M63" i="10"/>
  <c r="L63" i="10"/>
  <c r="K63" i="10"/>
  <c r="J63" i="10"/>
  <c r="I63" i="10"/>
  <c r="H63" i="10"/>
  <c r="G63" i="10"/>
  <c r="F63" i="10"/>
  <c r="E63" i="10"/>
  <c r="D63" i="10"/>
  <c r="C63" i="10"/>
  <c r="B63" i="10"/>
  <c r="A63" i="10"/>
  <c r="U62" i="10"/>
  <c r="T62" i="10"/>
  <c r="S62" i="10"/>
  <c r="R62" i="10"/>
  <c r="Q62" i="10"/>
  <c r="P62" i="10"/>
  <c r="O62" i="10"/>
  <c r="N62" i="10"/>
  <c r="M62" i="10"/>
  <c r="L62" i="10"/>
  <c r="K62" i="10"/>
  <c r="J62" i="10"/>
  <c r="I62" i="10"/>
  <c r="H62" i="10"/>
  <c r="G62" i="10"/>
  <c r="F62" i="10"/>
  <c r="E62" i="10"/>
  <c r="D62" i="10"/>
  <c r="C62" i="10"/>
  <c r="B62" i="10"/>
  <c r="A62" i="10"/>
  <c r="U61" i="10"/>
  <c r="T61" i="10"/>
  <c r="S61" i="10"/>
  <c r="R61" i="10"/>
  <c r="Q61" i="10"/>
  <c r="P61" i="10"/>
  <c r="O61" i="10"/>
  <c r="N61" i="10"/>
  <c r="M61" i="10"/>
  <c r="L61" i="10"/>
  <c r="K61" i="10"/>
  <c r="J61" i="10"/>
  <c r="I61" i="10"/>
  <c r="H61" i="10"/>
  <c r="G61" i="10"/>
  <c r="F61" i="10"/>
  <c r="E61" i="10"/>
  <c r="D61" i="10"/>
  <c r="C61" i="10"/>
  <c r="B61" i="10"/>
  <c r="A61" i="10"/>
  <c r="U60" i="10"/>
  <c r="T60" i="10"/>
  <c r="S60" i="10"/>
  <c r="R60" i="10"/>
  <c r="Q60" i="10"/>
  <c r="P60" i="10"/>
  <c r="O60" i="10"/>
  <c r="N60" i="10"/>
  <c r="M60" i="10"/>
  <c r="L60" i="10"/>
  <c r="K60" i="10"/>
  <c r="J60" i="10"/>
  <c r="I60" i="10"/>
  <c r="H60" i="10"/>
  <c r="G60" i="10"/>
  <c r="F60" i="10"/>
  <c r="E60" i="10"/>
  <c r="D60" i="10"/>
  <c r="C60" i="10"/>
  <c r="B60" i="10"/>
  <c r="A60" i="10"/>
  <c r="U59" i="10"/>
  <c r="T59" i="10"/>
  <c r="S59" i="10"/>
  <c r="R59" i="10"/>
  <c r="Q59" i="10"/>
  <c r="P59" i="10"/>
  <c r="O59" i="10"/>
  <c r="N59" i="10"/>
  <c r="M59" i="10"/>
  <c r="L59" i="10"/>
  <c r="K59" i="10"/>
  <c r="J59" i="10"/>
  <c r="I59" i="10"/>
  <c r="H59" i="10"/>
  <c r="G59" i="10"/>
  <c r="F59" i="10"/>
  <c r="E59" i="10"/>
  <c r="D59" i="10"/>
  <c r="C59" i="10"/>
  <c r="B59" i="10"/>
  <c r="A59" i="10"/>
  <c r="U58" i="10"/>
  <c r="T58" i="10"/>
  <c r="S58" i="10"/>
  <c r="R58" i="10"/>
  <c r="Q58" i="10"/>
  <c r="P58" i="10"/>
  <c r="O58" i="10"/>
  <c r="N58" i="10"/>
  <c r="M58" i="10"/>
  <c r="L58" i="10"/>
  <c r="K58" i="10"/>
  <c r="J58" i="10"/>
  <c r="I58" i="10"/>
  <c r="H58" i="10"/>
  <c r="G58" i="10"/>
  <c r="F58" i="10"/>
  <c r="E58" i="10"/>
  <c r="D58" i="10"/>
  <c r="C58" i="10"/>
  <c r="B58" i="10"/>
  <c r="A58" i="10"/>
  <c r="U57" i="10"/>
  <c r="T57" i="10"/>
  <c r="S57" i="10"/>
  <c r="R57" i="10"/>
  <c r="Q57" i="10"/>
  <c r="P57" i="10"/>
  <c r="O57" i="10"/>
  <c r="N57" i="10"/>
  <c r="M57" i="10"/>
  <c r="L57" i="10"/>
  <c r="K57" i="10"/>
  <c r="J57" i="10"/>
  <c r="I57" i="10"/>
  <c r="H57" i="10"/>
  <c r="G57" i="10"/>
  <c r="F57" i="10"/>
  <c r="E57" i="10"/>
  <c r="D57" i="10"/>
  <c r="C57" i="10"/>
  <c r="B57" i="10"/>
  <c r="A57" i="10"/>
  <c r="U56" i="10"/>
  <c r="T56" i="10"/>
  <c r="S56" i="10"/>
  <c r="R56" i="10"/>
  <c r="Q56" i="10"/>
  <c r="P56" i="10"/>
  <c r="O56" i="10"/>
  <c r="N56" i="10"/>
  <c r="M56" i="10"/>
  <c r="L56" i="10"/>
  <c r="K56" i="10"/>
  <c r="J56" i="10"/>
  <c r="I56" i="10"/>
  <c r="H56" i="10"/>
  <c r="G56" i="10"/>
  <c r="F56" i="10"/>
  <c r="E56" i="10"/>
  <c r="D56" i="10"/>
  <c r="C56" i="10"/>
  <c r="B56" i="10"/>
  <c r="A56" i="10"/>
  <c r="U55" i="10"/>
  <c r="T55" i="10"/>
  <c r="S55" i="10"/>
  <c r="R55" i="10"/>
  <c r="Q55" i="10"/>
  <c r="P55" i="10"/>
  <c r="O55" i="10"/>
  <c r="N55" i="10"/>
  <c r="M55" i="10"/>
  <c r="L55" i="10"/>
  <c r="K55" i="10"/>
  <c r="J55" i="10"/>
  <c r="I55" i="10"/>
  <c r="H55" i="10"/>
  <c r="G55" i="10"/>
  <c r="F55" i="10"/>
  <c r="E55" i="10"/>
  <c r="D55" i="10"/>
  <c r="C55" i="10"/>
  <c r="B55" i="10"/>
  <c r="A55" i="10"/>
  <c r="U54" i="10"/>
  <c r="T54" i="10"/>
  <c r="S54" i="10"/>
  <c r="R54" i="10"/>
  <c r="Q54" i="10"/>
  <c r="P54" i="10"/>
  <c r="O54" i="10"/>
  <c r="N54" i="10"/>
  <c r="M54" i="10"/>
  <c r="L54" i="10"/>
  <c r="K54" i="10"/>
  <c r="J54" i="10"/>
  <c r="I54" i="10"/>
  <c r="H54" i="10"/>
  <c r="G54" i="10"/>
  <c r="F54" i="10"/>
  <c r="E54" i="10"/>
  <c r="D54" i="10"/>
  <c r="C54" i="10"/>
  <c r="B54" i="10"/>
  <c r="A54" i="10"/>
  <c r="U53" i="10"/>
  <c r="T53" i="10"/>
  <c r="S53" i="10"/>
  <c r="R53" i="10"/>
  <c r="Q53" i="10"/>
  <c r="P53" i="10"/>
  <c r="O53" i="10"/>
  <c r="N53" i="10"/>
  <c r="M53" i="10"/>
  <c r="L53" i="10"/>
  <c r="K53" i="10"/>
  <c r="J53" i="10"/>
  <c r="I53" i="10"/>
  <c r="H53" i="10"/>
  <c r="G53" i="10"/>
  <c r="F53" i="10"/>
  <c r="E53" i="10"/>
  <c r="D53" i="10"/>
  <c r="C53" i="10"/>
  <c r="B53" i="10"/>
  <c r="A53" i="10"/>
  <c r="U52" i="10"/>
  <c r="T52" i="10"/>
  <c r="S52" i="10"/>
  <c r="R52" i="10"/>
  <c r="Q52" i="10"/>
  <c r="P52" i="10"/>
  <c r="O52" i="10"/>
  <c r="N52" i="10"/>
  <c r="M52" i="10"/>
  <c r="L52" i="10"/>
  <c r="K52" i="10"/>
  <c r="J52" i="10"/>
  <c r="I52" i="10"/>
  <c r="H52" i="10"/>
  <c r="G52" i="10"/>
  <c r="F52" i="10"/>
  <c r="E52" i="10"/>
  <c r="D52" i="10"/>
  <c r="C52" i="10"/>
  <c r="B52" i="10"/>
  <c r="A52" i="10"/>
  <c r="U51" i="10"/>
  <c r="T51" i="10"/>
  <c r="S51" i="10"/>
  <c r="R51" i="10"/>
  <c r="Q51" i="10"/>
  <c r="P51" i="10"/>
  <c r="O51" i="10"/>
  <c r="N51" i="10"/>
  <c r="M51" i="10"/>
  <c r="L51" i="10"/>
  <c r="K51" i="10"/>
  <c r="J51" i="10"/>
  <c r="I51" i="10"/>
  <c r="H51" i="10"/>
  <c r="G51" i="10"/>
  <c r="F51" i="10"/>
  <c r="E51" i="10"/>
  <c r="D51" i="10"/>
  <c r="C51" i="10"/>
  <c r="B51" i="10"/>
  <c r="A51" i="10"/>
  <c r="U50" i="10"/>
  <c r="T50" i="10"/>
  <c r="S50" i="10"/>
  <c r="R50" i="10"/>
  <c r="Q50" i="10"/>
  <c r="P50" i="10"/>
  <c r="O50" i="10"/>
  <c r="N50" i="10"/>
  <c r="M50" i="10"/>
  <c r="L50" i="10"/>
  <c r="K50" i="10"/>
  <c r="J50" i="10"/>
  <c r="I50" i="10"/>
  <c r="H50" i="10"/>
  <c r="G50" i="10"/>
  <c r="F50" i="10"/>
  <c r="E50" i="10"/>
  <c r="D50" i="10"/>
  <c r="C50" i="10"/>
  <c r="B50" i="10"/>
  <c r="A50" i="10"/>
  <c r="U49" i="10"/>
  <c r="T49" i="10"/>
  <c r="S49" i="10"/>
  <c r="R49" i="10"/>
  <c r="Q49" i="10"/>
  <c r="P49" i="10"/>
  <c r="O49" i="10"/>
  <c r="N49" i="10"/>
  <c r="M49" i="10"/>
  <c r="L49" i="10"/>
  <c r="K49" i="10"/>
  <c r="J49" i="10"/>
  <c r="I49" i="10"/>
  <c r="H49" i="10"/>
  <c r="G49" i="10"/>
  <c r="F49" i="10"/>
  <c r="E49" i="10"/>
  <c r="D49" i="10"/>
  <c r="C49" i="10"/>
  <c r="B49" i="10"/>
  <c r="A49" i="10"/>
  <c r="U48" i="10"/>
  <c r="T48" i="10"/>
  <c r="S48" i="10"/>
  <c r="R48" i="10"/>
  <c r="Q48" i="10"/>
  <c r="P48" i="10"/>
  <c r="O48" i="10"/>
  <c r="N48" i="10"/>
  <c r="M48" i="10"/>
  <c r="L48" i="10"/>
  <c r="K48" i="10"/>
  <c r="J48" i="10"/>
  <c r="I48" i="10"/>
  <c r="H48" i="10"/>
  <c r="G48" i="10"/>
  <c r="F48" i="10"/>
  <c r="E48" i="10"/>
  <c r="D48" i="10"/>
  <c r="C48" i="10"/>
  <c r="B48" i="10"/>
  <c r="A48" i="10"/>
  <c r="U47" i="10"/>
  <c r="T47" i="10"/>
  <c r="S47" i="10"/>
  <c r="R47" i="10"/>
  <c r="Q47" i="10"/>
  <c r="P47" i="10"/>
  <c r="O47" i="10"/>
  <c r="N47" i="10"/>
  <c r="M47" i="10"/>
  <c r="L47" i="10"/>
  <c r="K47" i="10"/>
  <c r="J47" i="10"/>
  <c r="I47" i="10"/>
  <c r="H47" i="10"/>
  <c r="G47" i="10"/>
  <c r="F47" i="10"/>
  <c r="E47" i="10"/>
  <c r="D47" i="10"/>
  <c r="C47" i="10"/>
  <c r="B47" i="10"/>
  <c r="A47" i="10"/>
  <c r="U46" i="10"/>
  <c r="T46" i="10"/>
  <c r="S46" i="10"/>
  <c r="R46" i="10"/>
  <c r="Q46" i="10"/>
  <c r="P46" i="10"/>
  <c r="O46" i="10"/>
  <c r="N46" i="10"/>
  <c r="M46" i="10"/>
  <c r="L46" i="10"/>
  <c r="K46" i="10"/>
  <c r="J46" i="10"/>
  <c r="I46" i="10"/>
  <c r="H46" i="10"/>
  <c r="G46" i="10"/>
  <c r="F46" i="10"/>
  <c r="E46" i="10"/>
  <c r="D46" i="10"/>
  <c r="C46" i="10"/>
  <c r="B46" i="10"/>
  <c r="A46" i="10"/>
  <c r="U45" i="10"/>
  <c r="T45" i="10"/>
  <c r="S45" i="10"/>
  <c r="R45" i="10"/>
  <c r="Q45" i="10"/>
  <c r="P45" i="10"/>
  <c r="O45" i="10"/>
  <c r="N45" i="10"/>
  <c r="M45" i="10"/>
  <c r="L45" i="10"/>
  <c r="K45" i="10"/>
  <c r="J45" i="10"/>
  <c r="I45" i="10"/>
  <c r="H45" i="10"/>
  <c r="G45" i="10"/>
  <c r="F45" i="10"/>
  <c r="E45" i="10"/>
  <c r="D45" i="10"/>
  <c r="C45" i="10"/>
  <c r="B45" i="10"/>
  <c r="A45" i="10"/>
  <c r="U44" i="10"/>
  <c r="T44" i="10"/>
  <c r="S44" i="10"/>
  <c r="R44" i="10"/>
  <c r="Q44" i="10"/>
  <c r="P44" i="10"/>
  <c r="O44" i="10"/>
  <c r="N44" i="10"/>
  <c r="M44" i="10"/>
  <c r="L44" i="10"/>
  <c r="K44" i="10"/>
  <c r="J44" i="10"/>
  <c r="I44" i="10"/>
  <c r="H44" i="10"/>
  <c r="G44" i="10"/>
  <c r="F44" i="10"/>
  <c r="E44" i="10"/>
  <c r="D44" i="10"/>
  <c r="C44" i="10"/>
  <c r="B44" i="10"/>
  <c r="A44" i="10"/>
  <c r="U43" i="10"/>
  <c r="T43" i="10"/>
  <c r="S43" i="10"/>
  <c r="R43" i="10"/>
  <c r="Q43" i="10"/>
  <c r="P43" i="10"/>
  <c r="O43" i="10"/>
  <c r="N43" i="10"/>
  <c r="M43" i="10"/>
  <c r="L43" i="10"/>
  <c r="K43" i="10"/>
  <c r="J43" i="10"/>
  <c r="I43" i="10"/>
  <c r="H43" i="10"/>
  <c r="G43" i="10"/>
  <c r="F43" i="10"/>
  <c r="E43" i="10"/>
  <c r="D43" i="10"/>
  <c r="C43" i="10"/>
  <c r="B43" i="10"/>
  <c r="A43" i="10"/>
  <c r="U42" i="10"/>
  <c r="T42" i="10"/>
  <c r="S42" i="10"/>
  <c r="R42" i="10"/>
  <c r="Q42" i="10"/>
  <c r="P42" i="10"/>
  <c r="O42" i="10"/>
  <c r="N42" i="10"/>
  <c r="M42" i="10"/>
  <c r="L42" i="10"/>
  <c r="K42" i="10"/>
  <c r="J42" i="10"/>
  <c r="I42" i="10"/>
  <c r="H42" i="10"/>
  <c r="G42" i="10"/>
  <c r="F42" i="10"/>
  <c r="E42" i="10"/>
  <c r="D42" i="10"/>
  <c r="C42" i="10"/>
  <c r="B42" i="10"/>
  <c r="A42" i="10"/>
  <c r="U41" i="10"/>
  <c r="T41" i="10"/>
  <c r="S41" i="10"/>
  <c r="R41" i="10"/>
  <c r="Q41" i="10"/>
  <c r="P41" i="10"/>
  <c r="O41" i="10"/>
  <c r="N41" i="10"/>
  <c r="M41" i="10"/>
  <c r="L41" i="10"/>
  <c r="K41" i="10"/>
  <c r="J41" i="10"/>
  <c r="I41" i="10"/>
  <c r="H41" i="10"/>
  <c r="G41" i="10"/>
  <c r="F41" i="10"/>
  <c r="E41" i="10"/>
  <c r="D41" i="10"/>
  <c r="C41" i="10"/>
  <c r="B41" i="10"/>
  <c r="A41" i="10"/>
  <c r="U40" i="10"/>
  <c r="T40" i="10"/>
  <c r="S40" i="10"/>
  <c r="R40" i="10"/>
  <c r="Q40" i="10"/>
  <c r="P40" i="10"/>
  <c r="O40" i="10"/>
  <c r="N40" i="10"/>
  <c r="M40" i="10"/>
  <c r="L40" i="10"/>
  <c r="K40" i="10"/>
  <c r="J40" i="10"/>
  <c r="I40" i="10"/>
  <c r="H40" i="10"/>
  <c r="G40" i="10"/>
  <c r="F40" i="10"/>
  <c r="E40" i="10"/>
  <c r="D40" i="10"/>
  <c r="C40" i="10"/>
  <c r="B40" i="10"/>
  <c r="A40" i="10"/>
  <c r="U39" i="10"/>
  <c r="T39" i="10"/>
  <c r="S39" i="10"/>
  <c r="R39" i="10"/>
  <c r="Q39" i="10"/>
  <c r="P39" i="10"/>
  <c r="O39" i="10"/>
  <c r="N39" i="10"/>
  <c r="M39" i="10"/>
  <c r="L39" i="10"/>
  <c r="K39" i="10"/>
  <c r="J39" i="10"/>
  <c r="I39" i="10"/>
  <c r="H39" i="10"/>
  <c r="G39" i="10"/>
  <c r="F39" i="10"/>
  <c r="E39" i="10"/>
  <c r="D39" i="10"/>
  <c r="C39" i="10"/>
  <c r="B39" i="10"/>
  <c r="A39" i="10"/>
  <c r="U38" i="10"/>
  <c r="T38" i="10"/>
  <c r="S38" i="10"/>
  <c r="R38" i="10"/>
  <c r="Q38" i="10"/>
  <c r="P38" i="10"/>
  <c r="O38" i="10"/>
  <c r="N38" i="10"/>
  <c r="M38" i="10"/>
  <c r="L38" i="10"/>
  <c r="K38" i="10"/>
  <c r="J38" i="10"/>
  <c r="I38" i="10"/>
  <c r="H38" i="10"/>
  <c r="G38" i="10"/>
  <c r="F38" i="10"/>
  <c r="E38" i="10"/>
  <c r="D38" i="10"/>
  <c r="C38" i="10"/>
  <c r="B38" i="10"/>
  <c r="A38" i="10"/>
  <c r="U37" i="10"/>
  <c r="T37" i="10"/>
  <c r="S37" i="10"/>
  <c r="R37" i="10"/>
  <c r="Q37" i="10"/>
  <c r="P37" i="10"/>
  <c r="O37" i="10"/>
  <c r="N37" i="10"/>
  <c r="M37" i="10"/>
  <c r="L37" i="10"/>
  <c r="K37" i="10"/>
  <c r="J37" i="10"/>
  <c r="I37" i="10"/>
  <c r="H37" i="10"/>
  <c r="G37" i="10"/>
  <c r="F37" i="10"/>
  <c r="E37" i="10"/>
  <c r="D37" i="10"/>
  <c r="C37" i="10"/>
  <c r="B37" i="10"/>
  <c r="A37" i="10"/>
  <c r="U36" i="10"/>
  <c r="T36" i="10"/>
  <c r="S36" i="10"/>
  <c r="R36" i="10"/>
  <c r="Q36" i="10"/>
  <c r="P36" i="10"/>
  <c r="O36" i="10"/>
  <c r="N36" i="10"/>
  <c r="M36" i="10"/>
  <c r="L36" i="10"/>
  <c r="K36" i="10"/>
  <c r="J36" i="10"/>
  <c r="I36" i="10"/>
  <c r="H36" i="10"/>
  <c r="G36" i="10"/>
  <c r="F36" i="10"/>
  <c r="E36" i="10"/>
  <c r="D36" i="10"/>
  <c r="C36" i="10"/>
  <c r="B36" i="10"/>
  <c r="A36" i="10"/>
  <c r="U35" i="10"/>
  <c r="T35" i="10"/>
  <c r="S35" i="10"/>
  <c r="R35" i="10"/>
  <c r="Q35" i="10"/>
  <c r="P35" i="10"/>
  <c r="O35" i="10"/>
  <c r="N35" i="10"/>
  <c r="M35" i="10"/>
  <c r="L35" i="10"/>
  <c r="K35" i="10"/>
  <c r="J35" i="10"/>
  <c r="I35" i="10"/>
  <c r="H35" i="10"/>
  <c r="G35" i="10"/>
  <c r="F35" i="10"/>
  <c r="E35" i="10"/>
  <c r="D35" i="10"/>
  <c r="C35" i="10"/>
  <c r="B35" i="10"/>
  <c r="A35" i="10"/>
  <c r="U34" i="10"/>
  <c r="T34" i="10"/>
  <c r="S34" i="10"/>
  <c r="R34" i="10"/>
  <c r="Q34" i="10"/>
  <c r="P34" i="10"/>
  <c r="O34" i="10"/>
  <c r="N34" i="10"/>
  <c r="M34" i="10"/>
  <c r="L34" i="10"/>
  <c r="K34" i="10"/>
  <c r="J34" i="10"/>
  <c r="I34" i="10"/>
  <c r="H34" i="10"/>
  <c r="G34" i="10"/>
  <c r="F34" i="10"/>
  <c r="E34" i="10"/>
  <c r="D34" i="10"/>
  <c r="C34" i="10"/>
  <c r="B34" i="10"/>
  <c r="A34" i="10"/>
  <c r="U33" i="10"/>
  <c r="T33" i="10"/>
  <c r="S33" i="10"/>
  <c r="R33" i="10"/>
  <c r="Q33" i="10"/>
  <c r="P33" i="10"/>
  <c r="O33" i="10"/>
  <c r="N33" i="10"/>
  <c r="M33" i="10"/>
  <c r="L33" i="10"/>
  <c r="K33" i="10"/>
  <c r="J33" i="10"/>
  <c r="I33" i="10"/>
  <c r="H33" i="10"/>
  <c r="G33" i="10"/>
  <c r="F33" i="10"/>
  <c r="E33" i="10"/>
  <c r="D33" i="10"/>
  <c r="C33" i="10"/>
  <c r="B33" i="10"/>
  <c r="A33" i="10"/>
  <c r="U32" i="10"/>
  <c r="T32" i="10"/>
  <c r="S32" i="10"/>
  <c r="R32" i="10"/>
  <c r="Q32" i="10"/>
  <c r="P32" i="10"/>
  <c r="O32" i="10"/>
  <c r="N32" i="10"/>
  <c r="M32" i="10"/>
  <c r="L32" i="10"/>
  <c r="K32" i="10"/>
  <c r="J32" i="10"/>
  <c r="I32" i="10"/>
  <c r="H32" i="10"/>
  <c r="G32" i="10"/>
  <c r="F32" i="10"/>
  <c r="E32" i="10"/>
  <c r="D32" i="10"/>
  <c r="C32" i="10"/>
  <c r="B32" i="10"/>
  <c r="A32" i="10"/>
  <c r="U31" i="10"/>
  <c r="T31" i="10"/>
  <c r="S31" i="10"/>
  <c r="R31" i="10"/>
  <c r="Q31" i="10"/>
  <c r="P31" i="10"/>
  <c r="O31" i="10"/>
  <c r="N31" i="10"/>
  <c r="M31" i="10"/>
  <c r="L31" i="10"/>
  <c r="K31" i="10"/>
  <c r="J31" i="10"/>
  <c r="I31" i="10"/>
  <c r="H31" i="10"/>
  <c r="G31" i="10"/>
  <c r="F31" i="10"/>
  <c r="E31" i="10"/>
  <c r="D31" i="10"/>
  <c r="C31" i="10"/>
  <c r="B31" i="10"/>
  <c r="A31" i="10"/>
  <c r="U30" i="10"/>
  <c r="T30" i="10"/>
  <c r="S30" i="10"/>
  <c r="R30" i="10"/>
  <c r="Q30" i="10"/>
  <c r="P30" i="10"/>
  <c r="O30" i="10"/>
  <c r="N30" i="10"/>
  <c r="M30" i="10"/>
  <c r="L30" i="10"/>
  <c r="K30" i="10"/>
  <c r="J30" i="10"/>
  <c r="I30" i="10"/>
  <c r="H30" i="10"/>
  <c r="G30" i="10"/>
  <c r="F30" i="10"/>
  <c r="E30" i="10"/>
  <c r="D30" i="10"/>
  <c r="C30" i="10"/>
  <c r="B30" i="10"/>
  <c r="A30" i="10"/>
  <c r="U29" i="10"/>
  <c r="T29" i="10"/>
  <c r="S29" i="10"/>
  <c r="R29" i="10"/>
  <c r="Q29" i="10"/>
  <c r="P29" i="10"/>
  <c r="O29" i="10"/>
  <c r="N29" i="10"/>
  <c r="M29" i="10"/>
  <c r="L29" i="10"/>
  <c r="K29" i="10"/>
  <c r="J29" i="10"/>
  <c r="I29" i="10"/>
  <c r="H29" i="10"/>
  <c r="G29" i="10"/>
  <c r="F29" i="10"/>
  <c r="E29" i="10"/>
  <c r="D29" i="10"/>
  <c r="C29" i="10"/>
  <c r="B29" i="10"/>
  <c r="A29" i="10"/>
  <c r="U28" i="10"/>
  <c r="T28" i="10"/>
  <c r="S28" i="10"/>
  <c r="R28" i="10"/>
  <c r="Q28" i="10"/>
  <c r="P28" i="10"/>
  <c r="O28" i="10"/>
  <c r="N28" i="10"/>
  <c r="M28" i="10"/>
  <c r="L28" i="10"/>
  <c r="K28" i="10"/>
  <c r="J28" i="10"/>
  <c r="I28" i="10"/>
  <c r="H28" i="10"/>
  <c r="G28" i="10"/>
  <c r="F28" i="10"/>
  <c r="E28" i="10"/>
  <c r="D28" i="10"/>
  <c r="C28" i="10"/>
  <c r="B28" i="10"/>
  <c r="A28" i="10"/>
  <c r="U27" i="10"/>
  <c r="T27" i="10"/>
  <c r="S27" i="10"/>
  <c r="R27" i="10"/>
  <c r="Q27" i="10"/>
  <c r="P27" i="10"/>
  <c r="O27" i="10"/>
  <c r="N27" i="10"/>
  <c r="M27" i="10"/>
  <c r="L27" i="10"/>
  <c r="K27" i="10"/>
  <c r="J27" i="10"/>
  <c r="I27" i="10"/>
  <c r="H27" i="10"/>
  <c r="G27" i="10"/>
  <c r="F27" i="10"/>
  <c r="E27" i="10"/>
  <c r="D27" i="10"/>
  <c r="C27" i="10"/>
  <c r="B27" i="10"/>
  <c r="A27" i="10"/>
  <c r="U26" i="10"/>
  <c r="T26" i="10"/>
  <c r="S26" i="10"/>
  <c r="R26" i="10"/>
  <c r="Q26" i="10"/>
  <c r="P26" i="10"/>
  <c r="O26" i="10"/>
  <c r="N26" i="10"/>
  <c r="M26" i="10"/>
  <c r="L26" i="10"/>
  <c r="K26" i="10"/>
  <c r="J26" i="10"/>
  <c r="I26" i="10"/>
  <c r="H26" i="10"/>
  <c r="G26" i="10"/>
  <c r="F26" i="10"/>
  <c r="E26" i="10"/>
  <c r="D26" i="10"/>
  <c r="C26" i="10"/>
  <c r="B26" i="10"/>
  <c r="A26" i="10"/>
  <c r="U25" i="10"/>
  <c r="T25" i="10"/>
  <c r="S25" i="10"/>
  <c r="R25" i="10"/>
  <c r="Q25" i="10"/>
  <c r="P25" i="10"/>
  <c r="O25" i="10"/>
  <c r="N25" i="10"/>
  <c r="M25" i="10"/>
  <c r="L25" i="10"/>
  <c r="K25" i="10"/>
  <c r="J25" i="10"/>
  <c r="I25" i="10"/>
  <c r="H25" i="10"/>
  <c r="G25" i="10"/>
  <c r="F25" i="10"/>
  <c r="E25" i="10"/>
  <c r="D25" i="10"/>
  <c r="C25" i="10"/>
  <c r="B25" i="10"/>
  <c r="A25" i="10"/>
  <c r="U24" i="10"/>
  <c r="T24" i="10"/>
  <c r="S24" i="10"/>
  <c r="R24" i="10"/>
  <c r="Q24" i="10"/>
  <c r="P24" i="10"/>
  <c r="O24" i="10"/>
  <c r="N24" i="10"/>
  <c r="M24" i="10"/>
  <c r="L24" i="10"/>
  <c r="K24" i="10"/>
  <c r="J24" i="10"/>
  <c r="I24" i="10"/>
  <c r="H24" i="10"/>
  <c r="G24" i="10"/>
  <c r="F24" i="10"/>
  <c r="E24" i="10"/>
  <c r="D24" i="10"/>
  <c r="C24" i="10"/>
  <c r="B24" i="10"/>
  <c r="A24" i="10"/>
  <c r="U23" i="10"/>
  <c r="T23" i="10"/>
  <c r="S23" i="10"/>
  <c r="R23" i="10"/>
  <c r="Q23" i="10"/>
  <c r="P23" i="10"/>
  <c r="O23" i="10"/>
  <c r="N23" i="10"/>
  <c r="M23" i="10"/>
  <c r="L23" i="10"/>
  <c r="K23" i="10"/>
  <c r="J23" i="10"/>
  <c r="I23" i="10"/>
  <c r="H23" i="10"/>
  <c r="G23" i="10"/>
  <c r="F23" i="10"/>
  <c r="E23" i="10"/>
  <c r="D23" i="10"/>
  <c r="C23" i="10"/>
  <c r="B23" i="10"/>
  <c r="A23" i="10"/>
  <c r="U22" i="10"/>
  <c r="T22" i="10"/>
  <c r="S22" i="10"/>
  <c r="R22" i="10"/>
  <c r="Q22" i="10"/>
  <c r="P22" i="10"/>
  <c r="O22" i="10"/>
  <c r="N22" i="10"/>
  <c r="M22" i="10"/>
  <c r="L22" i="10"/>
  <c r="K22" i="10"/>
  <c r="J22" i="10"/>
  <c r="I22" i="10"/>
  <c r="H22" i="10"/>
  <c r="G22" i="10"/>
  <c r="F22" i="10"/>
  <c r="E22" i="10"/>
  <c r="D22" i="10"/>
  <c r="C22" i="10"/>
  <c r="B22" i="10"/>
  <c r="A22" i="10"/>
  <c r="U21" i="10"/>
  <c r="T21" i="10"/>
  <c r="S21" i="10"/>
  <c r="R21" i="10"/>
  <c r="Q21" i="10"/>
  <c r="P21" i="10"/>
  <c r="O21" i="10"/>
  <c r="N21" i="10"/>
  <c r="M21" i="10"/>
  <c r="L21" i="10"/>
  <c r="K21" i="10"/>
  <c r="J21" i="10"/>
  <c r="I21" i="10"/>
  <c r="H21" i="10"/>
  <c r="G21" i="10"/>
  <c r="F21" i="10"/>
  <c r="E21" i="10"/>
  <c r="D21" i="10"/>
  <c r="C21" i="10"/>
  <c r="B21" i="10"/>
  <c r="A21" i="10"/>
  <c r="U20" i="10"/>
  <c r="T20" i="10"/>
  <c r="S20" i="10"/>
  <c r="R20" i="10"/>
  <c r="Q20" i="10"/>
  <c r="P20" i="10"/>
  <c r="O20" i="10"/>
  <c r="N20" i="10"/>
  <c r="M20" i="10"/>
  <c r="L20" i="10"/>
  <c r="K20" i="10"/>
  <c r="J20" i="10"/>
  <c r="I20" i="10"/>
  <c r="H20" i="10"/>
  <c r="G20" i="10"/>
  <c r="F20" i="10"/>
  <c r="E20" i="10"/>
  <c r="D20" i="10"/>
  <c r="C20" i="10"/>
  <c r="B20" i="10"/>
  <c r="A20" i="10"/>
  <c r="U19" i="10"/>
  <c r="T19" i="10"/>
  <c r="S19" i="10"/>
  <c r="R19" i="10"/>
  <c r="Q19" i="10"/>
  <c r="P19" i="10"/>
  <c r="O19" i="10"/>
  <c r="N19" i="10"/>
  <c r="M19" i="10"/>
  <c r="L19" i="10"/>
  <c r="K19" i="10"/>
  <c r="J19" i="10"/>
  <c r="I19" i="10"/>
  <c r="H19" i="10"/>
  <c r="G19" i="10"/>
  <c r="F19" i="10"/>
  <c r="E19" i="10"/>
  <c r="D19" i="10"/>
  <c r="C19" i="10"/>
  <c r="B19" i="10"/>
  <c r="A19" i="10"/>
  <c r="U18" i="10"/>
  <c r="T18" i="10"/>
  <c r="S18" i="10"/>
  <c r="R18" i="10"/>
  <c r="Q18" i="10"/>
  <c r="P18" i="10"/>
  <c r="O18" i="10"/>
  <c r="N18" i="10"/>
  <c r="M18" i="10"/>
  <c r="L18" i="10"/>
  <c r="K18" i="10"/>
  <c r="J18" i="10"/>
  <c r="I18" i="10"/>
  <c r="H18" i="10"/>
  <c r="G18" i="10"/>
  <c r="F18" i="10"/>
  <c r="E18" i="10"/>
  <c r="D18" i="10"/>
  <c r="C18" i="10"/>
  <c r="B18" i="10"/>
  <c r="A18" i="10"/>
  <c r="U17" i="10"/>
  <c r="T17" i="10"/>
  <c r="S17" i="10"/>
  <c r="R17" i="10"/>
  <c r="Q17" i="10"/>
  <c r="P17" i="10"/>
  <c r="O17" i="10"/>
  <c r="N17" i="10"/>
  <c r="M17" i="10"/>
  <c r="L17" i="10"/>
  <c r="K17" i="10"/>
  <c r="J17" i="10"/>
  <c r="I17" i="10"/>
  <c r="H17" i="10"/>
  <c r="G17" i="10"/>
  <c r="F17" i="10"/>
  <c r="E17" i="10"/>
  <c r="D17" i="10"/>
  <c r="C17" i="10"/>
  <c r="B17" i="10"/>
  <c r="A17" i="10"/>
  <c r="U16" i="10"/>
  <c r="T16" i="10"/>
  <c r="S16" i="10"/>
  <c r="R16" i="10"/>
  <c r="Q16" i="10"/>
  <c r="P16" i="10"/>
  <c r="O16" i="10"/>
  <c r="N16" i="10"/>
  <c r="M16" i="10"/>
  <c r="L16" i="10"/>
  <c r="K16" i="10"/>
  <c r="J16" i="10"/>
  <c r="I16" i="10"/>
  <c r="H16" i="10"/>
  <c r="G16" i="10"/>
  <c r="F16" i="10"/>
  <c r="E16" i="10"/>
  <c r="D16" i="10"/>
  <c r="C16" i="10"/>
  <c r="B16" i="10"/>
  <c r="A16" i="10"/>
  <c r="U15" i="10"/>
  <c r="T15" i="10"/>
  <c r="S15" i="10"/>
  <c r="R15" i="10"/>
  <c r="Q15" i="10"/>
  <c r="P15" i="10"/>
  <c r="O15" i="10"/>
  <c r="N15" i="10"/>
  <c r="M15" i="10"/>
  <c r="L15" i="10"/>
  <c r="K15" i="10"/>
  <c r="J15" i="10"/>
  <c r="I15" i="10"/>
  <c r="H15" i="10"/>
  <c r="G15" i="10"/>
  <c r="F15" i="10"/>
  <c r="E15" i="10"/>
  <c r="D15" i="10"/>
  <c r="C15" i="10"/>
  <c r="B15" i="10"/>
  <c r="A15" i="10"/>
  <c r="U14" i="10"/>
  <c r="T14" i="10"/>
  <c r="S14" i="10"/>
  <c r="R14" i="10"/>
  <c r="Q14" i="10"/>
  <c r="P14" i="10"/>
  <c r="O14" i="10"/>
  <c r="N14" i="10"/>
  <c r="M14" i="10"/>
  <c r="L14" i="10"/>
  <c r="K14" i="10"/>
  <c r="J14" i="10"/>
  <c r="I14" i="10"/>
  <c r="H14" i="10"/>
  <c r="G14" i="10"/>
  <c r="F14" i="10"/>
  <c r="E14" i="10"/>
  <c r="D14" i="10"/>
  <c r="C14" i="10"/>
  <c r="B14" i="10"/>
  <c r="A14" i="10"/>
  <c r="U13" i="10"/>
  <c r="T13" i="10"/>
  <c r="S13" i="10"/>
  <c r="R13" i="10"/>
  <c r="Q13" i="10"/>
  <c r="P13" i="10"/>
  <c r="O13" i="10"/>
  <c r="N13" i="10"/>
  <c r="M13" i="10"/>
  <c r="L13" i="10"/>
  <c r="K13" i="10"/>
  <c r="J13" i="10"/>
  <c r="I13" i="10"/>
  <c r="H13" i="10"/>
  <c r="G13" i="10"/>
  <c r="F13" i="10"/>
  <c r="E13" i="10"/>
  <c r="D13" i="10"/>
  <c r="C13" i="10"/>
  <c r="B13" i="10"/>
  <c r="A13" i="10"/>
  <c r="U12" i="10"/>
  <c r="T12" i="10"/>
  <c r="S12" i="10"/>
  <c r="R12" i="10"/>
  <c r="Q12" i="10"/>
  <c r="P12" i="10"/>
  <c r="O12" i="10"/>
  <c r="N12" i="10"/>
  <c r="M12" i="10"/>
  <c r="L12" i="10"/>
  <c r="K12" i="10"/>
  <c r="J12" i="10"/>
  <c r="I12" i="10"/>
  <c r="H12" i="10"/>
  <c r="G12" i="10"/>
  <c r="F12" i="10"/>
  <c r="E12" i="10"/>
  <c r="D12" i="10"/>
  <c r="C12" i="10"/>
  <c r="B12" i="10"/>
  <c r="A12" i="10"/>
  <c r="U11" i="10"/>
  <c r="T11" i="10"/>
  <c r="S11" i="10"/>
  <c r="R11" i="10"/>
  <c r="Q11" i="10"/>
  <c r="P11" i="10"/>
  <c r="O11" i="10"/>
  <c r="N11" i="10"/>
  <c r="M11" i="10"/>
  <c r="L11" i="10"/>
  <c r="K11" i="10"/>
  <c r="J11" i="10"/>
  <c r="I11" i="10"/>
  <c r="H11" i="10"/>
  <c r="G11" i="10"/>
  <c r="F11" i="10"/>
  <c r="E11" i="10"/>
  <c r="D11" i="10"/>
  <c r="C11" i="10"/>
  <c r="B11" i="10"/>
  <c r="A11" i="10"/>
  <c r="U10" i="10"/>
  <c r="T10" i="10"/>
  <c r="S10" i="10"/>
  <c r="R10" i="10"/>
  <c r="Q10" i="10"/>
  <c r="P10" i="10"/>
  <c r="O10" i="10"/>
  <c r="N10" i="10"/>
  <c r="M10" i="10"/>
  <c r="L10" i="10"/>
  <c r="K10" i="10"/>
  <c r="J10" i="10"/>
  <c r="I10" i="10"/>
  <c r="H10" i="10"/>
  <c r="G10" i="10"/>
  <c r="F10" i="10"/>
  <c r="E10" i="10"/>
  <c r="D10" i="10"/>
  <c r="C10" i="10"/>
  <c r="B10" i="10"/>
  <c r="A10" i="10"/>
  <c r="U9" i="10"/>
  <c r="T9" i="10"/>
  <c r="S9" i="10"/>
  <c r="R9" i="10"/>
  <c r="Q9" i="10"/>
  <c r="P9" i="10"/>
  <c r="O9" i="10"/>
  <c r="N9" i="10"/>
  <c r="M9" i="10"/>
  <c r="L9" i="10"/>
  <c r="K9" i="10"/>
  <c r="J9" i="10"/>
  <c r="I9" i="10"/>
  <c r="H9" i="10"/>
  <c r="G9" i="10"/>
  <c r="F9" i="10"/>
  <c r="E9" i="10"/>
  <c r="D9" i="10"/>
  <c r="C9" i="10"/>
  <c r="B9" i="10"/>
  <c r="A9" i="10"/>
  <c r="U8" i="10"/>
  <c r="T8" i="10"/>
  <c r="S8" i="10"/>
  <c r="R8" i="10"/>
  <c r="Q8" i="10"/>
  <c r="P8" i="10"/>
  <c r="O8" i="10"/>
  <c r="N8" i="10"/>
  <c r="M8" i="10"/>
  <c r="L8" i="10"/>
  <c r="K8" i="10"/>
  <c r="J8" i="10"/>
  <c r="I8" i="10"/>
  <c r="H8" i="10"/>
  <c r="G8" i="10"/>
  <c r="F8" i="10"/>
  <c r="E8" i="10"/>
  <c r="D8" i="10"/>
  <c r="C8" i="10"/>
  <c r="B8" i="10"/>
  <c r="A8" i="10"/>
  <c r="U7" i="10"/>
  <c r="T7" i="10"/>
  <c r="S7" i="10"/>
  <c r="R7" i="10"/>
  <c r="Q7" i="10"/>
  <c r="P7" i="10"/>
  <c r="O7" i="10"/>
  <c r="N7" i="10"/>
  <c r="M7" i="10"/>
  <c r="L7" i="10"/>
  <c r="K7" i="10"/>
  <c r="J7" i="10"/>
  <c r="I7" i="10"/>
  <c r="H7" i="10"/>
  <c r="G7" i="10"/>
  <c r="F7" i="10"/>
  <c r="E7" i="10"/>
  <c r="D7" i="10"/>
  <c r="C7" i="10"/>
  <c r="B7" i="10"/>
  <c r="C3" i="11" s="1"/>
  <c r="A7" i="10"/>
  <c r="U6" i="10"/>
  <c r="T6" i="10"/>
  <c r="S6" i="10"/>
  <c r="R6" i="10"/>
  <c r="Q6" i="10"/>
  <c r="P6" i="10"/>
  <c r="O6" i="10"/>
  <c r="N6" i="10"/>
  <c r="M6" i="10"/>
  <c r="L6" i="10"/>
  <c r="K6" i="10"/>
  <c r="J6" i="10"/>
  <c r="I6" i="10"/>
  <c r="H6" i="10"/>
  <c r="G6" i="10"/>
  <c r="F6" i="10"/>
  <c r="E6" i="10"/>
  <c r="D6" i="10"/>
  <c r="C6" i="10"/>
  <c r="B6" i="10"/>
  <c r="A6" i="10"/>
  <c r="U5" i="10"/>
  <c r="T5" i="10"/>
  <c r="S5" i="10"/>
  <c r="R5" i="10"/>
  <c r="Q5" i="10"/>
  <c r="P5" i="10"/>
  <c r="O5" i="10"/>
  <c r="N5" i="10"/>
  <c r="M5" i="10"/>
  <c r="L5" i="10"/>
  <c r="K5" i="10"/>
  <c r="J5" i="10"/>
  <c r="I5" i="10"/>
  <c r="H5" i="10"/>
  <c r="G5" i="10"/>
  <c r="F5" i="10"/>
  <c r="E5" i="10"/>
  <c r="D5" i="10"/>
  <c r="C5" i="10"/>
  <c r="B5" i="10"/>
  <c r="A5" i="10"/>
  <c r="U4" i="10"/>
  <c r="T4" i="10"/>
  <c r="S4" i="10"/>
  <c r="R4" i="10"/>
  <c r="Q4" i="10"/>
  <c r="P4" i="10"/>
  <c r="O4" i="10"/>
  <c r="N4" i="10"/>
  <c r="M4" i="10"/>
  <c r="L4" i="10"/>
  <c r="K4" i="10"/>
  <c r="J4" i="10"/>
  <c r="I4" i="10"/>
  <c r="H4" i="10"/>
  <c r="G4" i="10"/>
  <c r="F4" i="10"/>
  <c r="E4" i="10"/>
  <c r="D4" i="10"/>
  <c r="C4" i="10"/>
  <c r="B4" i="10"/>
  <c r="A4" i="10"/>
  <c r="U3" i="10"/>
  <c r="T3" i="10"/>
  <c r="S3" i="10"/>
  <c r="R3" i="10"/>
  <c r="Q3" i="10"/>
  <c r="P3" i="10"/>
  <c r="O3" i="10"/>
  <c r="N3" i="10"/>
  <c r="M3" i="10"/>
  <c r="L3" i="10"/>
  <c r="K3" i="10"/>
  <c r="J3" i="10"/>
  <c r="I3" i="10"/>
  <c r="H3" i="10"/>
  <c r="G3" i="10"/>
  <c r="F3" i="10"/>
  <c r="E3" i="10"/>
  <c r="D3" i="10"/>
  <c r="C3" i="10"/>
  <c r="B3" i="10"/>
  <c r="A3" i="10"/>
  <c r="U2" i="10"/>
  <c r="T2" i="10"/>
  <c r="S2" i="10"/>
  <c r="R2" i="10"/>
  <c r="A19" i="11" s="1"/>
  <c r="Q2" i="10"/>
  <c r="P2" i="10"/>
  <c r="A17" i="11" s="1"/>
  <c r="O2" i="10"/>
  <c r="N2" i="10"/>
  <c r="A15" i="11" s="1"/>
  <c r="M2" i="10"/>
  <c r="L2" i="10"/>
  <c r="K2" i="10"/>
  <c r="J2" i="10"/>
  <c r="J2" i="11" s="1"/>
  <c r="I2" i="10"/>
  <c r="H2" i="10"/>
  <c r="H2" i="11" s="1"/>
  <c r="G2" i="10"/>
  <c r="F2" i="10"/>
  <c r="A7" i="11" s="1"/>
  <c r="E2" i="10"/>
  <c r="A6" i="11" s="1"/>
  <c r="D2" i="10"/>
  <c r="C2" i="10"/>
  <c r="B2" i="10"/>
  <c r="A3" i="11" s="1"/>
  <c r="P27" i="8"/>
  <c r="M27" i="8"/>
  <c r="L27" i="8"/>
  <c r="K27" i="8"/>
  <c r="H27" i="8"/>
  <c r="D27" i="8"/>
  <c r="B27" i="8"/>
  <c r="A27" i="8"/>
  <c r="P26" i="8"/>
  <c r="M26" i="8"/>
  <c r="L26" i="8"/>
  <c r="K26" i="8"/>
  <c r="H26" i="8"/>
  <c r="D26" i="8"/>
  <c r="B26" i="8"/>
  <c r="A26" i="8"/>
  <c r="P25" i="8"/>
  <c r="M25" i="8"/>
  <c r="L25" i="8"/>
  <c r="K25" i="8"/>
  <c r="H25" i="8"/>
  <c r="B25" i="8"/>
  <c r="A25" i="8"/>
  <c r="P24" i="8"/>
  <c r="M24" i="8"/>
  <c r="L24" i="8"/>
  <c r="K24" i="8"/>
  <c r="H24" i="8"/>
  <c r="D24" i="8"/>
  <c r="B24" i="8"/>
  <c r="A24" i="8"/>
  <c r="P23" i="8"/>
  <c r="M23" i="8"/>
  <c r="L23" i="8"/>
  <c r="K23" i="8"/>
  <c r="H23" i="8"/>
  <c r="D23" i="8"/>
  <c r="B23" i="8"/>
  <c r="A23" i="8"/>
  <c r="P22" i="8"/>
  <c r="M22" i="8"/>
  <c r="L22" i="8"/>
  <c r="K22" i="8"/>
  <c r="H22" i="8"/>
  <c r="D22" i="8"/>
  <c r="B22" i="8"/>
  <c r="A22" i="8"/>
  <c r="P21" i="8"/>
  <c r="M21" i="8"/>
  <c r="L21" i="8"/>
  <c r="K21" i="8"/>
  <c r="H21" i="8"/>
  <c r="B21" i="8"/>
  <c r="A21" i="8"/>
  <c r="P20" i="8"/>
  <c r="M20" i="8"/>
  <c r="L20" i="8"/>
  <c r="K20" i="8"/>
  <c r="H20" i="8"/>
  <c r="B20" i="8"/>
  <c r="A20" i="8"/>
  <c r="P19" i="8"/>
  <c r="M19" i="8"/>
  <c r="L19" i="8"/>
  <c r="K19" i="8"/>
  <c r="H19" i="8"/>
  <c r="B19" i="8"/>
  <c r="A19" i="8"/>
  <c r="P18" i="8"/>
  <c r="M18" i="8"/>
  <c r="L18" i="8"/>
  <c r="K18" i="8"/>
  <c r="H18" i="8"/>
  <c r="D18" i="8"/>
  <c r="B18" i="8"/>
  <c r="A18" i="8"/>
  <c r="P17" i="8"/>
  <c r="M17" i="8"/>
  <c r="L17" i="8"/>
  <c r="K17" i="8"/>
  <c r="H17" i="8"/>
  <c r="B17" i="8"/>
  <c r="A17" i="8"/>
  <c r="P16" i="8"/>
  <c r="M16" i="8"/>
  <c r="L16" i="8"/>
  <c r="K16" i="8"/>
  <c r="H16" i="8"/>
  <c r="B16" i="8"/>
  <c r="A16" i="8"/>
  <c r="P15" i="8"/>
  <c r="M15" i="8"/>
  <c r="L15" i="8"/>
  <c r="K15" i="8"/>
  <c r="H15" i="8"/>
  <c r="D15" i="8"/>
  <c r="B15" i="8"/>
  <c r="A15" i="8"/>
  <c r="P14" i="8"/>
  <c r="M14" i="8"/>
  <c r="L14" i="8"/>
  <c r="K14" i="8"/>
  <c r="H14" i="8"/>
  <c r="D14" i="8"/>
  <c r="B14" i="8"/>
  <c r="A14" i="8"/>
  <c r="P13" i="8"/>
  <c r="M13" i="8"/>
  <c r="L13" i="8"/>
  <c r="K13" i="8"/>
  <c r="H13" i="8"/>
  <c r="B13" i="8"/>
  <c r="A13" i="8"/>
  <c r="P12" i="8"/>
  <c r="M12" i="8"/>
  <c r="L12" i="8"/>
  <c r="K12" i="8"/>
  <c r="H12" i="8"/>
  <c r="B12" i="8"/>
  <c r="A12" i="8"/>
  <c r="P11" i="8"/>
  <c r="M11" i="8"/>
  <c r="L11" i="8"/>
  <c r="K11" i="8"/>
  <c r="H11" i="8"/>
  <c r="D11" i="8"/>
  <c r="B11" i="8"/>
  <c r="A11" i="8"/>
  <c r="P10" i="8"/>
  <c r="M10" i="8"/>
  <c r="L10" i="8"/>
  <c r="K10" i="8"/>
  <c r="H10" i="8"/>
  <c r="D10" i="8"/>
  <c r="B10" i="8"/>
  <c r="A10" i="8"/>
  <c r="P9" i="8"/>
  <c r="M9" i="8"/>
  <c r="L9" i="8"/>
  <c r="K9" i="8"/>
  <c r="H9" i="8"/>
  <c r="B9" i="8"/>
  <c r="A9" i="8"/>
  <c r="P8" i="8"/>
  <c r="M8" i="8"/>
  <c r="L8" i="8"/>
  <c r="K8" i="8"/>
  <c r="H8" i="8"/>
  <c r="B8" i="8"/>
  <c r="A8" i="8"/>
  <c r="P7" i="8"/>
  <c r="M7" i="8"/>
  <c r="L7" i="8"/>
  <c r="K7" i="8"/>
  <c r="H7" i="8"/>
  <c r="D7" i="8"/>
  <c r="B7" i="8"/>
  <c r="A7" i="8"/>
  <c r="P6" i="8"/>
  <c r="M6" i="8"/>
  <c r="L6" i="8"/>
  <c r="K6" i="8"/>
  <c r="H6" i="8"/>
  <c r="D6" i="8"/>
  <c r="B6" i="8"/>
  <c r="A6" i="8"/>
  <c r="P5" i="8"/>
  <c r="M5" i="8"/>
  <c r="L5" i="8"/>
  <c r="K5" i="8"/>
  <c r="H5" i="8"/>
  <c r="B5" i="8"/>
  <c r="A5" i="8"/>
  <c r="P4" i="8"/>
  <c r="M4" i="8"/>
  <c r="L4" i="8"/>
  <c r="K4" i="8"/>
  <c r="H4" i="8"/>
  <c r="D4" i="8"/>
  <c r="B4" i="8"/>
  <c r="A4" i="8"/>
  <c r="P3" i="8"/>
  <c r="M3" i="8"/>
  <c r="L3" i="8"/>
  <c r="K3" i="8"/>
  <c r="H3" i="8"/>
  <c r="E29" i="2" s="1"/>
  <c r="D3" i="8"/>
  <c r="B3" i="8"/>
  <c r="A3" i="8"/>
  <c r="AK60" i="7"/>
  <c r="AJ60" i="7"/>
  <c r="AI60" i="7"/>
  <c r="AE60" i="7"/>
  <c r="X60" i="7"/>
  <c r="O60" i="7"/>
  <c r="N60" i="7"/>
  <c r="AH60" i="7" s="1"/>
  <c r="AK59" i="7"/>
  <c r="AJ59" i="7"/>
  <c r="AI59" i="7"/>
  <c r="AE59" i="7"/>
  <c r="X59" i="7"/>
  <c r="O59" i="7"/>
  <c r="N59" i="7"/>
  <c r="AH59" i="7" s="1"/>
  <c r="AK58" i="7"/>
  <c r="AJ58" i="7"/>
  <c r="AI58" i="7"/>
  <c r="AH58" i="7"/>
  <c r="AF58" i="7"/>
  <c r="AG58" i="7" s="1"/>
  <c r="AE58" i="7"/>
  <c r="X58" i="7"/>
  <c r="O58" i="7"/>
  <c r="N58" i="7"/>
  <c r="AK57" i="7"/>
  <c r="AJ57" i="7"/>
  <c r="AI57" i="7"/>
  <c r="AH57" i="7"/>
  <c r="AE57" i="7"/>
  <c r="X57" i="7"/>
  <c r="O57" i="7"/>
  <c r="N57" i="7"/>
  <c r="AK56" i="7"/>
  <c r="AJ56" i="7"/>
  <c r="AI56" i="7"/>
  <c r="AE56" i="7"/>
  <c r="X56" i="7"/>
  <c r="O56" i="7"/>
  <c r="N56" i="7"/>
  <c r="AH56" i="7" s="1"/>
  <c r="AK55" i="7"/>
  <c r="AJ55" i="7"/>
  <c r="AI55" i="7"/>
  <c r="AE55" i="7"/>
  <c r="X55" i="7"/>
  <c r="O55" i="7"/>
  <c r="N55" i="7"/>
  <c r="AH55" i="7" s="1"/>
  <c r="AK54" i="7"/>
  <c r="AJ54" i="7"/>
  <c r="AI54" i="7"/>
  <c r="AH54" i="7"/>
  <c r="AG54" i="7"/>
  <c r="AF54" i="7"/>
  <c r="AE54" i="7"/>
  <c r="X54" i="7"/>
  <c r="O54" i="7"/>
  <c r="N54" i="7"/>
  <c r="AK53" i="7"/>
  <c r="AJ53" i="7"/>
  <c r="AI53" i="7"/>
  <c r="AH53" i="7"/>
  <c r="AE53" i="7"/>
  <c r="X53" i="7"/>
  <c r="O53" i="7"/>
  <c r="AF53" i="7" s="1"/>
  <c r="AG53" i="7" s="1"/>
  <c r="N53" i="7"/>
  <c r="AK52" i="7"/>
  <c r="AJ52" i="7"/>
  <c r="AI52" i="7"/>
  <c r="AE52" i="7"/>
  <c r="X52" i="7"/>
  <c r="O52" i="7"/>
  <c r="AF52" i="7" s="1"/>
  <c r="AG52" i="7" s="1"/>
  <c r="N52" i="7"/>
  <c r="AH52" i="7" s="1"/>
  <c r="AK51" i="7"/>
  <c r="AJ51" i="7"/>
  <c r="AI51" i="7"/>
  <c r="AE51" i="7"/>
  <c r="X51" i="7"/>
  <c r="O51" i="7"/>
  <c r="AF51" i="7" s="1"/>
  <c r="AG51" i="7" s="1"/>
  <c r="N51" i="7"/>
  <c r="AH51" i="7" s="1"/>
  <c r="AK50" i="7"/>
  <c r="AJ50" i="7"/>
  <c r="AI50" i="7"/>
  <c r="AH50" i="7"/>
  <c r="AE50" i="7"/>
  <c r="X50" i="7"/>
  <c r="O50" i="7"/>
  <c r="AF50" i="7" s="1"/>
  <c r="AG50" i="7" s="1"/>
  <c r="N50" i="7"/>
  <c r="AK49" i="7"/>
  <c r="AJ49" i="7"/>
  <c r="AI49" i="7"/>
  <c r="AH49" i="7"/>
  <c r="AE49" i="7"/>
  <c r="X49" i="7"/>
  <c r="O49" i="7"/>
  <c r="N49" i="7"/>
  <c r="AK48" i="7"/>
  <c r="AJ48" i="7"/>
  <c r="AI48" i="7"/>
  <c r="AE48" i="7"/>
  <c r="X48" i="7"/>
  <c r="O48" i="7"/>
  <c r="N48" i="7"/>
  <c r="AH48" i="7" s="1"/>
  <c r="AK47" i="7"/>
  <c r="AJ47" i="7"/>
  <c r="AI47" i="7"/>
  <c r="AE47" i="7"/>
  <c r="X47" i="7"/>
  <c r="O47" i="7"/>
  <c r="N47" i="7"/>
  <c r="AH47" i="7" s="1"/>
  <c r="AK46" i="7"/>
  <c r="AJ46" i="7"/>
  <c r="AI46" i="7"/>
  <c r="AH46" i="7"/>
  <c r="AG46" i="7"/>
  <c r="AE46" i="7"/>
  <c r="AF46" i="7" s="1"/>
  <c r="X46" i="7"/>
  <c r="O46" i="7"/>
  <c r="N46" i="7"/>
  <c r="AK45" i="7"/>
  <c r="AJ45" i="7"/>
  <c r="AI45" i="7"/>
  <c r="AH45" i="7"/>
  <c r="AE45" i="7"/>
  <c r="X45" i="7"/>
  <c r="O45" i="7"/>
  <c r="N45" i="7"/>
  <c r="AK44" i="7"/>
  <c r="AJ44" i="7"/>
  <c r="AI44" i="7"/>
  <c r="AE44" i="7"/>
  <c r="X44" i="7"/>
  <c r="O44" i="7"/>
  <c r="N44" i="7"/>
  <c r="AH44" i="7" s="1"/>
  <c r="AK43" i="7"/>
  <c r="AJ43" i="7"/>
  <c r="AI43" i="7"/>
  <c r="AE43" i="7"/>
  <c r="X43" i="7"/>
  <c r="O43" i="7"/>
  <c r="N43" i="7"/>
  <c r="AH43" i="7" s="1"/>
  <c r="AK42" i="7"/>
  <c r="AJ42" i="7"/>
  <c r="AI42" i="7"/>
  <c r="AH42" i="7"/>
  <c r="AE42" i="7"/>
  <c r="X42" i="7"/>
  <c r="O42" i="7"/>
  <c r="AF42" i="7" s="1"/>
  <c r="AG42" i="7" s="1"/>
  <c r="N42" i="7"/>
  <c r="AK41" i="7"/>
  <c r="AJ41" i="7"/>
  <c r="AI41" i="7"/>
  <c r="AH41" i="7"/>
  <c r="AE41" i="7"/>
  <c r="X41" i="7"/>
  <c r="O41" i="7"/>
  <c r="AF41" i="7" s="1"/>
  <c r="AG41" i="7" s="1"/>
  <c r="N41" i="7"/>
  <c r="AK40" i="7"/>
  <c r="AJ40" i="7"/>
  <c r="AI40" i="7"/>
  <c r="AE40" i="7"/>
  <c r="X40" i="7"/>
  <c r="O40" i="7"/>
  <c r="AF40" i="7" s="1"/>
  <c r="AG40" i="7" s="1"/>
  <c r="N40" i="7"/>
  <c r="AH40" i="7" s="1"/>
  <c r="AK39" i="7"/>
  <c r="AJ39" i="7"/>
  <c r="AI39" i="7"/>
  <c r="AE39" i="7"/>
  <c r="X39" i="7"/>
  <c r="O39" i="7"/>
  <c r="AF39" i="7" s="1"/>
  <c r="AG39" i="7" s="1"/>
  <c r="N39" i="7"/>
  <c r="AH39" i="7" s="1"/>
  <c r="AK38" i="7"/>
  <c r="AJ38" i="7"/>
  <c r="AI38" i="7"/>
  <c r="AH38" i="7"/>
  <c r="AE38" i="7"/>
  <c r="AF38" i="7" s="1"/>
  <c r="AG38" i="7" s="1"/>
  <c r="X38" i="7"/>
  <c r="O38" i="7"/>
  <c r="N38" i="7"/>
  <c r="AK37" i="7"/>
  <c r="AJ37" i="7"/>
  <c r="AI37" i="7"/>
  <c r="AH37" i="7"/>
  <c r="AE37" i="7"/>
  <c r="X37" i="7"/>
  <c r="O37" i="7"/>
  <c r="N37" i="7"/>
  <c r="AK36" i="7"/>
  <c r="AJ36" i="7"/>
  <c r="AI36" i="7"/>
  <c r="AE36" i="7"/>
  <c r="X36" i="7"/>
  <c r="O36" i="7"/>
  <c r="N36" i="7"/>
  <c r="AH36" i="7" s="1"/>
  <c r="AK35" i="7"/>
  <c r="AJ35" i="7"/>
  <c r="AI35" i="7"/>
  <c r="AE35" i="7"/>
  <c r="X35" i="7"/>
  <c r="O35" i="7"/>
  <c r="N35" i="7"/>
  <c r="AH35" i="7" s="1"/>
  <c r="AK34" i="7"/>
  <c r="AJ34" i="7"/>
  <c r="AI34" i="7"/>
  <c r="AH34" i="7"/>
  <c r="AF34" i="7"/>
  <c r="AG34" i="7" s="1"/>
  <c r="AE34" i="7"/>
  <c r="X34" i="7"/>
  <c r="O34" i="7"/>
  <c r="N34" i="7"/>
  <c r="AK33" i="7"/>
  <c r="AJ33" i="7"/>
  <c r="AI33" i="7"/>
  <c r="AH33" i="7"/>
  <c r="AG33" i="7"/>
  <c r="AE33" i="7"/>
  <c r="X33" i="7"/>
  <c r="O33" i="7"/>
  <c r="AF33" i="7" s="1"/>
  <c r="N33" i="7"/>
  <c r="AK32" i="7"/>
  <c r="AJ32" i="7"/>
  <c r="AI32" i="7"/>
  <c r="AG32" i="7"/>
  <c r="AE32" i="7"/>
  <c r="X32" i="7"/>
  <c r="O32" i="7"/>
  <c r="AF32" i="7" s="1"/>
  <c r="N32" i="7"/>
  <c r="AH32" i="7" s="1"/>
  <c r="AK31" i="7"/>
  <c r="AJ31" i="7"/>
  <c r="AI31" i="7"/>
  <c r="AG31" i="7"/>
  <c r="AE31" i="7"/>
  <c r="X31" i="7"/>
  <c r="O31" i="7"/>
  <c r="AF31" i="7" s="1"/>
  <c r="N31" i="7"/>
  <c r="AH31" i="7" s="1"/>
  <c r="AK30" i="7"/>
  <c r="AJ30" i="7"/>
  <c r="AI30" i="7"/>
  <c r="AH30" i="7"/>
  <c r="AE30" i="7"/>
  <c r="X30" i="7"/>
  <c r="O30" i="7"/>
  <c r="AF30" i="7" s="1"/>
  <c r="AG30" i="7" s="1"/>
  <c r="N30" i="7"/>
  <c r="AK29" i="7"/>
  <c r="AJ29" i="7"/>
  <c r="AI29" i="7"/>
  <c r="AH29" i="7"/>
  <c r="AE29" i="7"/>
  <c r="X29" i="7"/>
  <c r="O29" i="7"/>
  <c r="N29" i="7"/>
  <c r="AK28" i="7"/>
  <c r="AJ28" i="7"/>
  <c r="AI28" i="7"/>
  <c r="AE28" i="7"/>
  <c r="X28" i="7"/>
  <c r="O28" i="7"/>
  <c r="N28" i="7"/>
  <c r="AH28" i="7" s="1"/>
  <c r="AK27" i="7"/>
  <c r="J26" i="6" s="1"/>
  <c r="AJ27" i="7"/>
  <c r="AI27" i="7"/>
  <c r="E27" i="8" s="1"/>
  <c r="AE27" i="7"/>
  <c r="X27" i="7"/>
  <c r="O27" i="7"/>
  <c r="N27" i="7"/>
  <c r="AH27" i="7" s="1"/>
  <c r="G26" i="6" s="1"/>
  <c r="AK26" i="7"/>
  <c r="AJ26" i="7"/>
  <c r="AI26" i="7"/>
  <c r="E26" i="8" s="1"/>
  <c r="AH26" i="7"/>
  <c r="AF26" i="7"/>
  <c r="AE26" i="7"/>
  <c r="X26" i="7"/>
  <c r="O26" i="7"/>
  <c r="N26" i="7"/>
  <c r="AK25" i="7"/>
  <c r="AJ25" i="7"/>
  <c r="AI25" i="7"/>
  <c r="E25" i="8" s="1"/>
  <c r="AH25" i="7"/>
  <c r="AE25" i="7"/>
  <c r="X25" i="7"/>
  <c r="O25" i="7"/>
  <c r="N25" i="7"/>
  <c r="AK24" i="7"/>
  <c r="AJ24" i="7"/>
  <c r="I23" i="6" s="1"/>
  <c r="AI24" i="7"/>
  <c r="AE24" i="7"/>
  <c r="X24" i="7"/>
  <c r="O24" i="7"/>
  <c r="N24" i="7"/>
  <c r="AH24" i="7" s="1"/>
  <c r="AK23" i="7"/>
  <c r="AJ23" i="7"/>
  <c r="AI23" i="7"/>
  <c r="AE23" i="7"/>
  <c r="X23" i="7"/>
  <c r="O23" i="7"/>
  <c r="N23" i="7"/>
  <c r="AH23" i="7" s="1"/>
  <c r="G22" i="6" s="1"/>
  <c r="AK22" i="7"/>
  <c r="AJ22" i="7"/>
  <c r="AI22" i="7"/>
  <c r="AH22" i="7"/>
  <c r="AG22" i="7"/>
  <c r="C22" i="8" s="1"/>
  <c r="AF22" i="7"/>
  <c r="E21" i="6" s="1"/>
  <c r="AE22" i="7"/>
  <c r="X22" i="7"/>
  <c r="O22" i="7"/>
  <c r="N22" i="7"/>
  <c r="AK21" i="7"/>
  <c r="J20" i="6" s="1"/>
  <c r="AJ21" i="7"/>
  <c r="AI21" i="7"/>
  <c r="E21" i="8" s="1"/>
  <c r="AH21" i="7"/>
  <c r="G20" i="6" s="1"/>
  <c r="AE21" i="7"/>
  <c r="X21" i="7"/>
  <c r="O21" i="7"/>
  <c r="AF21" i="7" s="1"/>
  <c r="AG21" i="7" s="1"/>
  <c r="N21" i="7"/>
  <c r="AK20" i="7"/>
  <c r="J19" i="6" s="1"/>
  <c r="AJ20" i="7"/>
  <c r="I19" i="6" s="1"/>
  <c r="AI20" i="7"/>
  <c r="E20" i="8" s="1"/>
  <c r="AE20" i="7"/>
  <c r="X20" i="7"/>
  <c r="O20" i="7"/>
  <c r="AF20" i="7" s="1"/>
  <c r="AG20" i="7" s="1"/>
  <c r="C20" i="8" s="1"/>
  <c r="N20" i="7"/>
  <c r="AK19" i="7"/>
  <c r="J18" i="6" s="1"/>
  <c r="AJ19" i="7"/>
  <c r="AI19" i="7"/>
  <c r="E19" i="8" s="1"/>
  <c r="AE19" i="7"/>
  <c r="X19" i="7"/>
  <c r="O19" i="7"/>
  <c r="AF19" i="7" s="1"/>
  <c r="AG19" i="7" s="1"/>
  <c r="N19" i="7"/>
  <c r="AH19" i="7" s="1"/>
  <c r="G18" i="6" s="1"/>
  <c r="AK18" i="7"/>
  <c r="AJ18" i="7"/>
  <c r="AI18" i="7"/>
  <c r="E18" i="8" s="1"/>
  <c r="AH18" i="7"/>
  <c r="AE18" i="7"/>
  <c r="X18" i="7"/>
  <c r="O18" i="7"/>
  <c r="AF18" i="7" s="1"/>
  <c r="N18" i="7"/>
  <c r="AK17" i="7"/>
  <c r="AJ17" i="7"/>
  <c r="AI17" i="7"/>
  <c r="E17" i="8" s="1"/>
  <c r="AH17" i="7"/>
  <c r="G16" i="6" s="1"/>
  <c r="AE17" i="7"/>
  <c r="X17" i="7"/>
  <c r="O17" i="7"/>
  <c r="N17" i="7"/>
  <c r="AK16" i="7"/>
  <c r="AJ16" i="7"/>
  <c r="I15" i="6" s="1"/>
  <c r="AI16" i="7"/>
  <c r="E16" i="8" s="1"/>
  <c r="AE16" i="7"/>
  <c r="X16" i="7"/>
  <c r="O16" i="7"/>
  <c r="N16" i="7"/>
  <c r="AH16" i="7" s="1"/>
  <c r="G15" i="6" s="1"/>
  <c r="AK15" i="7"/>
  <c r="AJ15" i="7"/>
  <c r="AI15" i="7"/>
  <c r="E15" i="8" s="1"/>
  <c r="AE15" i="7"/>
  <c r="X15" i="7"/>
  <c r="O15" i="7"/>
  <c r="N15" i="7"/>
  <c r="AH15" i="7" s="1"/>
  <c r="G14" i="6" s="1"/>
  <c r="AK14" i="7"/>
  <c r="AJ14" i="7"/>
  <c r="AI14" i="7"/>
  <c r="E14" i="8" s="1"/>
  <c r="AH14" i="7"/>
  <c r="AG14" i="7"/>
  <c r="AE14" i="7"/>
  <c r="AF14" i="7" s="1"/>
  <c r="E13" i="6" s="1"/>
  <c r="X14" i="7"/>
  <c r="O14" i="7"/>
  <c r="N14" i="7"/>
  <c r="AK13" i="7"/>
  <c r="AJ13" i="7"/>
  <c r="AI13" i="7"/>
  <c r="E13" i="8" s="1"/>
  <c r="AH13" i="7"/>
  <c r="G12" i="6" s="1"/>
  <c r="AE13" i="7"/>
  <c r="X13" i="7"/>
  <c r="O13" i="7"/>
  <c r="N13" i="7"/>
  <c r="AK12" i="7"/>
  <c r="AJ12" i="7"/>
  <c r="I11" i="6" s="1"/>
  <c r="AI12" i="7"/>
  <c r="E12" i="8" s="1"/>
  <c r="AE12" i="7"/>
  <c r="X12" i="7"/>
  <c r="O12" i="7"/>
  <c r="N12" i="7"/>
  <c r="AH12" i="7" s="1"/>
  <c r="D12" i="8" s="1"/>
  <c r="AK11" i="7"/>
  <c r="AJ11" i="7"/>
  <c r="AI11" i="7"/>
  <c r="E11" i="8" s="1"/>
  <c r="AE11" i="7"/>
  <c r="X11" i="7"/>
  <c r="O11" i="7"/>
  <c r="N11" i="7"/>
  <c r="AH11" i="7" s="1"/>
  <c r="AK10" i="7"/>
  <c r="AJ10" i="7"/>
  <c r="AI10" i="7"/>
  <c r="E10" i="8" s="1"/>
  <c r="AH10" i="7"/>
  <c r="AE10" i="7"/>
  <c r="X10" i="7"/>
  <c r="O10" i="7"/>
  <c r="AF10" i="7" s="1"/>
  <c r="N10" i="7"/>
  <c r="AK9" i="7"/>
  <c r="J8" i="6" s="1"/>
  <c r="AJ9" i="7"/>
  <c r="AI9" i="7"/>
  <c r="E9" i="8" s="1"/>
  <c r="AH9" i="7"/>
  <c r="G8" i="6" s="1"/>
  <c r="AE9" i="7"/>
  <c r="X9" i="7"/>
  <c r="O9" i="7"/>
  <c r="AF9" i="7" s="1"/>
  <c r="N9" i="7"/>
  <c r="AK8" i="7"/>
  <c r="J7" i="6" s="1"/>
  <c r="AJ8" i="7"/>
  <c r="I7" i="6" s="1"/>
  <c r="AI8" i="7"/>
  <c r="E8" i="8" s="1"/>
  <c r="AE8" i="7"/>
  <c r="X8" i="7"/>
  <c r="O8" i="7"/>
  <c r="AF8" i="7" s="1"/>
  <c r="N8" i="7"/>
  <c r="AH8" i="7" s="1"/>
  <c r="D8" i="8" s="1"/>
  <c r="AK7" i="7"/>
  <c r="J6" i="6" s="1"/>
  <c r="AJ7" i="7"/>
  <c r="AI7" i="7"/>
  <c r="E7" i="8" s="1"/>
  <c r="AE7" i="7"/>
  <c r="X7" i="7"/>
  <c r="O7" i="7"/>
  <c r="AF7" i="7" s="1"/>
  <c r="N7" i="7"/>
  <c r="AH7" i="7" s="1"/>
  <c r="AK6" i="7"/>
  <c r="AJ6" i="7"/>
  <c r="AI6" i="7"/>
  <c r="E6" i="8" s="1"/>
  <c r="AH6" i="7"/>
  <c r="AE6" i="7"/>
  <c r="AF6" i="7" s="1"/>
  <c r="X6" i="7"/>
  <c r="O6" i="7"/>
  <c r="N6" i="7"/>
  <c r="AK5" i="7"/>
  <c r="AJ5" i="7"/>
  <c r="AI5" i="7"/>
  <c r="E5" i="8" s="1"/>
  <c r="AH5" i="7"/>
  <c r="D5" i="8" s="1"/>
  <c r="AE5" i="7"/>
  <c r="X5" i="7"/>
  <c r="O5" i="7"/>
  <c r="N5" i="7"/>
  <c r="AK4" i="7"/>
  <c r="J3" i="6" s="1"/>
  <c r="AJ4" i="7"/>
  <c r="I3" i="6" s="1"/>
  <c r="AI4" i="7"/>
  <c r="E4" i="8" s="1"/>
  <c r="AE4" i="7"/>
  <c r="X4" i="7"/>
  <c r="O4" i="7"/>
  <c r="N4" i="7"/>
  <c r="AH4" i="7" s="1"/>
  <c r="AK3" i="7"/>
  <c r="AJ3" i="7"/>
  <c r="AI3" i="7"/>
  <c r="E3" i="8" s="1"/>
  <c r="AE3" i="7"/>
  <c r="X3" i="7"/>
  <c r="O3" i="7"/>
  <c r="N3" i="7"/>
  <c r="AH3" i="7" s="1"/>
  <c r="I26" i="6"/>
  <c r="H26" i="6"/>
  <c r="D26" i="6"/>
  <c r="C26" i="6"/>
  <c r="B26" i="6"/>
  <c r="A26" i="6"/>
  <c r="J25" i="6"/>
  <c r="I25" i="6"/>
  <c r="H25" i="6"/>
  <c r="G25" i="6"/>
  <c r="D25" i="6"/>
  <c r="C25" i="6"/>
  <c r="B25" i="6"/>
  <c r="A25" i="6"/>
  <c r="J24" i="6"/>
  <c r="I24" i="6"/>
  <c r="D24" i="6"/>
  <c r="C24" i="6"/>
  <c r="B24" i="6"/>
  <c r="A24" i="6"/>
  <c r="J23" i="6"/>
  <c r="G23" i="6"/>
  <c r="D23" i="6"/>
  <c r="C23" i="6"/>
  <c r="B23" i="6"/>
  <c r="A23" i="6"/>
  <c r="J22" i="6"/>
  <c r="I22" i="6"/>
  <c r="D22" i="6"/>
  <c r="C22" i="6"/>
  <c r="B22" i="6"/>
  <c r="A22" i="6"/>
  <c r="J21" i="6"/>
  <c r="I21" i="6"/>
  <c r="G21" i="6"/>
  <c r="F21" i="6"/>
  <c r="D21" i="6"/>
  <c r="C21" i="6"/>
  <c r="B21" i="6"/>
  <c r="A21" i="6"/>
  <c r="I20" i="6"/>
  <c r="E20" i="6"/>
  <c r="D20" i="6"/>
  <c r="C20" i="6"/>
  <c r="B20" i="6"/>
  <c r="A20" i="6"/>
  <c r="F19" i="6"/>
  <c r="C19" i="6"/>
  <c r="B19" i="6"/>
  <c r="A19" i="6"/>
  <c r="I18" i="6"/>
  <c r="H18" i="6"/>
  <c r="D18" i="6"/>
  <c r="C18" i="6"/>
  <c r="B18" i="6"/>
  <c r="A18" i="6"/>
  <c r="J17" i="6"/>
  <c r="I17" i="6"/>
  <c r="H17" i="6"/>
  <c r="G17" i="6"/>
  <c r="D17" i="6"/>
  <c r="C17" i="6"/>
  <c r="B17" i="6"/>
  <c r="A17" i="6"/>
  <c r="J16" i="6"/>
  <c r="I16" i="6"/>
  <c r="H16" i="6"/>
  <c r="D16" i="6"/>
  <c r="C16" i="6"/>
  <c r="B16" i="6"/>
  <c r="A16" i="6"/>
  <c r="J15" i="6"/>
  <c r="H15" i="6"/>
  <c r="D15" i="6"/>
  <c r="C15" i="6"/>
  <c r="B15" i="6"/>
  <c r="A15" i="6"/>
  <c r="J14" i="6"/>
  <c r="I14" i="6"/>
  <c r="D14" i="6"/>
  <c r="C14" i="6"/>
  <c r="B14" i="6"/>
  <c r="A14" i="6"/>
  <c r="J13" i="6"/>
  <c r="I13" i="6"/>
  <c r="H13" i="6"/>
  <c r="G13" i="6"/>
  <c r="D13" i="6"/>
  <c r="C13" i="6"/>
  <c r="B13" i="6"/>
  <c r="A13" i="6"/>
  <c r="J12" i="6"/>
  <c r="I12" i="6"/>
  <c r="H12" i="6"/>
  <c r="D12" i="6"/>
  <c r="C12" i="6"/>
  <c r="B12" i="6"/>
  <c r="A12" i="6"/>
  <c r="J11" i="6"/>
  <c r="H11" i="6"/>
  <c r="G11" i="6"/>
  <c r="C11" i="6"/>
  <c r="B11" i="6"/>
  <c r="A11" i="6"/>
  <c r="J10" i="6"/>
  <c r="I10" i="6"/>
  <c r="H10" i="6"/>
  <c r="G10" i="6"/>
  <c r="D10" i="6"/>
  <c r="C10" i="6"/>
  <c r="B10" i="6"/>
  <c r="A10" i="6"/>
  <c r="I9" i="6"/>
  <c r="G9" i="6"/>
  <c r="D9" i="6"/>
  <c r="C9" i="6"/>
  <c r="B9" i="6"/>
  <c r="A9" i="6"/>
  <c r="I8" i="6"/>
  <c r="D8" i="6"/>
  <c r="C8" i="6"/>
  <c r="B8" i="6"/>
  <c r="A8" i="6"/>
  <c r="H7" i="6"/>
  <c r="G7" i="6"/>
  <c r="D7" i="6"/>
  <c r="C7" i="6"/>
  <c r="B7" i="6"/>
  <c r="A7" i="6"/>
  <c r="I6" i="6"/>
  <c r="H6" i="6"/>
  <c r="G6" i="6"/>
  <c r="D6" i="6"/>
  <c r="C6" i="6"/>
  <c r="B6" i="6"/>
  <c r="A6" i="6"/>
  <c r="J5" i="6"/>
  <c r="I5" i="6"/>
  <c r="H5" i="6"/>
  <c r="G5" i="6"/>
  <c r="D5" i="6"/>
  <c r="C5" i="6"/>
  <c r="B5" i="6"/>
  <c r="A5" i="6"/>
  <c r="J4" i="6"/>
  <c r="I4" i="6"/>
  <c r="D4" i="6"/>
  <c r="C4" i="6"/>
  <c r="B4" i="6"/>
  <c r="A4" i="6"/>
  <c r="G3" i="6"/>
  <c r="D3" i="6"/>
  <c r="C3" i="6"/>
  <c r="B3" i="6"/>
  <c r="A3" i="6"/>
  <c r="J2" i="6"/>
  <c r="I2" i="6"/>
  <c r="H2" i="6"/>
  <c r="G2" i="6"/>
  <c r="D2" i="6"/>
  <c r="C2" i="6"/>
  <c r="B2" i="6"/>
  <c r="A2" i="6"/>
  <c r="O42" i="4"/>
  <c r="N42" i="4"/>
  <c r="I42" i="4"/>
  <c r="O41" i="4"/>
  <c r="N41" i="4"/>
  <c r="I41" i="4"/>
  <c r="O40" i="4"/>
  <c r="N40" i="4"/>
  <c r="I40" i="4"/>
  <c r="O39" i="4"/>
  <c r="N39" i="4"/>
  <c r="I39" i="4"/>
  <c r="O38" i="4"/>
  <c r="N38" i="4"/>
  <c r="I38" i="4"/>
  <c r="O37" i="4"/>
  <c r="N37" i="4"/>
  <c r="I37" i="4"/>
  <c r="O36" i="4"/>
  <c r="N36" i="4"/>
  <c r="I36" i="4"/>
  <c r="O35" i="4"/>
  <c r="N35" i="4"/>
  <c r="I35" i="4"/>
  <c r="O34" i="4"/>
  <c r="N34" i="4"/>
  <c r="I34" i="4"/>
  <c r="O33" i="4"/>
  <c r="N33" i="4"/>
  <c r="I33" i="4"/>
  <c r="O32" i="4"/>
  <c r="N32" i="4"/>
  <c r="I32" i="4"/>
  <c r="O31" i="4"/>
  <c r="N31" i="4"/>
  <c r="I31" i="4"/>
  <c r="O30" i="4"/>
  <c r="N30" i="4"/>
  <c r="I30" i="4"/>
  <c r="O29" i="4"/>
  <c r="N29" i="4"/>
  <c r="I29" i="4"/>
  <c r="O28" i="4"/>
  <c r="N28" i="4"/>
  <c r="I28" i="4"/>
  <c r="O27" i="4"/>
  <c r="N27" i="4"/>
  <c r="I27" i="4"/>
  <c r="O26" i="4"/>
  <c r="N26" i="4"/>
  <c r="I26" i="4"/>
  <c r="O25" i="4"/>
  <c r="N25" i="4"/>
  <c r="I25" i="4"/>
  <c r="O24" i="4"/>
  <c r="N24" i="4"/>
  <c r="I24" i="4"/>
  <c r="O23" i="4"/>
  <c r="N23" i="4"/>
  <c r="I23" i="4"/>
  <c r="O22" i="4"/>
  <c r="N22" i="4"/>
  <c r="I22" i="4"/>
  <c r="O21" i="4"/>
  <c r="N21" i="4"/>
  <c r="I21" i="4"/>
  <c r="O20" i="4"/>
  <c r="N20" i="4"/>
  <c r="I20" i="4"/>
  <c r="O19" i="4"/>
  <c r="N19" i="4"/>
  <c r="I19" i="4"/>
  <c r="O18" i="4"/>
  <c r="N18" i="4"/>
  <c r="I18" i="4"/>
  <c r="N17" i="4"/>
  <c r="O17" i="4" s="1"/>
  <c r="I17" i="4"/>
  <c r="N16" i="4"/>
  <c r="I16" i="4"/>
  <c r="O15" i="4"/>
  <c r="N15" i="4"/>
  <c r="I15" i="4"/>
  <c r="N14" i="4"/>
  <c r="O14" i="4" s="1"/>
  <c r="I14" i="4"/>
  <c r="N13" i="4"/>
  <c r="O13" i="4" s="1"/>
  <c r="I13" i="4"/>
  <c r="O12" i="4"/>
  <c r="N12" i="4"/>
  <c r="I12" i="4"/>
  <c r="N11" i="4"/>
  <c r="I11" i="4"/>
  <c r="O11" i="4" s="1"/>
  <c r="O10" i="4"/>
  <c r="N10" i="4"/>
  <c r="I10" i="4"/>
  <c r="O9" i="4"/>
  <c r="N9" i="4"/>
  <c r="I9" i="4"/>
  <c r="N8" i="4"/>
  <c r="I8" i="4"/>
  <c r="O7" i="4"/>
  <c r="N7" i="4"/>
  <c r="I7" i="4"/>
  <c r="N6" i="4"/>
  <c r="O6" i="4" s="1"/>
  <c r="I6" i="4"/>
  <c r="N5" i="4"/>
  <c r="I5" i="4"/>
  <c r="O4" i="4"/>
  <c r="N4" i="4"/>
  <c r="I4" i="4"/>
  <c r="N3" i="4"/>
  <c r="O3" i="4" s="1"/>
  <c r="I3" i="4"/>
  <c r="H38" i="3"/>
  <c r="H36" i="3"/>
  <c r="J35" i="3"/>
  <c r="I35" i="3"/>
  <c r="G35" i="3"/>
  <c r="J34" i="3"/>
  <c r="G34" i="3"/>
  <c r="J33" i="3"/>
  <c r="I33" i="3"/>
  <c r="G33" i="3"/>
  <c r="J32" i="3"/>
  <c r="G32" i="3"/>
  <c r="J31" i="3"/>
  <c r="G31" i="3"/>
  <c r="I31" i="3" s="1"/>
  <c r="J30" i="3"/>
  <c r="I30" i="3"/>
  <c r="G30" i="3"/>
  <c r="G29" i="3"/>
  <c r="K30" i="3" s="1"/>
  <c r="J28" i="3"/>
  <c r="G28" i="3"/>
  <c r="I28" i="3" s="1"/>
  <c r="J27" i="3"/>
  <c r="G27" i="3"/>
  <c r="G26" i="3"/>
  <c r="K26" i="3" s="1"/>
  <c r="J25" i="3"/>
  <c r="I25" i="3"/>
  <c r="G25" i="3"/>
  <c r="G24" i="3"/>
  <c r="L23" i="3"/>
  <c r="G23" i="3"/>
  <c r="J23" i="3" s="1"/>
  <c r="J22" i="3"/>
  <c r="I22" i="3"/>
  <c r="G22" i="3"/>
  <c r="G21" i="3"/>
  <c r="K20" i="3"/>
  <c r="J20" i="3"/>
  <c r="G20" i="3"/>
  <c r="I20" i="3" s="1"/>
  <c r="J19" i="3"/>
  <c r="I19" i="3"/>
  <c r="G19" i="3"/>
  <c r="G18" i="3"/>
  <c r="K17" i="3"/>
  <c r="J17" i="3"/>
  <c r="I17" i="3"/>
  <c r="G17" i="3"/>
  <c r="H15" i="3"/>
  <c r="J14" i="3"/>
  <c r="I14" i="3"/>
  <c r="G14" i="3"/>
  <c r="G13" i="3"/>
  <c r="G12" i="3"/>
  <c r="J12" i="3" s="1"/>
  <c r="J11" i="3"/>
  <c r="I11" i="3"/>
  <c r="G11" i="3"/>
  <c r="G10" i="3"/>
  <c r="K9" i="3"/>
  <c r="J9" i="3"/>
  <c r="G9" i="3"/>
  <c r="I9" i="3" s="1"/>
  <c r="I8" i="3"/>
  <c r="G8" i="3"/>
  <c r="G7" i="3"/>
  <c r="K6" i="3"/>
  <c r="J6" i="3"/>
  <c r="I6" i="3"/>
  <c r="G6" i="3"/>
  <c r="I5" i="3"/>
  <c r="G5" i="3"/>
  <c r="L14" i="3" s="1"/>
  <c r="G4" i="3"/>
  <c r="J4" i="3" s="1"/>
  <c r="K3" i="3"/>
  <c r="J3" i="3"/>
  <c r="I3" i="3"/>
  <c r="G3" i="3"/>
  <c r="E25" i="2"/>
  <c r="E24" i="2"/>
  <c r="E20" i="2"/>
  <c r="E19" i="2"/>
  <c r="E18" i="2"/>
  <c r="E7" i="2"/>
  <c r="E6" i="2"/>
  <c r="E5" i="2"/>
  <c r="L19" i="3" l="1"/>
  <c r="K19" i="3"/>
  <c r="E5" i="6"/>
  <c r="AG6" i="7"/>
  <c r="E17" i="6"/>
  <c r="AG18" i="7"/>
  <c r="C19" i="8"/>
  <c r="F18" i="6"/>
  <c r="L9" i="3"/>
  <c r="L13" i="3"/>
  <c r="K13" i="3"/>
  <c r="J13" i="3"/>
  <c r="E26" i="2"/>
  <c r="G24" i="6"/>
  <c r="D25" i="8"/>
  <c r="E25" i="6"/>
  <c r="AG26" i="7"/>
  <c r="L32" i="3"/>
  <c r="K32" i="3"/>
  <c r="E22" i="8"/>
  <c r="H21" i="6"/>
  <c r="L12" i="3"/>
  <c r="E24" i="8"/>
  <c r="H23" i="6"/>
  <c r="L29" i="3"/>
  <c r="K29" i="3"/>
  <c r="J29" i="3"/>
  <c r="I29" i="3"/>
  <c r="F13" i="6"/>
  <c r="C14" i="8"/>
  <c r="Q14" i="8" s="1"/>
  <c r="R14" i="8" s="1"/>
  <c r="L6" i="3"/>
  <c r="L4" i="3"/>
  <c r="K7" i="3"/>
  <c r="L10" i="3"/>
  <c r="K10" i="3"/>
  <c r="J10" i="3"/>
  <c r="I10" i="3"/>
  <c r="I13" i="3"/>
  <c r="K22" i="3"/>
  <c r="K25" i="3"/>
  <c r="K28" i="3"/>
  <c r="K33" i="3"/>
  <c r="G38" i="3"/>
  <c r="O8" i="4"/>
  <c r="Q22" i="8"/>
  <c r="R22" i="8" s="1"/>
  <c r="L5" i="3"/>
  <c r="K5" i="3"/>
  <c r="L30" i="3"/>
  <c r="L22" i="3"/>
  <c r="G15" i="3"/>
  <c r="L11" i="3"/>
  <c r="J5" i="3"/>
  <c r="L3" i="3"/>
  <c r="L8" i="3"/>
  <c r="K8" i="3"/>
  <c r="L25" i="3"/>
  <c r="L28" i="3"/>
  <c r="L31" i="3"/>
  <c r="L33" i="3"/>
  <c r="O5" i="4"/>
  <c r="AG9" i="7"/>
  <c r="E8" i="6"/>
  <c r="E9" i="6"/>
  <c r="AG10" i="7"/>
  <c r="E23" i="8"/>
  <c r="H22" i="6"/>
  <c r="K34" i="3"/>
  <c r="AG8" i="7"/>
  <c r="E7" i="6"/>
  <c r="A4" i="11"/>
  <c r="C2" i="11"/>
  <c r="A12" i="11"/>
  <c r="K2" i="11"/>
  <c r="A20" i="11"/>
  <c r="S2" i="11"/>
  <c r="U7" i="11"/>
  <c r="M7" i="11"/>
  <c r="D7" i="11"/>
  <c r="S7" i="11"/>
  <c r="K7" i="11"/>
  <c r="B7" i="11"/>
  <c r="Q7" i="11"/>
  <c r="I7" i="11"/>
  <c r="O7" i="11"/>
  <c r="G7" i="11"/>
  <c r="R7" i="11"/>
  <c r="P7" i="11"/>
  <c r="N7" i="11"/>
  <c r="L7" i="11"/>
  <c r="J7" i="11"/>
  <c r="H7" i="11"/>
  <c r="E7" i="11"/>
  <c r="T7" i="11"/>
  <c r="C7" i="11"/>
  <c r="U15" i="11"/>
  <c r="L15" i="11"/>
  <c r="D15" i="11"/>
  <c r="T15" i="11"/>
  <c r="K15" i="11"/>
  <c r="C15" i="11"/>
  <c r="S15" i="11"/>
  <c r="J15" i="11"/>
  <c r="B15" i="11"/>
  <c r="Q15" i="11"/>
  <c r="H15" i="11"/>
  <c r="O15" i="11"/>
  <c r="F15" i="11"/>
  <c r="M15" i="11"/>
  <c r="I15" i="11"/>
  <c r="G15" i="11"/>
  <c r="E15" i="11"/>
  <c r="R15" i="11"/>
  <c r="P15" i="11"/>
  <c r="K12" i="3"/>
  <c r="J8" i="3"/>
  <c r="L17" i="3"/>
  <c r="L20" i="3"/>
  <c r="L24" i="3"/>
  <c r="K24" i="3"/>
  <c r="J24" i="3"/>
  <c r="L27" i="3"/>
  <c r="K27" i="3"/>
  <c r="I32" i="3"/>
  <c r="AG7" i="7"/>
  <c r="E6" i="6"/>
  <c r="K11" i="3"/>
  <c r="K14" i="3"/>
  <c r="K18" i="3"/>
  <c r="L21" i="3"/>
  <c r="K21" i="3"/>
  <c r="J21" i="3"/>
  <c r="I21" i="3"/>
  <c r="I24" i="3"/>
  <c r="I27" i="3"/>
  <c r="L35" i="3"/>
  <c r="K35" i="3"/>
  <c r="O16" i="4"/>
  <c r="AH20" i="7"/>
  <c r="D19" i="6"/>
  <c r="C21" i="8"/>
  <c r="F20" i="6"/>
  <c r="D19" i="8"/>
  <c r="K4" i="3"/>
  <c r="L7" i="3"/>
  <c r="L18" i="3"/>
  <c r="K23" i="3"/>
  <c r="L26" i="3"/>
  <c r="K31" i="3"/>
  <c r="L34" i="3"/>
  <c r="E18" i="6"/>
  <c r="AF3" i="7"/>
  <c r="AF4" i="7"/>
  <c r="AF5" i="7"/>
  <c r="AF35" i="7"/>
  <c r="AG35" i="7" s="1"/>
  <c r="AF36" i="7"/>
  <c r="AG36" i="7" s="1"/>
  <c r="AF37" i="7"/>
  <c r="AG37" i="7" s="1"/>
  <c r="N4" i="11"/>
  <c r="F12" i="11"/>
  <c r="P20" i="11"/>
  <c r="G21" i="12"/>
  <c r="F21" i="12"/>
  <c r="J9" i="6"/>
  <c r="AF15" i="7"/>
  <c r="AF16" i="7"/>
  <c r="AF17" i="7"/>
  <c r="AF47" i="7"/>
  <c r="AG47" i="7" s="1"/>
  <c r="AF48" i="7"/>
  <c r="AG48" i="7" s="1"/>
  <c r="AF49" i="7"/>
  <c r="AG49" i="7" s="1"/>
  <c r="A10" i="11"/>
  <c r="I2" i="11"/>
  <c r="A18" i="11"/>
  <c r="Q2" i="11"/>
  <c r="U5" i="11"/>
  <c r="M5" i="11"/>
  <c r="E5" i="11"/>
  <c r="L5" i="11"/>
  <c r="B5" i="11"/>
  <c r="T5" i="11"/>
  <c r="K5" i="11"/>
  <c r="S5" i="11"/>
  <c r="J5" i="11"/>
  <c r="R5" i="11"/>
  <c r="I5" i="11"/>
  <c r="Q5" i="11"/>
  <c r="H5" i="11"/>
  <c r="P5" i="11"/>
  <c r="G5" i="11"/>
  <c r="O5" i="11"/>
  <c r="F5" i="11"/>
  <c r="N5" i="11"/>
  <c r="C5" i="11"/>
  <c r="O13" i="11"/>
  <c r="F13" i="11"/>
  <c r="U13" i="11"/>
  <c r="M13" i="11"/>
  <c r="D13" i="11"/>
  <c r="S13" i="11"/>
  <c r="J13" i="11"/>
  <c r="B13" i="11"/>
  <c r="Q13" i="11"/>
  <c r="H13" i="11"/>
  <c r="T13" i="11"/>
  <c r="C13" i="11"/>
  <c r="R13" i="11"/>
  <c r="P13" i="11"/>
  <c r="N13" i="11"/>
  <c r="K13" i="11"/>
  <c r="I13" i="11"/>
  <c r="G13" i="11"/>
  <c r="E13" i="11"/>
  <c r="N21" i="11"/>
  <c r="F21" i="11"/>
  <c r="M21" i="11"/>
  <c r="E21" i="11"/>
  <c r="U21" i="11"/>
  <c r="L21" i="11"/>
  <c r="D21" i="11"/>
  <c r="R21" i="11"/>
  <c r="J21" i="11"/>
  <c r="B21" i="11"/>
  <c r="P21" i="11"/>
  <c r="H21" i="11"/>
  <c r="O21" i="11"/>
  <c r="G21" i="11"/>
  <c r="K21" i="11"/>
  <c r="I21" i="11"/>
  <c r="C21" i="11"/>
  <c r="S21" i="11"/>
  <c r="Q21" i="11"/>
  <c r="G13" i="12"/>
  <c r="F13" i="12"/>
  <c r="E19" i="6"/>
  <c r="H24" i="6"/>
  <c r="AF27" i="7"/>
  <c r="AF28" i="7"/>
  <c r="AG28" i="7" s="1"/>
  <c r="AF29" i="7"/>
  <c r="AG29" i="7" s="1"/>
  <c r="AF59" i="7"/>
  <c r="AG59" i="7" s="1"/>
  <c r="AF60" i="7"/>
  <c r="AG60" i="7" s="1"/>
  <c r="L6" i="11"/>
  <c r="Q14" i="11"/>
  <c r="G5" i="12"/>
  <c r="F5" i="12"/>
  <c r="A5" i="11"/>
  <c r="D2" i="11"/>
  <c r="A13" i="11"/>
  <c r="L2" i="11"/>
  <c r="T2" i="11"/>
  <c r="A21" i="11"/>
  <c r="P8" i="11"/>
  <c r="H8" i="11"/>
  <c r="N8" i="11"/>
  <c r="E8" i="11"/>
  <c r="T8" i="11"/>
  <c r="L8" i="11"/>
  <c r="C8" i="11"/>
  <c r="R8" i="11"/>
  <c r="J8" i="11"/>
  <c r="M8" i="11"/>
  <c r="K8" i="11"/>
  <c r="I8" i="11"/>
  <c r="F8" i="11"/>
  <c r="U8" i="11"/>
  <c r="D8" i="11"/>
  <c r="S8" i="11"/>
  <c r="B8" i="11"/>
  <c r="Q8" i="11"/>
  <c r="O8" i="11"/>
  <c r="P16" i="11"/>
  <c r="G16" i="11"/>
  <c r="N16" i="11"/>
  <c r="F16" i="11"/>
  <c r="M16" i="11"/>
  <c r="E16" i="11"/>
  <c r="T16" i="11"/>
  <c r="K16" i="11"/>
  <c r="C16" i="11"/>
  <c r="R16" i="11"/>
  <c r="I16" i="11"/>
  <c r="Q16" i="11"/>
  <c r="H16" i="11"/>
  <c r="U16" i="11"/>
  <c r="S16" i="11"/>
  <c r="L16" i="11"/>
  <c r="J16" i="11"/>
  <c r="D16" i="11"/>
  <c r="B16" i="11"/>
  <c r="L3" i="11"/>
  <c r="H3" i="6"/>
  <c r="H19" i="6"/>
  <c r="H20" i="6"/>
  <c r="D16" i="8"/>
  <c r="A14" i="11"/>
  <c r="M2" i="11"/>
  <c r="A22" i="11"/>
  <c r="U2" i="11"/>
  <c r="S9" i="11"/>
  <c r="K9" i="11"/>
  <c r="B9" i="11"/>
  <c r="Q9" i="11"/>
  <c r="I9" i="11"/>
  <c r="O9" i="11"/>
  <c r="F9" i="11"/>
  <c r="U9" i="11"/>
  <c r="M9" i="11"/>
  <c r="D9" i="11"/>
  <c r="G9" i="11"/>
  <c r="E9" i="11"/>
  <c r="T9" i="11"/>
  <c r="C9" i="11"/>
  <c r="R9" i="11"/>
  <c r="P9" i="11"/>
  <c r="N9" i="11"/>
  <c r="L9" i="11"/>
  <c r="J9" i="11"/>
  <c r="S17" i="11"/>
  <c r="J17" i="11"/>
  <c r="B17" i="11"/>
  <c r="R17" i="11"/>
  <c r="I17" i="11"/>
  <c r="Q17" i="11"/>
  <c r="H17" i="11"/>
  <c r="N17" i="11"/>
  <c r="F17" i="11"/>
  <c r="U17" i="11"/>
  <c r="L17" i="11"/>
  <c r="D17" i="11"/>
  <c r="T17" i="11"/>
  <c r="K17" i="11"/>
  <c r="C17" i="11"/>
  <c r="O17" i="11"/>
  <c r="M17" i="11"/>
  <c r="G17" i="11"/>
  <c r="E17" i="11"/>
  <c r="G37" i="12"/>
  <c r="F37" i="12"/>
  <c r="I7" i="3"/>
  <c r="I18" i="3"/>
  <c r="I36" i="3" s="1"/>
  <c r="I26" i="3"/>
  <c r="I34" i="3"/>
  <c r="I4" i="3"/>
  <c r="I15" i="3" s="1"/>
  <c r="J7" i="3"/>
  <c r="I12" i="3"/>
  <c r="J18" i="3"/>
  <c r="I23" i="3"/>
  <c r="J26" i="3"/>
  <c r="G36" i="3"/>
  <c r="G4" i="6"/>
  <c r="H8" i="6"/>
  <c r="H14" i="6"/>
  <c r="AF11" i="7"/>
  <c r="AF12" i="7"/>
  <c r="AF13" i="7"/>
  <c r="AF43" i="7"/>
  <c r="AG43" i="7" s="1"/>
  <c r="AF44" i="7"/>
  <c r="AG44" i="7" s="1"/>
  <c r="AF45" i="7"/>
  <c r="AG45" i="7" s="1"/>
  <c r="M10" i="11"/>
  <c r="S18" i="11"/>
  <c r="H4" i="6"/>
  <c r="H9" i="6"/>
  <c r="D11" i="6"/>
  <c r="AF23" i="7"/>
  <c r="AF24" i="7"/>
  <c r="AF25" i="7"/>
  <c r="AF55" i="7"/>
  <c r="AG55" i="7" s="1"/>
  <c r="AF56" i="7"/>
  <c r="AG56" i="7" s="1"/>
  <c r="AF57" i="7"/>
  <c r="AG57" i="7" s="1"/>
  <c r="D9" i="8"/>
  <c r="D13" i="8"/>
  <c r="D17" i="8"/>
  <c r="D21" i="8"/>
  <c r="A8" i="11"/>
  <c r="G2" i="11"/>
  <c r="A16" i="11"/>
  <c r="O2" i="11"/>
  <c r="O3" i="11"/>
  <c r="G3" i="11"/>
  <c r="R3" i="11"/>
  <c r="I3" i="11"/>
  <c r="Q3" i="11"/>
  <c r="H3" i="11"/>
  <c r="P3" i="11"/>
  <c r="F3" i="11"/>
  <c r="N3" i="11"/>
  <c r="E3" i="11"/>
  <c r="M3" i="11"/>
  <c r="D3" i="11"/>
  <c r="V3" i="11" s="1"/>
  <c r="U3" i="11"/>
  <c r="T3" i="11"/>
  <c r="K3" i="11"/>
  <c r="S3" i="11"/>
  <c r="J3" i="11"/>
  <c r="Q11" i="11"/>
  <c r="H11" i="11"/>
  <c r="O11" i="11"/>
  <c r="F11" i="11"/>
  <c r="U11" i="11"/>
  <c r="M11" i="11"/>
  <c r="D11" i="11"/>
  <c r="S11" i="11"/>
  <c r="K11" i="11"/>
  <c r="B11" i="11"/>
  <c r="N11" i="11"/>
  <c r="L11" i="11"/>
  <c r="I11" i="11"/>
  <c r="G11" i="11"/>
  <c r="E11" i="11"/>
  <c r="T11" i="11"/>
  <c r="C11" i="11"/>
  <c r="R11" i="11"/>
  <c r="P11" i="11"/>
  <c r="P19" i="11"/>
  <c r="H19" i="11"/>
  <c r="O19" i="11"/>
  <c r="G19" i="11"/>
  <c r="N19" i="11"/>
  <c r="F19" i="11"/>
  <c r="U19" i="11"/>
  <c r="L19" i="11"/>
  <c r="D19" i="11"/>
  <c r="S19" i="11"/>
  <c r="J19" i="11"/>
  <c r="B19" i="11"/>
  <c r="Q19" i="11"/>
  <c r="I19" i="11"/>
  <c r="T19" i="11"/>
  <c r="M19" i="11"/>
  <c r="K19" i="11"/>
  <c r="E19" i="11"/>
  <c r="C19" i="11"/>
  <c r="G29" i="12"/>
  <c r="F29" i="12"/>
  <c r="B2" i="11"/>
  <c r="G4" i="11"/>
  <c r="P4" i="11"/>
  <c r="D10" i="11"/>
  <c r="U10" i="11"/>
  <c r="J12" i="11"/>
  <c r="P18" i="11"/>
  <c r="F20" i="11"/>
  <c r="R6" i="11"/>
  <c r="J6" i="11"/>
  <c r="P6" i="11"/>
  <c r="H6" i="11"/>
  <c r="N6" i="11"/>
  <c r="R14" i="11"/>
  <c r="I14" i="11"/>
  <c r="P14" i="11"/>
  <c r="G14" i="11"/>
  <c r="N14" i="11"/>
  <c r="E14" i="11"/>
  <c r="T14" i="11"/>
  <c r="K14" i="11"/>
  <c r="C14" i="11"/>
  <c r="Q22" i="11"/>
  <c r="I22" i="11"/>
  <c r="P22" i="11"/>
  <c r="H22" i="11"/>
  <c r="O22" i="11"/>
  <c r="G22" i="11"/>
  <c r="M22" i="11"/>
  <c r="E22" i="11"/>
  <c r="S22" i="11"/>
  <c r="K22" i="11"/>
  <c r="C22" i="11"/>
  <c r="R22" i="11"/>
  <c r="J22" i="11"/>
  <c r="B22" i="11"/>
  <c r="H4" i="11"/>
  <c r="Q4" i="11"/>
  <c r="B6" i="11"/>
  <c r="M6" i="11"/>
  <c r="F10" i="11"/>
  <c r="A11" i="11"/>
  <c r="M12" i="11"/>
  <c r="B14" i="11"/>
  <c r="S14" i="11"/>
  <c r="H20" i="11"/>
  <c r="F40" i="12"/>
  <c r="I4" i="11"/>
  <c r="S4" i="11"/>
  <c r="C6" i="11"/>
  <c r="O6" i="11"/>
  <c r="H10" i="11"/>
  <c r="O12" i="11"/>
  <c r="D14" i="11"/>
  <c r="U14" i="11"/>
  <c r="N20" i="11"/>
  <c r="D22" i="11"/>
  <c r="G36" i="12"/>
  <c r="F36" i="12"/>
  <c r="F41" i="12"/>
  <c r="G41" i="12"/>
  <c r="F2" i="11"/>
  <c r="K4" i="11"/>
  <c r="T4" i="11"/>
  <c r="D6" i="11"/>
  <c r="Q6" i="11"/>
  <c r="K10" i="11"/>
  <c r="Q12" i="11"/>
  <c r="F14" i="11"/>
  <c r="F22" i="11"/>
  <c r="G4" i="12"/>
  <c r="F4" i="12"/>
  <c r="G12" i="12"/>
  <c r="F12" i="12"/>
  <c r="G20" i="12"/>
  <c r="F20" i="12"/>
  <c r="G28" i="12"/>
  <c r="F28" i="12"/>
  <c r="F33" i="12"/>
  <c r="G33" i="12"/>
  <c r="P2" i="11"/>
  <c r="B4" i="11"/>
  <c r="L4" i="11"/>
  <c r="U4" i="11"/>
  <c r="F6" i="11"/>
  <c r="S6" i="11"/>
  <c r="A9" i="11"/>
  <c r="B12" i="11"/>
  <c r="S12" i="11"/>
  <c r="H14" i="11"/>
  <c r="L22" i="11"/>
  <c r="F9" i="12"/>
  <c r="G9" i="12"/>
  <c r="F17" i="12"/>
  <c r="G17" i="12"/>
  <c r="F25" i="12"/>
  <c r="G25" i="12"/>
  <c r="G42" i="12"/>
  <c r="F42" i="12"/>
  <c r="N10" i="11"/>
  <c r="E10" i="11"/>
  <c r="T10" i="11"/>
  <c r="L10" i="11"/>
  <c r="C10" i="11"/>
  <c r="R10" i="11"/>
  <c r="J10" i="11"/>
  <c r="P10" i="11"/>
  <c r="G10" i="11"/>
  <c r="M18" i="11"/>
  <c r="E18" i="11"/>
  <c r="U18" i="11"/>
  <c r="L18" i="11"/>
  <c r="D18" i="11"/>
  <c r="T18" i="11"/>
  <c r="K18" i="11"/>
  <c r="C18" i="11"/>
  <c r="R18" i="11"/>
  <c r="I18" i="11"/>
  <c r="O18" i="11"/>
  <c r="G18" i="11"/>
  <c r="N18" i="11"/>
  <c r="F18" i="11"/>
  <c r="D4" i="11"/>
  <c r="M4" i="11"/>
  <c r="G6" i="11"/>
  <c r="T6" i="11"/>
  <c r="O10" i="11"/>
  <c r="D12" i="11"/>
  <c r="U12" i="11"/>
  <c r="J14" i="11"/>
  <c r="B18" i="11"/>
  <c r="N22" i="11"/>
  <c r="G34" i="12"/>
  <c r="F34" i="12"/>
  <c r="G38" i="12"/>
  <c r="F38" i="12"/>
  <c r="R2" i="11"/>
  <c r="E4" i="11"/>
  <c r="I6" i="11"/>
  <c r="U6" i="11"/>
  <c r="Q10" i="11"/>
  <c r="L14" i="11"/>
  <c r="H18" i="11"/>
  <c r="T22" i="11"/>
  <c r="G6" i="12"/>
  <c r="F6" i="12"/>
  <c r="G10" i="12"/>
  <c r="F10" i="12"/>
  <c r="G14" i="12"/>
  <c r="F14" i="12"/>
  <c r="G18" i="12"/>
  <c r="F18" i="12"/>
  <c r="G22" i="12"/>
  <c r="F22" i="12"/>
  <c r="G26" i="12"/>
  <c r="F26" i="12"/>
  <c r="G30" i="12"/>
  <c r="F30" i="12"/>
  <c r="G39" i="12"/>
  <c r="F39" i="12"/>
  <c r="AB6" i="15"/>
  <c r="R4" i="11"/>
  <c r="J4" i="11"/>
  <c r="T12" i="11"/>
  <c r="L12" i="11"/>
  <c r="C12" i="11"/>
  <c r="R12" i="11"/>
  <c r="I12" i="11"/>
  <c r="P12" i="11"/>
  <c r="G12" i="11"/>
  <c r="N12" i="11"/>
  <c r="E12" i="11"/>
  <c r="T20" i="11"/>
  <c r="K20" i="11"/>
  <c r="C20" i="11"/>
  <c r="R20" i="11"/>
  <c r="J20" i="11"/>
  <c r="B20" i="11"/>
  <c r="Q20" i="11"/>
  <c r="I20" i="11"/>
  <c r="O20" i="11"/>
  <c r="G20" i="11"/>
  <c r="M20" i="11"/>
  <c r="E20" i="11"/>
  <c r="U20" i="11"/>
  <c r="L20" i="11"/>
  <c r="D20" i="11"/>
  <c r="F4" i="11"/>
  <c r="O4" i="11"/>
  <c r="K6" i="11"/>
  <c r="B10" i="11"/>
  <c r="S10" i="11"/>
  <c r="H12" i="11"/>
  <c r="O14" i="11"/>
  <c r="J18" i="11"/>
  <c r="G7" i="12"/>
  <c r="F7" i="12"/>
  <c r="G15" i="12"/>
  <c r="F15" i="12"/>
  <c r="G23" i="12"/>
  <c r="F23" i="12"/>
  <c r="G31" i="12"/>
  <c r="F31" i="12"/>
  <c r="E11" i="2" l="1"/>
  <c r="E10" i="2"/>
  <c r="V6" i="11"/>
  <c r="V19" i="11"/>
  <c r="E10" i="6"/>
  <c r="AG11" i="7"/>
  <c r="V16" i="11"/>
  <c r="E15" i="2"/>
  <c r="V17" i="11"/>
  <c r="E14" i="2"/>
  <c r="E16" i="6"/>
  <c r="AG17" i="7"/>
  <c r="Q19" i="8"/>
  <c r="R19" i="8" s="1"/>
  <c r="I38" i="3"/>
  <c r="V21" i="11"/>
  <c r="E15" i="6"/>
  <c r="AG16" i="7"/>
  <c r="Q21" i="8"/>
  <c r="R21" i="8" s="1"/>
  <c r="C9" i="8"/>
  <c r="Q9" i="8" s="1"/>
  <c r="R9" i="8" s="1"/>
  <c r="F8" i="6"/>
  <c r="F17" i="6"/>
  <c r="C18" i="8"/>
  <c r="Q18" i="8" s="1"/>
  <c r="R18" i="8" s="1"/>
  <c r="V14" i="11"/>
  <c r="V22" i="11"/>
  <c r="AG25" i="7"/>
  <c r="E24" i="6"/>
  <c r="AG15" i="7"/>
  <c r="E14" i="6"/>
  <c r="C7" i="8"/>
  <c r="Q7" i="8" s="1"/>
  <c r="R7" i="8" s="1"/>
  <c r="F6" i="6"/>
  <c r="C8" i="8"/>
  <c r="Q8" i="8" s="1"/>
  <c r="R8" i="8" s="1"/>
  <c r="F7" i="6"/>
  <c r="AG27" i="7"/>
  <c r="E26" i="6"/>
  <c r="G19" i="6"/>
  <c r="D20" i="8"/>
  <c r="Q20" i="8" s="1"/>
  <c r="R20" i="8" s="1"/>
  <c r="E23" i="2"/>
  <c r="F5" i="6"/>
  <c r="C6" i="8"/>
  <c r="Q6" i="8" s="1"/>
  <c r="R6" i="8" s="1"/>
  <c r="V18" i="11"/>
  <c r="E23" i="6"/>
  <c r="AG24" i="7"/>
  <c r="V9" i="11"/>
  <c r="V20" i="11"/>
  <c r="V4" i="11"/>
  <c r="B24" i="11" s="1"/>
  <c r="B25" i="11" s="1"/>
  <c r="V11" i="11"/>
  <c r="E22" i="6"/>
  <c r="AG23" i="7"/>
  <c r="V8" i="11"/>
  <c r="V5" i="11"/>
  <c r="E4" i="6"/>
  <c r="AG5" i="7"/>
  <c r="AG13" i="7"/>
  <c r="E12" i="6"/>
  <c r="E3" i="6"/>
  <c r="AG4" i="7"/>
  <c r="V7" i="11"/>
  <c r="V12" i="11"/>
  <c r="AG12" i="7"/>
  <c r="E11" i="6"/>
  <c r="V13" i="11"/>
  <c r="E2" i="6"/>
  <c r="AG3" i="7"/>
  <c r="F9" i="6"/>
  <c r="C10" i="8"/>
  <c r="Q10" i="8" s="1"/>
  <c r="R10" i="8" s="1"/>
  <c r="F25" i="6"/>
  <c r="C26" i="8"/>
  <c r="Q26" i="8" s="1"/>
  <c r="R26" i="8" s="1"/>
  <c r="V10" i="11"/>
  <c r="V15" i="11"/>
  <c r="C17" i="8" l="1"/>
  <c r="Q17" i="8" s="1"/>
  <c r="R17" i="8" s="1"/>
  <c r="F16" i="6"/>
  <c r="C12" i="8"/>
  <c r="Q12" i="8" s="1"/>
  <c r="R12" i="8" s="1"/>
  <c r="F11" i="6"/>
  <c r="C15" i="8"/>
  <c r="Q15" i="8" s="1"/>
  <c r="R15" i="8" s="1"/>
  <c r="F14" i="6"/>
  <c r="C24" i="8"/>
  <c r="Q24" i="8" s="1"/>
  <c r="R24" i="8" s="1"/>
  <c r="F23" i="6"/>
  <c r="C5" i="8"/>
  <c r="Q5" i="8" s="1"/>
  <c r="R5" i="8" s="1"/>
  <c r="F4" i="6"/>
  <c r="C3" i="8"/>
  <c r="Q3" i="8" s="1"/>
  <c r="F2" i="6"/>
  <c r="C11" i="8"/>
  <c r="Q11" i="8" s="1"/>
  <c r="R11" i="8" s="1"/>
  <c r="F10" i="6"/>
  <c r="C27" i="8"/>
  <c r="Q27" i="8" s="1"/>
  <c r="R27" i="8" s="1"/>
  <c r="F26" i="6"/>
  <c r="C13" i="8"/>
  <c r="Q13" i="8" s="1"/>
  <c r="R13" i="8" s="1"/>
  <c r="F12" i="6"/>
  <c r="C25" i="8"/>
  <c r="Q25" i="8" s="1"/>
  <c r="R25" i="8" s="1"/>
  <c r="F24" i="6"/>
  <c r="F15" i="6"/>
  <c r="C16" i="8"/>
  <c r="Q16" i="8" s="1"/>
  <c r="R16" i="8" s="1"/>
  <c r="C4" i="8"/>
  <c r="Q4" i="8" s="1"/>
  <c r="R4" i="8" s="1"/>
  <c r="F3" i="6"/>
  <c r="C23" i="8"/>
  <c r="Q23" i="8" s="1"/>
  <c r="R23" i="8" s="1"/>
  <c r="F22" i="6"/>
  <c r="E28" i="2" l="1"/>
  <c r="R3" i="8"/>
</calcChain>
</file>

<file path=xl/sharedStrings.xml><?xml version="1.0" encoding="utf-8"?>
<sst xmlns="http://schemas.openxmlformats.org/spreadsheetml/2006/main" count="996" uniqueCount="444">
  <si>
    <t>THE LANDRY FAMILY EQUITY INVESTMENT OPERATING SYSTEM — STOCK SCORING &amp; PORTFOLIO RISK WORKBOOK</t>
  </si>
  <si>
    <t>Companion workbook to Landry System v1.0. Aligned to: Version 1.0 (49 Hard Rules, Parts 1–12).</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</si>
  <si>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</si>
  <si>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</si>
  <si>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</si>
  <si>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</si>
  <si>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</si>
  <si>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</si>
  <si>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</si>
  <si>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</si>
  <si>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sortable by Composite Score.</t>
  </si>
  <si>
    <t>4. Price History / Returns (Calc) / Correlation Matrix tabs — enter monthly closing prices for up to 12</t>
  </si>
  <si>
    <t>core positions; pairwise correlation and the Rule 36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</si>
  <si>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</si>
  <si>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</si>
  <si>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t>
  </si>
  <si>
    <t>Rules 1–4 (Part 3) — Tier 1 floor of 3.0, mandatory review of any Tier 1 score of 1, automatic Avoid if</t>
  </si>
  <si>
    <t>two or more Tier 1 indicators score 2.0 or below, and the Strong Buy cap when two or more Tier 1</t>
  </si>
  <si>
    <t>indicators are tagged Low Confidence.</t>
  </si>
  <si>
    <t>Rule 36 (Part 7) — Correlation Cap: no position may carry pairwise correlation above 0.70 with more</t>
  </si>
  <si>
    <t>than one other holding at the same time.</t>
  </si>
  <si>
    <t>Rule 37 (Part 7) — Portfolio drawdown response levels apply automatically; only a documented Tier 1</t>
  </si>
  <si>
    <t>re-score restores normal sizing for an affected security.</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</si>
  <si>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</si>
  <si>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</si>
  <si>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</si>
  <si>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</si>
  <si>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</si>
  <si>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</si>
  <si>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</si>
  <si>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</si>
  <si>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</si>
  <si>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31-34 (see Watch List Tracker tab for detail)</t>
  </si>
  <si>
    <t>Deadlines passed (sell required within 30 days):</t>
  </si>
  <si>
    <t>Deadlines approaching (within 14 days):</t>
  </si>
  <si>
    <t>Recovered — ready to remove/reclassify:</t>
  </si>
  <si>
    <t>2. ACTIVE SELL TRIGGERS — Rules 21-30 (see Holding Monitor tab for detail)</t>
  </si>
  <si>
    <t>Holdings with action required within 30 days:</t>
  </si>
  <si>
    <t>Holdings under Hold Through (monitor only, no action):</t>
  </si>
  <si>
    <t>3. CORRELATION CAP — Rule 36 (see Correlation Matrix tab for detail)</t>
  </si>
  <si>
    <t>Rule 36 status:</t>
  </si>
  <si>
    <t>Positions exceeding cap:</t>
  </si>
  <si>
    <t>4. PORTFOLIO DRAWDOWN STATUS — Rule 37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</si>
  <si>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</si>
  <si>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</si>
  <si>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</si>
  <si>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</si>
  <si>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</si>
  <si>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Candidates auto-classified Avoid (Rule 3):</t>
  </si>
  <si>
    <t>Candidates flagged for mandatory Tier 1 review (Rule 2):</t>
  </si>
  <si>
    <t>Candidates capped at Buy despite Strong Buy score (Rule 4):</t>
  </si>
  <si>
    <t>6. ENTRY AUTHORIZATION — Rules 5-13 (see Entry Checklist tab for detail)</t>
  </si>
  <si>
    <t>Candidates NOT authorized to enter (failing one or more Entry Rules):</t>
  </si>
  <si>
    <t>Candidates authorized, staged at reduced size (50%, per Rules 8-9):</t>
  </si>
  <si>
    <t>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</si>
  <si>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</si>
  <si>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</si>
  <si>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</si>
  <si>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</si>
  <si>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</si>
  <si>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</si>
  <si>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</si>
  <si>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</si>
  <si>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</si>
  <si>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</si>
  <si>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</si>
  <si>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</si>
  <si>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</si>
  <si>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</si>
  <si>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</si>
  <si>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</si>
  <si>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</si>
  <si>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</si>
  <si>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</si>
  <si>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</si>
  <si>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</si>
  <si>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</si>
  <si>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</si>
  <si>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</si>
  <si>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</si>
  <si>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</si>
  <si>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</si>
  <si>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</si>
  <si>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</si>
  <si>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</si>
  <si>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</si>
  <si>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</si>
  <si>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</si>
  <si>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</si>
  <si>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</si>
  <si>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</si>
  <si>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</si>
  <si>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</si>
  <si>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</si>
  <si>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FZDXX</t>
  </si>
  <si>
    <t>Fidelity Money Market Premium</t>
  </si>
  <si>
    <t>Cash</t>
  </si>
  <si>
    <t>FZFXX</t>
  </si>
  <si>
    <t>Fidelity Core Money Market</t>
  </si>
  <si>
    <t>JT ULTRA (Fidelity) SUBTOTAL</t>
  </si>
  <si>
    <t>Self-Directed (Chase)</t>
  </si>
  <si>
    <t>VMFXX</t>
  </si>
  <si>
    <t>Vanguard Federal Money Market</t>
  </si>
  <si>
    <t>JEPQ</t>
  </si>
  <si>
    <t>JPMorgan Nasdaq Equity Premium Income ETF</t>
  </si>
  <si>
    <t>Alternative Assets</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</si>
  <si>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</si>
  <si>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</si>
  <si>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</si>
  <si>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</si>
  <si>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</si>
  <si>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</si>
  <si>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</si>
  <si>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</si>
  <si>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AVGO</t>
  </si>
  <si>
    <t>Broadcom Inc.</t>
  </si>
  <si>
    <t>VRTX</t>
  </si>
  <si>
    <t>Vertex Pharmaceuticals</t>
  </si>
  <si>
    <t>BOUGHT +25sh 8/7/26 @ $488.77 -- DCA tranche 1 diversifier add (best correlation profile in book)</t>
  </si>
  <si>
    <t>SPMO</t>
  </si>
  <si>
    <t>Invesco S&amp;P 500 Momentum ETF</t>
  </si>
  <si>
    <t>VFLO</t>
  </si>
  <si>
    <t>VictoryShares Free Cash Flow ETF</t>
  </si>
  <si>
    <t>PLD</t>
  </si>
  <si>
    <t>Prologis Inc.</t>
  </si>
  <si>
    <t>BOUGHT +64sh 8/7/26 @ $139.92 -- DCA tranche 1 diversifier add</t>
  </si>
  <si>
    <t>SFM</t>
  </si>
  <si>
    <t>Sprouts Farmers Market</t>
  </si>
  <si>
    <t>SOLD 08/07/26 -- confirmed: -65 sh, $5,601.58 proceeds. Rule 3 Avoid. Proceeds added to VMFXX (row 17).</t>
  </si>
  <si>
    <t>TSLA</t>
  </si>
  <si>
    <t>Tesla Inc.</t>
  </si>
  <si>
    <t>SOLD 08/07/26 -- confirmed: -15 sh, $4,783.25 proceeds. Rule 3 Avoid. Proceeds added to VMFXX (row 17).</t>
  </si>
  <si>
    <t>VGT</t>
  </si>
  <si>
    <t>Vanguard Information Technology ETF</t>
  </si>
  <si>
    <t>SOLD 8/7/26 -- confirmed: -40.18sh, $4,851.48 proceeds. Worst correlation offender (5 violations), cleared per plan.</t>
  </si>
  <si>
    <t>QACDS</t>
  </si>
  <si>
    <t>Schwab Cash Features (Sweep)</t>
  </si>
  <si>
    <t>ONON</t>
  </si>
  <si>
    <t>On Holding AG</t>
  </si>
  <si>
    <t>SOLD 08/07/26 -- confirmed: -100 sh, $3,764.92 proceeds. Rule 3 Avoid. Proceeds added to VMFXX (row 17).</t>
  </si>
  <si>
    <t>Self-Directed (Chase) SUBTOTAL</t>
  </si>
  <si>
    <t>COMBINED PORTFOLIO TOTAL</t>
  </si>
  <si>
    <t>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</si>
  <si>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Recheck triggers for every name that's been scored, not just Watch List holdings. Update Current Price, Insider Activity, and Analyst Shift by hand for now (or during Claude Code automation later); Recheck Status calculates automatically from all signals together.</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</si>
  <si>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</si>
  <si>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</si>
  <si>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</si>
  <si>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</si>
  <si>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</si>
  <si>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</si>
  <si>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</si>
  <si>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</si>
  <si>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</si>
  <si>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</si>
  <si>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</si>
  <si>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</si>
  <si>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Days Since
Last Score</t>
  </si>
  <si>
    <t>Recheck Status</t>
  </si>
  <si>
    <t>Notes</t>
  </si>
  <si>
    <t>Owned</t>
  </si>
  <si>
    <t>STRONG BUY</t>
  </si>
  <si>
    <t>BUY</t>
  </si>
  <si>
    <t>Re-scored 8/7/26: original Avoid was bad source data, corrected. See Journal.</t>
  </si>
  <si>
    <t>Closed</t>
  </si>
  <si>
    <t>AVOID</t>
  </si>
  <si>
    <t>Sold 08/07/26, confirmed. No longer an active recheck target.</t>
  </si>
  <si>
    <t>Weekly closing price ($), week-ending Friday (Rule 36: weekly total returns, 24-month target, 12-month minimum, 36-month max). 20 slots: 13 stocks + 7 held ETFs + headroom.</t>
  </si>
  <si>
    <t>Week Ending</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</si>
  <si>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</si>
  <si>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</si>
  <si>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</si>
  <si>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</si>
  <si>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</si>
  <si>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</si>
  <si>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</si>
  <si>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</si>
  <si>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</si>
  <si>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</si>
  <si>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TIER 1 — 70% of Decision</t>
  </si>
  <si>
    <t>TIER 2 — 25% of Decision</t>
  </si>
  <si>
    <t>TIER 3 — 5% of Decision</t>
  </si>
  <si>
    <t>RULE FLAGS (1–4)</t>
  </si>
  <si>
    <t>Date
Scored</t>
  </si>
  <si>
    <t>FCF Yield &amp;
Trend (20%)
Score</t>
  </si>
  <si>
    <t>Conf
(H/M/L)</t>
  </si>
  <si>
    <t>Rev Growth
Consist. (15%)
Score</t>
  </si>
  <si>
    <t>Moat
Quality (15%)
Score</t>
  </si>
  <si>
    <t>Rev
Visibility (10%)
Score</t>
  </si>
  <si>
    <t>FCF Margin
Trend (10%)
Score</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</si>
  <si>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</si>
  <si>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</si>
  <si>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</si>
  <si>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</si>
  <si>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</si>
  <si>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</si>
  <si>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</si>
  <si>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</si>
  <si>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</si>
  <si>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</si>
  <si>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</si>
  <si>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</si>
  <si>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</si>
  <si>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</si>
  <si>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2+≤2=Avoid</t>
  </si>
  <si>
    <t>Rule 4
2+Low=Cap Buy</t>
  </si>
  <si>
    <t>M</t>
  </si>
  <si>
    <t>H</t>
  </si>
  <si>
    <t>L</t>
  </si>
  <si>
    <t>Prologis Inc. (REIT-adapted)</t>
  </si>
  <si>
    <t>Taiwan Semiconductor Mfg.</t>
  </si>
  <si>
    <t>COST</t>
  </si>
  <si>
    <t>Costco Wholesale Corp.</t>
  </si>
  <si>
    <t>V</t>
  </si>
  <si>
    <t>Visa Inc.</t>
  </si>
  <si>
    <t>NEE</t>
  </si>
  <si>
    <t>NextEra Energy Inc.</t>
  </si>
  <si>
    <t>CRK</t>
  </si>
  <si>
    <t>Comstock Resources Inc.</t>
  </si>
  <si>
    <t>ET</t>
  </si>
  <si>
    <t>Energy Transfer LP</t>
  </si>
  <si>
    <t>LBRT</t>
  </si>
  <si>
    <t>Liberty Energy Inc.</t>
  </si>
  <si>
    <t>NOV</t>
  </si>
  <si>
    <t>NOV Inc.</t>
  </si>
  <si>
    <t>CE</t>
  </si>
  <si>
    <t>Celanese Corp.</t>
  </si>
  <si>
    <t>CLF</t>
  </si>
  <si>
    <t>Cleveland-Cliffs Inc.</t>
  </si>
  <si>
    <t>LIN</t>
  </si>
  <si>
    <t>Linde plc</t>
  </si>
  <si>
    <t>DEO</t>
  </si>
  <si>
    <t>Diageo plc</t>
  </si>
  <si>
    <t>EL</t>
  </si>
  <si>
    <t>Estee Lauder Companies</t>
  </si>
  <si>
    <t>HRL</t>
  </si>
  <si>
    <t>Hormel Foods Corp.</t>
  </si>
  <si>
    <t>PG</t>
  </si>
  <si>
    <t>Procter &amp; Gamble Co.</t>
  </si>
  <si>
    <t>CMG</t>
  </si>
  <si>
    <t>Chipotle Mexican Grill</t>
  </si>
  <si>
    <t>DPZ</t>
  </si>
  <si>
    <t>Domino's Pizza Inc.</t>
  </si>
  <si>
    <t>PZZA</t>
  </si>
  <si>
    <t>Papa John's Intl.</t>
  </si>
  <si>
    <t>YUM</t>
  </si>
  <si>
    <t>Yum! Brands Inc.</t>
  </si>
  <si>
    <t>Part 4 Entry Rules (5-10, 13). Rules 5-7 pull from the Scoring tab; Rules 11-12 pull from the Implied-Return Calculator; Rules 8-9-10-13 are entered here. Keep this tab's row order matching Scoring/Dashboard/Implied-Return Calculator for the same stock (row 3 = same stock across all four).</t>
  </si>
  <si>
    <t>Rule 5
Composite
≥65?</t>
  </si>
  <si>
    <t>Rule 6
Tier1
≥3.0?</t>
  </si>
  <si>
    <t>Rule 7
No Tier1
=1?</t>
  </si>
  <si>
    <t>Rule 8
Above/reclaimed
200-wk MA?
(Y/N)</t>
  </si>
  <si>
    <t>Rule 9
Monthly MACD
positive/turning?
(Y/N)</t>
  </si>
  <si>
    <t>Staging
Result
(Rules 8-9)</t>
  </si>
  <si>
    <t>Rule 10
Binary event
risk present?
(Y/N)</t>
  </si>
  <si>
    <t>Risk included
in thesis?
(Y/N)</t>
  </si>
  <si>
    <t>Rule 10
Result</t>
  </si>
  <si>
    <t>Rule 11
Bear Case
≥0%?</t>
  </si>
  <si>
    <t>Rule 12
Scenario tags
OK?</t>
  </si>
  <si>
    <t>P/FCF
(current)</t>
  </si>
  <si>
    <t>Consensus FCF
growth, 2-yr
annualized</t>
  </si>
  <si>
    <t>Rule 13
Valuation
Ceiling</t>
  </si>
  <si>
    <t>ENTRY
AUTHORIZED?</t>
  </si>
  <si>
    <t>Recommended Action</t>
  </si>
  <si>
    <t>Market Data — manual entry (blue cells). See note below on optional live refresh.</t>
  </si>
  <si>
    <t>Volume</t>
  </si>
  <si>
    <t>Market Cap ($M)</t>
  </si>
  <si>
    <t>P/E</t>
  </si>
  <si>
    <t>52-Wk Low</t>
  </si>
  <si>
    <t>52-Wk High</t>
  </si>
  <si>
    <t>Div Yield (%)</t>
  </si>
  <si>
    <t>OPTIONAL LIVE REFRESH: Excel's built-in Stocks data type can auto-populate price, market cap, P/E, and</t>
  </si>
  <si>
    <t>52-week range for a ticker you've converted to that data type (Data tab &gt; Stocks, or type the ticker and</t>
  </si>
  <si>
    <t>use the data-type icon that appears). That feature depends on your Microsoft 365 subscription and an</t>
  </si>
  <si>
    <t>active internet connection, so it isn't pre-built into this sheet — set it up once per ticker if you want it,</t>
  </si>
  <si>
    <t>referencing cells like =A3.Price. Otherwise, enter values manually from Yahoo Finance, Google Finance,</t>
  </si>
  <si>
    <t>or your preferred source at each review.</t>
  </si>
  <si>
    <t>Weekly return, calculated from Price History. Do not edit — formulas only.</t>
  </si>
  <si>
    <t>Pairwise correlation of weekly returns, 12-36 month window (Rule 36, Part 7). Covers stocks and held ETFs together. Recalculate quarterly.</t>
  </si>
  <si>
    <t>Positions &gt;0.70 with</t>
  </si>
  <si>
    <t>Positions exceeding cap (correlated &gt;0.70 with 2+ other holdings):</t>
  </si>
  <si>
    <t>Rule 36 status (no position may exceed 0.70 with more than one other holding):</t>
  </si>
  <si>
    <t>Portfolio-level drawdown tracking (Part 7, Rules 36-37). Enter Date and Portfolio Value; all other columns calculate automatically.</t>
  </si>
  <si>
    <t>Date</t>
  </si>
  <si>
    <t>Portfolio Value ($)</t>
  </si>
  <si>
    <t>Running Peak ($)</t>
  </si>
  <si>
    <t>Drawdown %</t>
  </si>
  <si>
    <t>Status</t>
  </si>
  <si>
    <t>Required Cash Floor</t>
  </si>
  <si>
    <t>New Position Initiation</t>
  </si>
  <si>
    <t>Tracks every holding in Probationary Hold (50-64) or Exit Review (35-49) per Part 6. The 90-day deadline and its consequence are calculated automatically — this tab is what makes Rules 31-34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</si>
  <si>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</si>
  <si>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</si>
  <si>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</si>
  <si>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</si>
  <si>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</si>
  <si>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</si>
  <si>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</si>
  <si>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</si>
  <si>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</si>
  <si>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</si>
  <si>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Standardized Implied-Return Methodology (Rule 11, Part 4): Expected annualized return = [(Year-5 equity value + cumulative distributions) ÷ current equity value]^(1/5) − 1. Run Base, Bear, and Bull cases together (Rule 12) — exactly one gets the Likely tag.</t>
  </si>
  <si>
    <t>BASE CASE</t>
  </si>
  <si>
    <t>BEAR CASE</t>
  </si>
  <si>
    <t>BULL CASE</t>
  </si>
  <si>
    <t>RULE 11 / 12 CHECKS</t>
  </si>
  <si>
    <t>Current
Price ($)</t>
  </si>
  <si>
    <t>Yr-5 FCF
/sh ($)</t>
  </si>
  <si>
    <t>Terminal
P/FCF</t>
  </si>
  <si>
    <t>Cum.
Distrib/sh</t>
  </si>
  <si>
    <t>Implied
Annual Return</t>
  </si>
  <si>
    <t>Tag (L/P/U)</t>
  </si>
  <si>
    <t>Base&gt;10%?</t>
  </si>
  <si>
    <t>Bear≥0%?</t>
  </si>
  <si>
    <t>Exactly 1
Likely?</t>
  </si>
  <si>
    <t>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</si>
  <si>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FUNDAMENTAL TRIGGERS (Rules 21-25) — flags if declined 2 consecutive periods</t>
  </si>
  <si>
    <t>VALUATION / SIZING TRIGGERS (Rules 26-30)</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</si>
  <si>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</si>
  <si>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</si>
  <si>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</si>
  <si>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</si>
  <si>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</si>
  <si>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</si>
  <si>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</si>
  <si>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</si>
  <si>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</si>
  <si>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</si>
  <si>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</si>
  <si>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</si>
  <si>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</si>
  <si>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(&gt;6x=trigger)</t>
  </si>
  <si>
    <t>P/FCF
(&gt;50x+gr&lt;15%)</t>
  </si>
  <si>
    <t>FCF Growth
%</t>
  </si>
  <si>
    <t>Implied Return
(&lt;7%=trigger)</t>
  </si>
  <si>
    <t>Current
Tier</t>
  </si>
  <si>
    <t>Prior
Tier</t>
  </si>
  <si>
    <t>Valuation
Flags</t>
  </si>
  <si>
    <t>Hold Through
Applies? (Y/N)</t>
  </si>
  <si>
    <t>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</si>
  <si>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Entry
Date</t>
  </si>
  <si>
    <t>Entry
Price</t>
  </si>
  <si>
    <t>Entry
Confidence</t>
  </si>
  <si>
    <t>Entry
Decision Band</t>
  </si>
  <si>
    <t>SPY Price
at Entry</t>
  </si>
  <si>
    <t>Status
(Held/Exited)</t>
  </si>
  <si>
    <t>Exit
Date</t>
  </si>
  <si>
    <t>Exit
Price</t>
  </si>
  <si>
    <t>Exit
Reason</t>
  </si>
  <si>
    <t>Current/
Exit Price</t>
  </si>
  <si>
    <t>SPY Price
(current/exit)</t>
  </si>
  <si>
    <t>Total Return
Since Entry</t>
  </si>
  <si>
    <t>SPY Return
Same Period</t>
  </si>
  <si>
    <t>Excess
Return</t>
  </si>
  <si>
    <t>Total Return Since Entry is a simple price return (excludes dividends unless you fold them into Current/Exit Price manually). At each annual review, snapshot the return here rather than trying to back-calculate historical 1/3/5-year prices Excel doesn't have.</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</si>
  <si>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</si>
  <si>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</si>
  <si>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</si>
  <si>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</si>
  <si>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</si>
  <si>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</si>
  <si>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</si>
  <si>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</si>
  <si>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</si>
  <si>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</si>
  <si>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</si>
  <si>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</si>
  <si>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</si>
  <si>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</si>
  <si>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</si>
  <si>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</si>
  <si>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</si>
  <si>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</si>
  <si>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</si>
  <si>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</si>
  <si>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</si>
  <si>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</si>
  <si>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</si>
  <si>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</si>
  <si>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</si>
  <si>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</si>
  <si>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</si>
  <si>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</si>
  <si>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</si>
  <si>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</si>
  <si>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</si>
  <si>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</si>
  <si>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</si>
  <si>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</si>
  <si>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</si>
  <si>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</si>
  <si>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</si>
  <si>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</si>
  <si>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</si>
  <si>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</si>
  <si>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</si>
  <si>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Scoring</t>
  </si>
  <si>
    <t>Fixed range, 2-row merged header</t>
  </si>
  <si>
    <t>n/a (not a Table -- Tier1/2/3 group headers span multiple columns in row 1)</t>
  </si>
  <si>
    <t>Rows 3-27, cols A-AK</t>
  </si>
  <si>
    <t>Column map: A=Ticker,B=Company,C=Date. D-M=Tier1 (5 indicators x [Score,Conf]). N=Tier1WtdAvg,O=Tier1Contrib. P-W=Tier2 (4 x [Score,Conf]). X=Tier2Contrib. Y-AD=Tier3 (3 x [Score,Conf]). AE=Tier3Contrib. AF=Composite,AG=Decision. AH=Rule1,AI=Rule2,AJ=Rule3,AK=Rule4 flags.</t>
  </si>
  <si>
    <t>Market Data</t>
  </si>
  <si>
    <t>Fixed range, single header</t>
  </si>
  <si>
    <t>Rows 3-27, cols A-I</t>
  </si>
  <si>
    <t>A=Ticker,B=Company,C=Price,D=Volume,E=MarketCap,F=P/E,G=52wkLow,H=52wkHigh,I=DivYield. Manual entry.</t>
  </si>
  <si>
    <t>Current Positions</t>
  </si>
  <si>
    <t>Table</t>
  </si>
  <si>
    <t>CurrentPositionsTable</t>
  </si>
  <si>
    <t>A2:M40 (JT ULTRA rows 3-14, Chase rows 17-35; subtotal/total rows outside table range)</t>
  </si>
  <si>
    <t>A=Account,B=Ticker,C=Description,D=AssetClass,E=Quantity,F=Price,G=MarketValue,H=CostBasis,I=UnrealizedGL$,J=UnrealizedGL%,K=%ofAccount,L=%ofCombined,M=Classification. Tax-loss carryforward reference cells at O2/P2 (Short-term), O3/P3 (Long-term) -- outside the table.</t>
  </si>
  <si>
    <t>Monitor &amp; Recheck Triggers</t>
  </si>
  <si>
    <t>MonitorTable</t>
  </si>
  <si>
    <t>A2:P42</t>
  </si>
  <si>
    <t>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</si>
  <si>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Watch List Tracker</t>
  </si>
  <si>
    <t>WatchListTable</t>
  </si>
  <si>
    <t>A2:L22</t>
  </si>
  <si>
    <t>A=Ticker,B=Company,C=Status,D=EntryDate,E=EntryScore,F=CurrentScore,G=CurrentScoreDate,H=CredibleRemediationPlan(Y/N),I=90DayDeadline,J=DaysRemaining,K=ActionStatus,L=Notes.</t>
  </si>
  <si>
    <t>Implied-Return Calculator</t>
  </si>
  <si>
    <t>n/a (Base/Bear/Bull scenario groups span multiple columns in row 2)</t>
  </si>
  <si>
    <t>Rows 4-23, cols A-U</t>
  </si>
  <si>
    <t>A=Ticker,B=Company,C=Price. D-H=Base[FCF5,Mult,Dist,Return,Tag]. I-M=Bear[same]. N-R=Bull[same]. S=Base&gt;10%check,T=Bear&gt;=0%check,U=ExactlyOneLikelyCheck. Referenced by Entry Checklist with a +1 row offset (Entry Checklist row 3 = this tab's row 4, same ticker).</t>
  </si>
  <si>
    <t>Holding Monitor</t>
  </si>
  <si>
    <t>n/a (Fundamental-trigger group header spans multiple columns in row 2)</t>
  </si>
  <si>
    <t>Rows 4-23, cols A-AB</t>
  </si>
  <si>
    <t>A=Ticker,B=Company,C=PositionPct,D=MaxFullPct. E-S=5 fundamental indicators x [Prior,Current,Flag]. T=Debt/FCF,U=P/FCF,V=FCFGrowth,W=ImpliedReturn,X=CurrentTier,Y=PriorTier,Z=ValuationFlags,AA=HoldThroughY/N,AB=ActionStatus.</t>
  </si>
  <si>
    <t>Performance Tracking</t>
  </si>
  <si>
    <t>PerformanceTrackingTable</t>
  </si>
  <si>
    <t>A2:Q34</t>
  </si>
  <si>
    <t>A=Ticker,B=Company,C=EntryDate,D=EntryPrice,E=EntryScore,F=EntryConfidence,G=EntryBand,H=SPYatEntry,I=Status,J=ExitDate,K=ExitPrice,L=ExitReason,M=CurrentOrExitPrice,N=SPYcurrentOrExit,O=TotalReturn,P=SPYReturnSamePeriod,Q=ExcessReturn.</t>
  </si>
  <si>
    <t>Price History</t>
  </si>
  <si>
    <t>Rows 3-162, cols A-U (20 tickers: 13 stocks + 7 ETFs)</t>
  </si>
  <si>
    <t>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</si>
  <si>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Returns (Calc)</t>
  </si>
  <si>
    <t>Fixed range, formula-derived</t>
  </si>
  <si>
    <t>Rows 3-161, cols A-U</t>
  </si>
  <si>
    <t>Mirrors Price History layout; all cells are formulas computing week-over-week % return. Do not edit directly.</t>
  </si>
  <si>
    <t>Correlation Matrix</t>
  </si>
  <si>
    <t>Fixed range, formula-derived headers</t>
  </si>
  <si>
    <t>Rows 3-24, cols A-U</t>
  </si>
  <si>
    <t>20x20 grid (13 stocks + 7 ETFs). Row 2 headers pull ticker names live from Returns (Calc) row 2 -- headers are blank until Price History is populated, which is why this was not converted to a Table. B24=violation count, B25=Rule 36 status (OK / REVIEW REQUIRED).</t>
  </si>
  <si>
    <t>Journal</t>
  </si>
  <si>
    <t>JournalTable</t>
  </si>
  <si>
    <t>A2:C302</t>
  </si>
  <si>
    <t>A=Date,B=Ticker,C=Notes. Freeform; filter/sort via the Table's built-in header dropdowns.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</si>
</sst>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
    <numFmt numFmtId="166" formatCode="\$#,##0.00"/>
    <numFmt numFmtId="167" formatCode="yyyy\-mm\-dd"/>
    <numFmt numFmtId="168" formatCode="mm/dd/yyyy"/>
    <numFmt numFmtId="169" formatCode="0.0"/>
    <numFmt numFmtId="170" formatCode="0.0\x"/>
  </numFmts>
  <fonts count="25" x14ac:knownFonts="1">
    <font>
      <sz val="11"/>
      <color theme="1"/>
      <name val="Calibri"/>
      <family val="2"/>
      <charset val="1"/>
    </font>
    <font>
      <b/>
      <sz val="13"/>
      <color rgb="FF1F3864"/>
      <name val="Arial"/>
      <family val="2"/>
    </font>
    <font>
      <sz val="9"/>
      <color rgb="FF000000"/>
      <name val="Arial"/>
      <family val="2"/>
    </font>
    <font>
      <i/>
      <sz val="9"/>
      <color rgb="FF000000"/>
      <name val="Arial"/>
      <family val="2"/>
    </font>
    <font>
      <b/>
      <sz val="10"/>
      <color rgb="FF1F3864"/>
      <name val="Arial"/>
      <family val="2"/>
    </font>
    <font>
      <sz val="9"/>
      <name val="Arial"/>
      <family val="2"/>
    </font>
    <font>
      <b/>
      <sz val="12"/>
      <color rgb="FF1F3864"/>
      <name val="Arial"/>
      <family val="2"/>
    </font>
    <font>
      <i/>
      <sz val="9"/>
      <color rgb="FF808080"/>
      <name val="Arial"/>
      <family val="2"/>
    </font>
    <font>
      <b/>
      <sz val="11"/>
      <color rgb="FFFFFFFF"/>
      <name val="Arial"/>
      <family val="2"/>
    </font>
    <font>
      <b/>
      <sz val="10"/>
      <color rgb="FF000000"/>
      <name val="Arial"/>
      <family val="2"/>
    </font>
    <font>
      <b/>
      <sz val="9"/>
      <color rgb="FFFFFFFF"/>
      <name val="Arial"/>
      <family val="2"/>
    </font>
    <font>
      <b/>
      <sz val="8"/>
      <color rgb="FFFFFFFF"/>
      <name val="Arial"/>
      <family val="2"/>
    </font>
    <font>
      <b/>
      <sz val="8"/>
      <color rgb="FF000000"/>
      <name val="Arial"/>
      <family val="2"/>
    </font>
    <font>
      <sz val="9"/>
      <color rgb="FF002060"/>
      <name val="Arial"/>
      <family val="2"/>
    </font>
    <font>
      <sz val="8"/>
      <color rgb="FF002060"/>
      <name val="Arial"/>
      <family val="2"/>
    </font>
    <font>
      <sz val="8"/>
      <color rgb="FF000000"/>
      <name val="Arial"/>
      <family val="2"/>
    </font>
    <font>
      <sz val="11"/>
      <color rgb="FF002060"/>
      <name val="Calibri"/>
      <family val="2"/>
    </font>
    <font>
      <b/>
      <sz val="8"/>
      <color rgb="FF002060"/>
      <name val="Arial"/>
      <family val="2"/>
    </font>
    <font>
      <b/>
      <sz val="8"/>
      <color rgb="FF1F3864"/>
      <name val="Arial"/>
      <family val="2"/>
    </font>
    <font>
      <i/>
      <sz val="8"/>
      <color rgb="FF808080"/>
      <name val="Arial"/>
      <family val="2"/>
    </font>
    <font>
      <b/>
      <sz val="9"/>
      <color rgb="FF002060"/>
      <name val="Arial"/>
      <family val="2"/>
    </font>
    <font>
      <b/>
      <sz val="9"/>
      <color rgb="FF000000"/>
      <name val="Arial"/>
      <family val="2"/>
    </font>
    <font>
      <i/>
      <sz val="10"/>
      <color rgb="FF000000"/>
      <name val="Arial"/>
      <family val="2"/>
    </font>
    <font>
      <b/>
      <sz val="9"/>
      <color rgb="FF1F3864"/>
      <name val="Arial"/>
      <family val="2"/>
    </font>
    <font>
      <b/>
      <sz val="10"/>
      <color rgb="FFFFFFFF"/>
      <name val="Arial"/>
      <family val="2"/>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85">
    <xf numFmtId="0" fontId="0" fillId="0" borderId="0" xfId="0"/>
    <xf numFmtId="0" fontId="10" fillId="6"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9" fillId="0" borderId="0" xfId="0" applyFont="1"/>
    <xf numFmtId="0" fontId="19" fillId="0" borderId="0" xfId="0" applyFont="1" applyAlignment="1">
      <alignment wrapText="1"/>
    </xf>
    <xf numFmtId="0" fontId="10" fillId="3" borderId="1" xfId="0" applyFont="1" applyFill="1" applyBorder="1" applyAlignment="1">
      <alignment horizontal="center" vertical="center"/>
    </xf>
    <xf numFmtId="0" fontId="3" fillId="0" borderId="0" xfId="0" applyFont="1"/>
    <xf numFmtId="164"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2"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2" fillId="0" borderId="0" xfId="0" applyFont="1" applyAlignment="1">
      <alignment horizontal="left" vertical="center"/>
    </xf>
    <xf numFmtId="0" fontId="8" fillId="2" borderId="0" xfId="0" applyFont="1" applyFill="1"/>
    <xf numFmtId="0" fontId="7" fillId="0" borderId="0" xfId="0" applyFont="1"/>
    <xf numFmtId="0" fontId="6" fillId="0" borderId="0" xfId="0" applyFont="1"/>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4" fillId="0" borderId="0" xfId="0" applyFont="1"/>
    <xf numFmtId="0" fontId="5" fillId="0" borderId="0" xfId="0" applyFont="1"/>
    <xf numFmtId="0" fontId="10"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12" fillId="0" borderId="1" xfId="0" applyFont="1" applyBorder="1" applyAlignment="1">
      <alignment horizontal="right" vertical="center"/>
    </xf>
    <xf numFmtId="165" fontId="13" fillId="4" borderId="1" xfId="0" applyNumberFormat="1"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166" fontId="12" fillId="0" borderId="1" xfId="0" applyNumberFormat="1" applyFont="1" applyBorder="1" applyAlignment="1">
      <alignment horizontal="center" vertical="center"/>
    </xf>
    <xf numFmtId="166" fontId="15" fillId="0" borderId="1" xfId="0" applyNumberFormat="1" applyFont="1" applyBorder="1" applyAlignment="1">
      <alignment horizontal="center" vertical="center"/>
    </xf>
    <xf numFmtId="164" fontId="15" fillId="0" borderId="1" xfId="0" applyNumberFormat="1" applyFont="1" applyBorder="1" applyAlignment="1">
      <alignment horizontal="center" vertical="center"/>
    </xf>
    <xf numFmtId="0" fontId="16" fillId="4" borderId="1" xfId="0" applyFont="1" applyFill="1" applyBorder="1"/>
    <xf numFmtId="0" fontId="17" fillId="4" borderId="1" xfId="0" applyFont="1" applyFill="1" applyBorder="1"/>
    <xf numFmtId="166" fontId="12" fillId="5" borderId="1" xfId="0" applyNumberFormat="1" applyFont="1" applyFill="1" applyBorder="1" applyAlignment="1">
      <alignment horizontal="center" vertical="center"/>
    </xf>
    <xf numFmtId="166" fontId="17" fillId="4" borderId="1" xfId="0" applyNumberFormat="1" applyFont="1" applyFill="1" applyBorder="1" applyAlignment="1">
      <alignment horizontal="center" vertical="center"/>
    </xf>
    <xf numFmtId="0" fontId="0" fillId="5" borderId="1" xfId="0" applyFill="1" applyBorder="1"/>
    <xf numFmtId="0" fontId="16" fillId="4" borderId="0" xfId="0" applyFont="1" applyFill="1"/>
    <xf numFmtId="0" fontId="18" fillId="5" borderId="1" xfId="0" applyFont="1" applyFill="1" applyBorder="1"/>
    <xf numFmtId="0" fontId="0" fillId="3" borderId="1" xfId="0" applyFill="1" applyBorder="1"/>
    <xf numFmtId="0" fontId="10" fillId="3" borderId="1" xfId="0" applyFont="1" applyFill="1" applyBorder="1"/>
    <xf numFmtId="166" fontId="10" fillId="3" borderId="1" xfId="0" applyNumberFormat="1" applyFont="1" applyFill="1" applyBorder="1" applyAlignment="1">
      <alignment horizontal="center" vertical="center"/>
    </xf>
    <xf numFmtId="167" fontId="14" fillId="4" borderId="1" xfId="0" applyNumberFormat="1" applyFont="1" applyFill="1" applyBorder="1" applyAlignment="1">
      <alignment horizontal="center" vertical="center"/>
    </xf>
    <xf numFmtId="166" fontId="14" fillId="4" borderId="1" xfId="0" applyNumberFormat="1" applyFont="1" applyFill="1" applyBorder="1" applyAlignment="1">
      <alignment horizontal="center" vertical="center"/>
    </xf>
    <xf numFmtId="164" fontId="12" fillId="0" borderId="1" xfId="0" applyNumberFormat="1" applyFont="1" applyBorder="1" applyAlignment="1">
      <alignment horizontal="center" vertical="center"/>
    </xf>
    <xf numFmtId="168" fontId="14" fillId="4" borderId="1" xfId="0" applyNumberFormat="1" applyFont="1" applyFill="1" applyBorder="1" applyAlignment="1">
      <alignment horizontal="center" vertical="center"/>
    </xf>
    <xf numFmtId="1" fontId="15" fillId="0" borderId="1" xfId="0" applyNumberFormat="1" applyFont="1" applyBorder="1" applyAlignment="1">
      <alignment horizontal="center" vertical="center"/>
    </xf>
    <xf numFmtId="0" fontId="12" fillId="0" borderId="1" xfId="0" applyFont="1" applyBorder="1" applyAlignment="1">
      <alignment horizontal="center" vertical="center"/>
    </xf>
    <xf numFmtId="0" fontId="20" fillId="4" borderId="1" xfId="0" applyFont="1" applyFill="1" applyBorder="1" applyAlignment="1">
      <alignment horizontal="center" vertical="center" wrapText="1"/>
    </xf>
    <xf numFmtId="168" fontId="13" fillId="4" borderId="1" xfId="0" applyNumberFormat="1" applyFont="1" applyFill="1" applyBorder="1" applyAlignment="1">
      <alignment horizontal="center" vertical="center"/>
    </xf>
    <xf numFmtId="4" fontId="13" fillId="4" borderId="1" xfId="0" applyNumberFormat="1" applyFont="1" applyFill="1" applyBorder="1" applyAlignment="1">
      <alignment horizontal="center" vertical="center"/>
    </xf>
    <xf numFmtId="0" fontId="10" fillId="3"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168" fontId="2" fillId="0" borderId="1" xfId="0" applyNumberFormat="1" applyFont="1" applyBorder="1" applyAlignment="1">
      <alignment horizontal="center" vertical="center"/>
    </xf>
    <xf numFmtId="2" fontId="2" fillId="0" borderId="1" xfId="0" applyNumberFormat="1" applyFont="1" applyBorder="1" applyAlignment="1">
      <alignment horizontal="center" vertical="center"/>
    </xf>
    <xf numFmtId="169" fontId="21" fillId="0" borderId="1" xfId="0" applyNumberFormat="1" applyFont="1" applyBorder="1" applyAlignment="1">
      <alignment horizontal="center" vertical="center"/>
    </xf>
    <xf numFmtId="0" fontId="11" fillId="6" borderId="1" xfId="0" applyFont="1" applyFill="1" applyBorder="1" applyAlignment="1">
      <alignment horizontal="center" vertical="center" wrapText="1"/>
    </xf>
    <xf numFmtId="2" fontId="15"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xf>
    <xf numFmtId="0" fontId="13" fillId="4" borderId="1" xfId="0" applyFont="1" applyFill="1" applyBorder="1" applyAlignment="1">
      <alignment horizontal="center" vertical="center"/>
    </xf>
    <xf numFmtId="167" fontId="13" fillId="4" borderId="1" xfId="0" applyNumberFormat="1" applyFont="1" applyFill="1" applyBorder="1" applyAlignment="1">
      <alignment horizontal="center" vertical="center"/>
    </xf>
    <xf numFmtId="0" fontId="21" fillId="0" borderId="1" xfId="0" applyFont="1" applyBorder="1" applyAlignment="1">
      <alignment horizontal="center" vertical="center"/>
    </xf>
    <xf numFmtId="0" fontId="15" fillId="0" borderId="1" xfId="0" applyFont="1" applyBorder="1" applyAlignment="1">
      <alignment horizontal="center" vertical="center"/>
    </xf>
    <xf numFmtId="170" fontId="14" fillId="4" borderId="1" xfId="0" applyNumberFormat="1" applyFont="1" applyFill="1" applyBorder="1" applyAlignment="1">
      <alignment horizontal="center" vertical="center"/>
    </xf>
    <xf numFmtId="164" fontId="14" fillId="4" borderId="1" xfId="0" applyNumberFormat="1" applyFont="1" applyFill="1" applyBorder="1" applyAlignment="1">
      <alignment horizontal="center" vertical="center"/>
    </xf>
    <xf numFmtId="166" fontId="13" fillId="4" borderId="1" xfId="0" applyNumberFormat="1" applyFont="1" applyFill="1" applyBorder="1" applyAlignment="1">
      <alignment horizontal="center" vertical="center"/>
    </xf>
    <xf numFmtId="3" fontId="13" fillId="4" borderId="1" xfId="0" applyNumberFormat="1" applyFont="1" applyFill="1" applyBorder="1" applyAlignment="1">
      <alignment horizontal="center" vertical="center"/>
    </xf>
    <xf numFmtId="169" fontId="13" fillId="4" borderId="1" xfId="0" applyNumberFormat="1" applyFont="1" applyFill="1" applyBorder="1" applyAlignment="1">
      <alignment horizontal="center" vertical="center"/>
    </xf>
    <xf numFmtId="2" fontId="13" fillId="4" borderId="1" xfId="0" applyNumberFormat="1" applyFont="1" applyFill="1" applyBorder="1" applyAlignment="1">
      <alignment horizontal="center" vertical="center"/>
    </xf>
    <xf numFmtId="164" fontId="2" fillId="0" borderId="1" xfId="0" applyNumberFormat="1" applyFont="1" applyBorder="1" applyAlignment="1">
      <alignment horizontal="center" vertical="center"/>
    </xf>
    <xf numFmtId="0" fontId="18" fillId="5" borderId="1" xfId="0" applyFont="1" applyFill="1" applyBorder="1" applyAlignment="1">
      <alignment horizontal="center" vertical="center" wrapText="1"/>
    </xf>
    <xf numFmtId="0" fontId="23" fillId="0" borderId="0" xfId="0" applyFont="1"/>
    <xf numFmtId="1" fontId="1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164" fontId="21" fillId="0" borderId="1" xfId="0" applyNumberFormat="1" applyFont="1" applyBorder="1" applyAlignment="1">
      <alignment horizontal="center" vertical="center"/>
    </xf>
    <xf numFmtId="1" fontId="2" fillId="0" borderId="1" xfId="0" applyNumberFormat="1" applyFont="1" applyBorder="1" applyAlignment="1">
      <alignment horizontal="center" vertical="center"/>
    </xf>
    <xf numFmtId="168" fontId="13" fillId="4" borderId="1" xfId="0" applyNumberFormat="1" applyFont="1" applyFill="1" applyBorder="1" applyAlignment="1">
      <alignment horizontal="center" vertical="top"/>
    </xf>
    <xf numFmtId="0" fontId="13" fillId="4" borderId="1" xfId="0" applyFont="1" applyFill="1" applyBorder="1" applyAlignment="1">
      <alignment horizontal="center" vertical="top"/>
    </xf>
    <xf numFmtId="0" fontId="13" fillId="4" borderId="1" xfId="0" applyFont="1" applyFill="1" applyBorder="1" applyAlignment="1">
      <alignment horizontal="left" vertical="top" wrapText="1"/>
    </xf>
    <xf numFmtId="0" fontId="15" fillId="0" borderId="1" xfId="0" applyFont="1" applyBorder="1" applyAlignment="1">
      <alignment horizontal="left" vertical="top" wrapText="1"/>
    </xf>
    <xf numFmtId="0" fontId="22" fillId="0" borderId="0" xfId="0" applyFont="1"/>
    <xf numFmtId="0" fontId="10"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24" fillId="2" borderId="1" xfId="0" applyFont="1" applyFill="1" applyBorder="1"/>
    <xf numFmtId="0" fontId="15" fillId="0" borderId="1" xfId="0" applyFont="1" applyBorder="1" applyAlignment="1">
      <alignment horizontal="left" vertical="top" wrapText="1"/>
    </xf>
  </cellXfs>
  <cellStyles count="1">
    <cellStyle name="Normal" xfId="0" builtinId="0"/>
  </cellStyles>
  <dxfs count="80">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C65911"/>
      </font>
      <fill>
        <patternFill>
          <bgColor rgb="FFFCE4D6"/>
        </patternFill>
      </fill>
    </dxf>
    <dxf>
      <font>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FCE4D6"/>
      <rgbColor rgb="FF808080"/>
      <rgbColor rgb="FF9999FF"/>
      <rgbColor rgb="FF9C6500"/>
      <rgbColor rgb="FFFFF2CC"/>
      <rgbColor rgb="FFDDEBF7"/>
      <rgbColor rgb="FF660066"/>
      <rgbColor rgb="FFFF8080"/>
      <rgbColor rgb="FF0066CC"/>
      <rgbColor rgb="FFDCE6F1"/>
      <rgbColor rgb="FF000080"/>
      <rgbColor rgb="FFFF00FF"/>
      <rgbColor rgb="FFFFFF00"/>
      <rgbColor rgb="FF00FFFF"/>
      <rgbColor rgb="FF800080"/>
      <rgbColor rgb="FF632423"/>
      <rgbColor rgb="FF008080"/>
      <rgbColor rgb="FF0000FF"/>
      <rgbColor rgb="FF00CCFF"/>
      <rgbColor rgb="FFE2EFDA"/>
      <rgbColor rgb="FFC6EFCE"/>
      <rgbColor rgb="FFFFEB9C"/>
      <rgbColor rgb="FF99CCFF"/>
      <rgbColor rgb="FFFF99CC"/>
      <rgbColor rgb="FFCC99FF"/>
      <rgbColor rgb="FFFFC7CE"/>
      <rgbColor rgb="FF3366FF"/>
      <rgbColor rgb="FF33CCCC"/>
      <rgbColor rgb="FF99CC00"/>
      <rgbColor rgb="FFFFCC00"/>
      <rgbColor rgb="FFFF9900"/>
      <rgbColor rgb="FFC65911"/>
      <rgbColor rgb="FF666699"/>
      <rgbColor rgb="FF999999"/>
      <rgbColor rgb="FF002060"/>
      <rgbColor rgb="FF339966"/>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39" totalsRowShown="0">
  <autoFilter ref="A2:M39" xr:uid="{00000000-0009-0000-0100-00000100000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tableColumn id="6" xr3:uid="{00000000-0010-0000-0000-000006000000}" name="Price ($)"/>
    <tableColumn id="7" xr3:uid="{00000000-0010-0000-0000-000007000000}" name="Market Value ($)"/>
    <tableColumn id="8" xr3:uid="{00000000-0010-0000-0000-000008000000}" name="Cost Basis ($)"/>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MonitorTable" displayName="MonitorTable" ref="A2:P42" totalsRowShown="0">
  <autoFilter ref="A2:P42" xr:uid="{00000000-0009-0000-0100-000005000000}"/>
  <tableColumns count="16">
    <tableColumn id="1" xr3:uid="{00000000-0010-0000-0100-000001000000}" name="Ticker"/>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Days Since_x000a_Last Score"/>
    <tableColumn id="15" xr3:uid="{00000000-0010-0000-0100-00000F000000}" name="Recheck Status"/>
    <tableColumn id="16" xr3:uid="{00000000-0010-0000-0100-000010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ntryChecklistTable" displayName="EntryChecklistTable" ref="A2:R27" totalsRowShown="0">
  <autoFilter ref="A2:R27" xr:uid="{00000000-0009-0000-0100-000003000000}"/>
  <tableColumns count="18">
    <tableColumn id="1" xr3:uid="{00000000-0010-0000-0200-000001000000}" name="Ticker"/>
    <tableColumn id="2" xr3:uid="{00000000-0010-0000-0200-000002000000}" name="Company"/>
    <tableColumn id="3" xr3:uid="{00000000-0010-0000-0200-000003000000}" name="Rule 5_x000a_Composite_x000a_≥65?"/>
    <tableColumn id="4" xr3:uid="{00000000-0010-0000-0200-000004000000}" name="Rule 6_x000a_Tier1_x000a_≥3.0?"/>
    <tableColumn id="5" xr3:uid="{00000000-0010-0000-0200-000005000000}" name="Rule 7_x000a_No Tier1_x000a_=1?"/>
    <tableColumn id="6" xr3:uid="{00000000-0010-0000-0200-000006000000}" name="Rule 8_x000a_Above/reclaimed_x000a_200-wk MA?_x000a_(Y/N)"/>
    <tableColumn id="7" xr3:uid="{00000000-0010-0000-0200-000007000000}" name="Rule 9_x000a_Monthly MACD_x000a_positive/turning?_x000a_(Y/N)"/>
    <tableColumn id="8" xr3:uid="{00000000-0010-0000-0200-000008000000}" name="Staging_x000a_Result_x000a_(Rules 8-9)"/>
    <tableColumn id="9" xr3:uid="{00000000-0010-0000-0200-000009000000}" name="Rule 10_x000a_Binary event_x000a_risk present?_x000a_(Y/N)"/>
    <tableColumn id="10" xr3:uid="{00000000-0010-0000-0200-00000A000000}" name="Risk included_x000a_in thesis?_x000a_(Y/N)"/>
    <tableColumn id="11" xr3:uid="{00000000-0010-0000-0200-00000B000000}" name="Rule 10_x000a_Result"/>
    <tableColumn id="12" xr3:uid="{00000000-0010-0000-0200-00000C000000}" name="Rule 11_x000a_Bear Case_x000a_≥0%?"/>
    <tableColumn id="13" xr3:uid="{00000000-0010-0000-0200-00000D000000}" name="Rule 12_x000a_Scenario tags_x000a_OK?"/>
    <tableColumn id="14" xr3:uid="{00000000-0010-0000-0200-00000E000000}" name="P/FCF_x000a_(current)"/>
    <tableColumn id="15" xr3:uid="{00000000-0010-0000-0200-00000F000000}" name="Consensus FCF_x000a_growth, 2-yr_x000a_annualized"/>
    <tableColumn id="16" xr3:uid="{00000000-0010-0000-0200-000010000000}" name="Rule 13_x000a_Valuation_x000a_Ceiling"/>
    <tableColumn id="17" xr3:uid="{00000000-0010-0000-0200-000011000000}" name="ENTRY_x000a_AUTHORIZED?"/>
    <tableColumn id="18" xr3:uid="{00000000-0010-0000-0200-000012000000}" name="Recommended Actio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rawdownLogTable" displayName="DrawdownLogTable" ref="A2:H42" totalsRowShown="0">
  <autoFilter ref="A2:H42" xr:uid="{00000000-0009-0000-0100-000002000000}"/>
  <tableColumns count="8">
    <tableColumn id="1" xr3:uid="{00000000-0010-0000-0300-000001000000}" name="Date"/>
    <tableColumn id="2" xr3:uid="{00000000-0010-0000-0300-000002000000}" name="Portfolio Value ($)"/>
    <tableColumn id="3" xr3:uid="{00000000-0010-0000-0300-000003000000}" name="Running Peak ($)"/>
    <tableColumn id="4" xr3:uid="{00000000-0010-0000-0300-000004000000}" name="Drawdown %"/>
    <tableColumn id="5" xr3:uid="{00000000-0010-0000-0300-000005000000}" name="Status"/>
    <tableColumn id="6" xr3:uid="{00000000-0010-0000-0300-000006000000}" name="Required Cash Floor"/>
    <tableColumn id="7" xr3:uid="{00000000-0010-0000-0300-000007000000}" name="New Position Initiation"/>
    <tableColumn id="8" xr3:uid="{00000000-0010-0000-0300-000008000000}" name="Notes"/>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WatchListTable" displayName="WatchListTable" ref="A2:L22" totalsRowShown="0">
  <autoFilter ref="A2:L22" xr:uid="{00000000-0009-0000-0100-000007000000}"/>
  <tableColumns count="12">
    <tableColumn id="1" xr3:uid="{00000000-0010-0000-0400-000001000000}" name="Ticker"/>
    <tableColumn id="2" xr3:uid="{00000000-0010-0000-0400-000002000000}" name="Company"/>
    <tableColumn id="3" xr3:uid="{00000000-0010-0000-0400-000003000000}" name="Status_x000a_(Probationary/_x000a_Exit Review)"/>
    <tableColumn id="4" xr3:uid="{00000000-0010-0000-0400-000004000000}" name="Entry Date_x000a_(band entered)"/>
    <tableColumn id="5" xr3:uid="{00000000-0010-0000-0400-000005000000}" name="Entry_x000a_Score"/>
    <tableColumn id="6" xr3:uid="{00000000-0010-0000-0400-000006000000}" name="Current_x000a_Score"/>
    <tableColumn id="7" xr3:uid="{00000000-0010-0000-0400-000007000000}" name="Current Score_x000a_Date"/>
    <tableColumn id="8" xr3:uid="{00000000-0010-0000-0400-000008000000}" name="Credible_x000a_Remediation Plan?_x000a_(Y/N)"/>
    <tableColumn id="9" xr3:uid="{00000000-0010-0000-0400-000009000000}" name="90-Day_x000a_Deadline"/>
    <tableColumn id="10" xr3:uid="{00000000-0010-0000-0400-00000A000000}" name="Days_x000a_Remaining"/>
    <tableColumn id="11" xr3:uid="{00000000-0010-0000-0400-00000B000000}" name="Action Status"/>
    <tableColumn id="12" xr3:uid="{00000000-0010-0000-0400-00000C000000}" name="Remediation Plan 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erformanceTrackingTable" displayName="PerformanceTrackingTable" ref="A2:Q33" totalsRowShown="0">
  <autoFilter ref="A2:Q33" xr:uid="{00000000-0009-0000-0100-000006000000}"/>
  <tableColumns count="17">
    <tableColumn id="1" xr3:uid="{00000000-0010-0000-0500-000001000000}" name="Ticker"/>
    <tableColumn id="2" xr3:uid="{00000000-0010-0000-0500-000002000000}" name="Company"/>
    <tableColumn id="3" xr3:uid="{00000000-0010-0000-0500-000003000000}" name="Entry_x000a_Date"/>
    <tableColumn id="4" xr3:uid="{00000000-0010-0000-0500-000004000000}" name="Entry_x000a_Price"/>
    <tableColumn id="5" xr3:uid="{00000000-0010-0000-0500-000005000000}" name="Entry_x000a_Score"/>
    <tableColumn id="6" xr3:uid="{00000000-0010-0000-0500-000006000000}" name="Entry_x000a_Confidence"/>
    <tableColumn id="7" xr3:uid="{00000000-0010-0000-0500-000007000000}" name="Entry_x000a_Decision Band"/>
    <tableColumn id="8" xr3:uid="{00000000-0010-0000-0500-000008000000}" name="SPY Price_x000a_at Entry"/>
    <tableColumn id="9" xr3:uid="{00000000-0010-0000-0500-000009000000}" name="Status_x000a_(Held/Exited)"/>
    <tableColumn id="10" xr3:uid="{00000000-0010-0000-0500-00000A000000}" name="Exit_x000a_Date"/>
    <tableColumn id="11" xr3:uid="{00000000-0010-0000-0500-00000B000000}" name="Exit_x000a_Price"/>
    <tableColumn id="12" xr3:uid="{00000000-0010-0000-0500-00000C000000}" name="Exit_x000a_Reason"/>
    <tableColumn id="13" xr3:uid="{00000000-0010-0000-0500-00000D000000}" name="Current/_x000a_Exit Price"/>
    <tableColumn id="14" xr3:uid="{00000000-0010-0000-0500-00000E000000}" name="SPY Price_x000a_(current/exit)"/>
    <tableColumn id="15" xr3:uid="{00000000-0010-0000-0500-00000F000000}" name="Total Return_x000a_Since Entry"/>
    <tableColumn id="16" xr3:uid="{00000000-0010-0000-0500-000010000000}" name="SPY Return_x000a_Same Period"/>
    <tableColumn id="17" xr3:uid="{00000000-0010-0000-0500-000011000000}" name="Excess_x000a_Retur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JournalTable" displayName="JournalTable" ref="A2:C302" totalsRowShown="0">
  <autoFilter ref="A2:C302" xr:uid="{00000000-0009-0000-0100-000004000000}"/>
  <tableColumns count="3">
    <tableColumn id="1" xr3:uid="{00000000-0010-0000-0600-000001000000}" name="Date"/>
    <tableColumn id="2" xr3:uid="{00000000-0010-0000-0600-000002000000}" name="Ticker"/>
    <tableColumn id="3" xr3:uid="{00000000-0010-0000-0600-000003000000}" name="Not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showGridLines="0" tabSelected="1" zoomScaleNormal="100" workbookViewId="0"/>
  </sheetViews>
  <sheetFormatPr baseColWidth="10" defaultColWidth="8.6640625" defaultRowHeight="15" x14ac:dyDescent="0.2"/>
  <cols>
    <col min="1" max="1" width="100" customWidth="1"/>
  </cols>
  <sheetData>
    <row r="1" spans="1:1" ht="21.75" customHeight="1" x14ac:dyDescent="0.2">
      <c r="A1" s="15" t="s">
        <v>0</v>
      </c>
    </row>
    <row r="2" spans="1:1" ht="13.5" customHeight="1" x14ac:dyDescent="0.2">
      <c r="A2" s="16"/>
    </row>
    <row r="3" spans="1:1" ht="13.5" customHeight="1" x14ac:dyDescent="0.2">
      <c r="A3" s="17" t="s">
        <v>1</v>
      </c>
    </row>
    <row r="4" spans="1:1" ht="13.5" customHeight="1" x14ac:dyDescent="0.2">
      <c r="A4" s="16" t="s">
        <v>2</v>
      </c>
    </row>
    <row r="5" spans="1:1" ht="13.5" customHeight="1" x14ac:dyDescent="0.2">
      <c r="A5" s="16" t="s">
        <v>3</v>
      </c>
    </row>
    <row r="6" spans="1:1" ht="13.5" customHeight="1" x14ac:dyDescent="0.2">
      <c r="A6" s="16"/>
    </row>
    <row r="7" spans="1:1" ht="13.5" customHeight="1" x14ac:dyDescent="0.2">
      <c r="A7" s="18" t="s">
        <v>4</v>
      </c>
    </row>
    <row r="8" spans="1:1" ht="13.5" customHeight="1" x14ac:dyDescent="0.2">
      <c r="A8" s="16" t="s">
        <v>5</v>
      </c>
    </row>
    <row r="9" spans="1:1" ht="13.5" customHeight="1" x14ac:dyDescent="0.2">
      <c r="A9" s="16" t="s">
        <v>6</v>
      </c>
    </row>
    <row r="10" spans="1:1" ht="13.5" customHeight="1" x14ac:dyDescent="0.2">
      <c r="A10" s="16" t="s">
        <v>7</v>
      </c>
    </row>
    <row r="11" spans="1:1" ht="13.5" customHeight="1" x14ac:dyDescent="0.2">
      <c r="A11" s="16" t="s">
        <v>8</v>
      </c>
    </row>
    <row r="12" spans="1:1" ht="13.5" customHeight="1" x14ac:dyDescent="0.2">
      <c r="A12" s="16" t="s">
        <v>9</v>
      </c>
    </row>
    <row r="13" spans="1:1" ht="13.5" customHeight="1" x14ac:dyDescent="0.2">
      <c r="A13" s="16" t="s">
        <v>10</v>
      </c>
    </row>
    <row r="14" spans="1:1" ht="13.5" customHeight="1" x14ac:dyDescent="0.2">
      <c r="A14" s="16" t="s">
        <v>11</v>
      </c>
    </row>
    <row r="15" spans="1:1" ht="13.5" customHeight="1" x14ac:dyDescent="0.2">
      <c r="A15" s="16" t="s">
        <v>12</v>
      </c>
    </row>
    <row r="16" spans="1:1" ht="13.5" customHeight="1" x14ac:dyDescent="0.2">
      <c r="A16" s="16" t="s">
        <v>13</v>
      </c>
    </row>
    <row r="17" spans="1:1" ht="13.5" customHeight="1" x14ac:dyDescent="0.2">
      <c r="A17" s="16" t="s">
        <v>14</v>
      </c>
    </row>
    <row r="18" spans="1:1" ht="13.5" customHeight="1" x14ac:dyDescent="0.2">
      <c r="A18" s="16"/>
    </row>
    <row r="19" spans="1:1" ht="13.5" customHeight="1" x14ac:dyDescent="0.2">
      <c r="A19" s="18" t="s">
        <v>15</v>
      </c>
    </row>
    <row r="20" spans="1:1" ht="13.5" customHeight="1" x14ac:dyDescent="0.2">
      <c r="A20" s="16" t="s">
        <v>16</v>
      </c>
    </row>
    <row r="21" spans="1:1" ht="13.5" customHeight="1" x14ac:dyDescent="0.2">
      <c r="A21" s="16" t="s">
        <v>17</v>
      </c>
    </row>
    <row r="22" spans="1:1" ht="13.5" customHeight="1" x14ac:dyDescent="0.2">
      <c r="A22" s="16" t="s">
        <v>18</v>
      </c>
    </row>
    <row r="23" spans="1:1" ht="13.5" customHeight="1" x14ac:dyDescent="0.2">
      <c r="A23" s="16" t="s">
        <v>19</v>
      </c>
    </row>
    <row r="24" spans="1:1" ht="13.5" customHeight="1" x14ac:dyDescent="0.2">
      <c r="A24" s="16" t="s">
        <v>20</v>
      </c>
    </row>
    <row r="25" spans="1:1" ht="13.5" customHeight="1" x14ac:dyDescent="0.2">
      <c r="A25" s="16" t="s">
        <v>21</v>
      </c>
    </row>
    <row r="26" spans="1:1" ht="13.5" customHeight="1" x14ac:dyDescent="0.2">
      <c r="A26" s="16" t="s">
        <v>22</v>
      </c>
    </row>
    <row r="27" spans="1:1" ht="13.5" customHeight="1" x14ac:dyDescent="0.2">
      <c r="A27" s="16" t="s">
        <v>23</v>
      </c>
    </row>
    <row r="28" spans="1:1" ht="13.5" customHeight="1" x14ac:dyDescent="0.2">
      <c r="A28" s="16" t="s">
        <v>24</v>
      </c>
    </row>
    <row r="29" spans="1:1" ht="13.5" customHeight="1" x14ac:dyDescent="0.2">
      <c r="A29" s="16"/>
    </row>
    <row r="30" spans="1:1" ht="13.5" customHeight="1" x14ac:dyDescent="0.2">
      <c r="A30" s="18" t="s">
        <v>25</v>
      </c>
    </row>
    <row r="31" spans="1:1" ht="13.5" customHeight="1" x14ac:dyDescent="0.2">
      <c r="A31" s="16" t="s">
        <v>26</v>
      </c>
    </row>
    <row r="32" spans="1:1" ht="13.5" customHeight="1" x14ac:dyDescent="0.2">
      <c r="A32" s="16" t="s">
        <v>27</v>
      </c>
    </row>
    <row r="34" spans="1:1" ht="15" customHeight="1" x14ac:dyDescent="0.2">
      <c r="A34" s="19" t="s">
        <v>28</v>
      </c>
    </row>
    <row r="35" spans="1:1" ht="15" customHeight="1" x14ac:dyDescent="0.2">
      <c r="A35" s="20" t="s">
        <v>29</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showGridLines="0" zoomScaleNormal="100" workbookViewId="0"/>
  </sheetViews>
  <sheetFormatPr baseColWidth="10" defaultColWidth="8.6640625" defaultRowHeight="15" x14ac:dyDescent="0.2"/>
  <cols>
    <col min="1" max="1" width="22" customWidth="1"/>
    <col min="2" max="4" width="12" customWidth="1"/>
    <col min="5" max="5" width="14" customWidth="1"/>
    <col min="6" max="6" width="8" customWidth="1"/>
  </cols>
  <sheetData>
    <row r="1" spans="1:6" ht="19.5" customHeight="1" x14ac:dyDescent="0.2">
      <c r="A1" s="14" t="s">
        <v>30</v>
      </c>
      <c r="B1" s="14"/>
      <c r="C1" s="14"/>
      <c r="D1" s="14"/>
      <c r="E1" s="14"/>
      <c r="F1" s="14"/>
    </row>
    <row r="2" spans="1:6" ht="15" customHeight="1" x14ac:dyDescent="0.2">
      <c r="A2" s="13" t="s">
        <v>31</v>
      </c>
      <c r="B2" s="13"/>
      <c r="C2" s="13"/>
      <c r="D2" s="13"/>
      <c r="E2" s="13"/>
      <c r="F2" s="13"/>
    </row>
    <row r="4" spans="1:6" ht="15" customHeight="1" x14ac:dyDescent="0.2">
      <c r="A4" s="12" t="s">
        <v>32</v>
      </c>
      <c r="B4" s="12"/>
      <c r="C4" s="12"/>
      <c r="D4" s="12"/>
      <c r="E4" s="12"/>
      <c r="F4" s="12"/>
    </row>
    <row r="5" spans="1:6" ht="15" customHeight="1" x14ac:dyDescent="0.2">
      <c r="A5" s="11" t="s">
        <v>33</v>
      </c>
      <c r="B5" s="11"/>
      <c r="C5" s="11"/>
      <c r="D5" s="11"/>
      <c r="E5" s="10">
        <f>COUNTIF('Watch List Tracker'!K3:K22,"*SELL WITHIN 30 DAYS*")</f>
        <v>0</v>
      </c>
      <c r="F5" s="10"/>
    </row>
    <row r="6" spans="1:6" ht="15" customHeight="1" x14ac:dyDescent="0.2">
      <c r="A6" s="11" t="s">
        <v>34</v>
      </c>
      <c r="B6" s="11"/>
      <c r="C6" s="11"/>
      <c r="D6" s="11"/>
      <c r="E6" s="10">
        <f>COUNTIF('Watch List Tracker'!K3:K22,"DEADLINE APPROACHING")</f>
        <v>0</v>
      </c>
      <c r="F6" s="10"/>
    </row>
    <row r="7" spans="1:6" ht="15" customHeight="1" x14ac:dyDescent="0.2">
      <c r="A7" s="11" t="s">
        <v>35</v>
      </c>
      <c r="B7" s="11"/>
      <c r="C7" s="11"/>
      <c r="D7" s="11"/>
      <c r="E7" s="10">
        <f>COUNTIF('Watch List Tracker'!K3:K22,"*RECOVERED*")</f>
        <v>0</v>
      </c>
      <c r="F7" s="10"/>
    </row>
    <row r="9" spans="1:6" ht="15" customHeight="1" x14ac:dyDescent="0.2">
      <c r="A9" s="12" t="s">
        <v>36</v>
      </c>
      <c r="B9" s="12"/>
      <c r="C9" s="12"/>
      <c r="D9" s="12"/>
      <c r="E9" s="12"/>
      <c r="F9" s="12"/>
    </row>
    <row r="10" spans="1:6" ht="15" customHeight="1" x14ac:dyDescent="0.2">
      <c r="A10" s="11" t="s">
        <v>37</v>
      </c>
      <c r="B10" s="11"/>
      <c r="C10" s="11"/>
      <c r="D10" s="11"/>
      <c r="E10" s="10">
        <f>COUNTIF('Holding Monitor'!AB4:AB23,"*ACTION REQUIRED*")</f>
        <v>0</v>
      </c>
      <c r="F10" s="10"/>
    </row>
    <row r="11" spans="1:6" ht="15" customHeight="1" x14ac:dyDescent="0.2">
      <c r="A11" s="11" t="s">
        <v>38</v>
      </c>
      <c r="B11" s="11"/>
      <c r="C11" s="11"/>
      <c r="D11" s="11"/>
      <c r="E11" s="10">
        <f>COUNTIF('Holding Monitor'!AB4:AB23,"*Hold Through*")</f>
        <v>0</v>
      </c>
      <c r="F11" s="10"/>
    </row>
    <row r="13" spans="1:6" ht="15" customHeight="1" x14ac:dyDescent="0.2">
      <c r="A13" s="12" t="s">
        <v>39</v>
      </c>
      <c r="B13" s="12"/>
      <c r="C13" s="12"/>
      <c r="D13" s="12"/>
      <c r="E13" s="12"/>
      <c r="F13" s="12"/>
    </row>
    <row r="14" spans="1:6" ht="15" customHeight="1" x14ac:dyDescent="0.2">
      <c r="A14" s="11" t="s">
        <v>40</v>
      </c>
      <c r="B14" s="11"/>
      <c r="C14" s="11"/>
      <c r="D14" s="11"/>
      <c r="E14" s="9" t="str">
        <f>'Correlation Matrix'!B17</f>
        <v/>
      </c>
      <c r="F14" s="9"/>
    </row>
    <row r="15" spans="1:6" ht="15" customHeight="1" x14ac:dyDescent="0.2">
      <c r="A15" s="11" t="s">
        <v>41</v>
      </c>
      <c r="B15" s="11"/>
      <c r="C15" s="11"/>
      <c r="D15" s="11"/>
      <c r="E15" s="8">
        <f>'Correlation Matrix'!B16</f>
        <v>0.17</v>
      </c>
      <c r="F15" s="8"/>
    </row>
    <row r="17" spans="1:6" ht="15" customHeight="1" x14ac:dyDescent="0.2">
      <c r="A17" s="12" t="s">
        <v>42</v>
      </c>
      <c r="B17" s="12"/>
      <c r="C17" s="12"/>
      <c r="D17" s="12"/>
      <c r="E17" s="12"/>
      <c r="F17" s="12"/>
    </row>
    <row r="18" spans="1:6" ht="15" customHeight="1" x14ac:dyDescent="0.2">
      <c r="A18" s="11" t="s">
        <v>43</v>
      </c>
      <c r="B18" s="11"/>
      <c r="C18" s="11"/>
      <c r="D18" s="11"/>
      <c r="E18" s="10" t="str">
        <f>IFERROR(INDEX('Portfolio Drawdown Log'!E3:E42,COUNT('Portfolio Drawdown Log'!D3:D42)),"No entries yet")</f>
        <v>Normal</v>
      </c>
      <c r="F18" s="10"/>
    </row>
    <row r="19" spans="1:6" ht="15" customHeight="1" x14ac:dyDescent="0.2">
      <c r="A19" s="11" t="s">
        <v>44</v>
      </c>
      <c r="B19" s="11"/>
      <c r="C19" s="11"/>
      <c r="D19" s="11"/>
      <c r="E19" s="7">
        <f>IFERROR(INDEX('Portfolio Drawdown Log'!D3:D42,COUNT('Portfolio Drawdown Log'!D3:D42)),"")</f>
        <v>0</v>
      </c>
      <c r="F19" s="7"/>
    </row>
    <row r="20" spans="1:6" ht="15" customHeight="1" x14ac:dyDescent="0.2">
      <c r="A20" s="11" t="s">
        <v>45</v>
      </c>
      <c r="B20" s="11"/>
      <c r="C20" s="11"/>
      <c r="D20" s="11"/>
      <c r="E20" s="10" t="str">
        <f>IFERROR(INDEX('Portfolio Drawdown Log'!F3:F42,COUNT('Portfolio Drawdown Log'!D3:D42)),"")</f>
        <v>5-15%</v>
      </c>
      <c r="F20" s="10"/>
    </row>
    <row r="22" spans="1:6" ht="15" customHeight="1" x14ac:dyDescent="0.2">
      <c r="A22" s="12" t="s">
        <v>46</v>
      </c>
      <c r="B22" s="12"/>
      <c r="C22" s="12"/>
      <c r="D22" s="12"/>
      <c r="E22" s="12"/>
      <c r="F22" s="12"/>
    </row>
    <row r="23" spans="1:6" ht="15" customHeight="1" x14ac:dyDescent="0.2">
      <c r="A23" s="11" t="s">
        <v>47</v>
      </c>
      <c r="B23" s="11"/>
      <c r="C23" s="11"/>
      <c r="D23" s="11"/>
      <c r="E23" s="10">
        <f>COUNTIF(Scoring!AH3:AH27,"FAIL")</f>
        <v>9</v>
      </c>
      <c r="F23" s="10"/>
    </row>
    <row r="24" spans="1:6" ht="15" customHeight="1" x14ac:dyDescent="0.2">
      <c r="A24" s="11" t="s">
        <v>48</v>
      </c>
      <c r="B24" s="11"/>
      <c r="C24" s="11"/>
      <c r="D24" s="11"/>
      <c r="E24" s="10">
        <f>COUNTIF(Scoring!AJ3:AJ27,"AVOID")</f>
        <v>9</v>
      </c>
      <c r="F24" s="10"/>
    </row>
    <row r="25" spans="1:6" ht="15" customHeight="1" x14ac:dyDescent="0.2">
      <c r="A25" s="11" t="s">
        <v>49</v>
      </c>
      <c r="B25" s="11"/>
      <c r="C25" s="11"/>
      <c r="D25" s="11"/>
      <c r="E25" s="10">
        <f>COUNTIF(Scoring!AI3:AI27,"REVIEW")</f>
        <v>7</v>
      </c>
      <c r="F25" s="10"/>
    </row>
    <row r="26" spans="1:6" ht="15" customHeight="1" x14ac:dyDescent="0.2">
      <c r="A26" s="11" t="s">
        <v>50</v>
      </c>
      <c r="B26" s="11"/>
      <c r="C26" s="11"/>
      <c r="D26" s="11"/>
      <c r="E26" s="10">
        <f>COUNTIF(Scoring!AK3:AK27,"CAP AT BUY")</f>
        <v>0</v>
      </c>
      <c r="F26" s="10"/>
    </row>
    <row r="27" spans="1:6" ht="15" customHeight="1" x14ac:dyDescent="0.2">
      <c r="A27" s="12" t="s">
        <v>51</v>
      </c>
      <c r="B27" s="12"/>
      <c r="C27" s="12"/>
      <c r="D27" s="12"/>
      <c r="E27" s="12"/>
      <c r="F27" s="12"/>
    </row>
    <row r="28" spans="1:6" ht="15" customHeight="1" x14ac:dyDescent="0.2">
      <c r="A28" s="11" t="s">
        <v>52</v>
      </c>
      <c r="B28" s="11"/>
      <c r="C28" s="11"/>
      <c r="D28" s="11"/>
      <c r="E28" s="10">
        <f>COUNTIF('Entry Checklist'!Q3:Q27,"NO*")</f>
        <v>0</v>
      </c>
      <c r="F28" s="10"/>
    </row>
    <row r="29" spans="1:6" ht="15" customHeight="1" x14ac:dyDescent="0.2">
      <c r="A29" s="11" t="s">
        <v>53</v>
      </c>
      <c r="B29" s="11"/>
      <c r="C29" s="11"/>
      <c r="D29" s="11"/>
      <c r="E29" s="10">
        <f>COUNTIF('Entry Checklist'!H3:H27,"*50%*")</f>
        <v>0</v>
      </c>
      <c r="F29" s="10"/>
    </row>
  </sheetData>
  <mergeCells count="40">
    <mergeCell ref="A28:D28"/>
    <mergeCell ref="E28:F28"/>
    <mergeCell ref="A29:D29"/>
    <mergeCell ref="E29:F29"/>
    <mergeCell ref="A25:D25"/>
    <mergeCell ref="E25:F25"/>
    <mergeCell ref="A26:D26"/>
    <mergeCell ref="E26:F26"/>
    <mergeCell ref="A27:F27"/>
    <mergeCell ref="A22:F22"/>
    <mergeCell ref="A23:D23"/>
    <mergeCell ref="E23:F23"/>
    <mergeCell ref="A24:D24"/>
    <mergeCell ref="E24:F24"/>
    <mergeCell ref="A18:D18"/>
    <mergeCell ref="E18:F18"/>
    <mergeCell ref="A19:D19"/>
    <mergeCell ref="E19:F19"/>
    <mergeCell ref="A20:D20"/>
    <mergeCell ref="E20:F20"/>
    <mergeCell ref="A14:D14"/>
    <mergeCell ref="E14:F14"/>
    <mergeCell ref="A15:D15"/>
    <mergeCell ref="E15:F15"/>
    <mergeCell ref="A17:F17"/>
    <mergeCell ref="A10:D10"/>
    <mergeCell ref="E10:F10"/>
    <mergeCell ref="A11:D11"/>
    <mergeCell ref="E11:F11"/>
    <mergeCell ref="A13:F13"/>
    <mergeCell ref="A6:D6"/>
    <mergeCell ref="E6:F6"/>
    <mergeCell ref="A7:D7"/>
    <mergeCell ref="E7:F7"/>
    <mergeCell ref="A9:F9"/>
    <mergeCell ref="A1:F1"/>
    <mergeCell ref="A2:F2"/>
    <mergeCell ref="A4:F4"/>
    <mergeCell ref="A5:D5"/>
    <mergeCell ref="E5:F5"/>
  </mergeCells>
  <conditionalFormatting sqref="E5">
    <cfRule type="cellIs" dxfId="79" priority="2" operator="greaterThan">
      <formula>0</formula>
    </cfRule>
  </conditionalFormatting>
  <conditionalFormatting sqref="E10">
    <cfRule type="cellIs" dxfId="78" priority="3" operator="greaterThan">
      <formula>0</formula>
    </cfRule>
  </conditionalFormatting>
  <conditionalFormatting sqref="E23:E24">
    <cfRule type="cellIs" dxfId="77" priority="4" operator="greaterThan">
      <formula>0</formula>
    </cfRule>
  </conditionalFormatting>
  <conditionalFormatting sqref="E28">
    <cfRule type="cellIs" dxfId="76" priority="6"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0"/>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1" customWidth="1"/>
    <col min="2" max="2" width="9" customWidth="1"/>
    <col min="3" max="3" width="30" customWidth="1"/>
    <col min="4" max="4" width="16" customWidth="1"/>
    <col min="5" max="5" width="12" customWidth="1"/>
    <col min="6" max="6" width="10" customWidth="1"/>
    <col min="7" max="9" width="13" customWidth="1"/>
    <col min="10" max="11" width="11" customWidth="1"/>
    <col min="12" max="12" width="13" customWidth="1"/>
    <col min="13" max="13" width="34" customWidth="1"/>
    <col min="15" max="15" width="26" customWidth="1"/>
    <col min="16" max="16" width="13" customWidth="1"/>
  </cols>
  <sheetData>
    <row r="1" spans="1:16" ht="30" customHeight="1" x14ac:dyDescent="0.2">
      <c r="A1" s="6" t="s">
        <v>54</v>
      </c>
      <c r="B1" s="6"/>
      <c r="C1" s="6"/>
      <c r="D1" s="6"/>
      <c r="E1" s="6"/>
      <c r="F1" s="6"/>
      <c r="G1" s="6"/>
      <c r="H1" s="6"/>
      <c r="I1" s="6"/>
      <c r="J1" s="6"/>
      <c r="K1" s="6"/>
      <c r="L1" s="6"/>
      <c r="M1" s="6"/>
      <c r="O1" s="5" t="s">
        <v>55</v>
      </c>
      <c r="P1" s="5"/>
    </row>
    <row r="2" spans="1:16" ht="27.75" customHeight="1" x14ac:dyDescent="0.2">
      <c r="A2" s="22" t="s">
        <v>56</v>
      </c>
      <c r="B2" s="22" t="s">
        <v>57</v>
      </c>
      <c r="C2" s="22" t="s">
        <v>58</v>
      </c>
      <c r="D2" s="22" t="s">
        <v>59</v>
      </c>
      <c r="E2" s="22" t="s">
        <v>60</v>
      </c>
      <c r="F2" s="22" t="s">
        <v>61</v>
      </c>
      <c r="G2" s="22" t="s">
        <v>62</v>
      </c>
      <c r="H2" s="22" t="s">
        <v>63</v>
      </c>
      <c r="I2" s="22" t="s">
        <v>64</v>
      </c>
      <c r="J2" s="22" t="s">
        <v>65</v>
      </c>
      <c r="K2" s="22" t="s">
        <v>66</v>
      </c>
      <c r="L2" s="22" t="s">
        <v>67</v>
      </c>
      <c r="M2" s="22" t="s">
        <v>68</v>
      </c>
      <c r="O2" s="23" t="s">
        <v>69</v>
      </c>
      <c r="P2" s="24"/>
    </row>
    <row r="3" spans="1:16" ht="15" customHeight="1" x14ac:dyDescent="0.2">
      <c r="A3" s="25" t="s">
        <v>70</v>
      </c>
      <c r="B3" s="26" t="s">
        <v>71</v>
      </c>
      <c r="C3" s="25" t="s">
        <v>72</v>
      </c>
      <c r="D3" s="26" t="s">
        <v>73</v>
      </c>
      <c r="E3" s="26">
        <v>65</v>
      </c>
      <c r="F3" s="26">
        <v>259.32</v>
      </c>
      <c r="G3" s="27">
        <f t="shared" ref="G3:G14" si="0">E3*F3</f>
        <v>16855.8</v>
      </c>
      <c r="H3" s="26">
        <v>19163.84</v>
      </c>
      <c r="I3" s="28">
        <f t="shared" ref="I3:I14" si="1">G3-H3</f>
        <v>-2308.0400000000009</v>
      </c>
      <c r="J3" s="29">
        <f t="shared" ref="J3:J14" si="2">IF(H3=0,"",G3/H3-1)</f>
        <v>-0.12043724013558876</v>
      </c>
      <c r="K3" s="29">
        <f>G3/SUM(G3:G14)</f>
        <v>4.1771980714973997E-2</v>
      </c>
      <c r="L3" s="29">
        <f>G3/SUM(G3:G14,G17:G35)</f>
        <v>2.4053924711407236E-2</v>
      </c>
      <c r="M3" s="25" t="s">
        <v>74</v>
      </c>
      <c r="O3" s="23" t="s">
        <v>75</v>
      </c>
      <c r="P3" s="24"/>
    </row>
    <row r="4" spans="1:16" ht="15" customHeight="1" x14ac:dyDescent="0.2">
      <c r="A4" s="25" t="s">
        <v>70</v>
      </c>
      <c r="B4" s="26" t="s">
        <v>76</v>
      </c>
      <c r="C4" s="25" t="s">
        <v>77</v>
      </c>
      <c r="D4" s="26" t="s">
        <v>73</v>
      </c>
      <c r="E4" s="26">
        <v>70</v>
      </c>
      <c r="F4" s="26">
        <v>197.31</v>
      </c>
      <c r="G4" s="27">
        <f t="shared" si="0"/>
        <v>13811.7</v>
      </c>
      <c r="H4" s="26">
        <v>10182.200000000001</v>
      </c>
      <c r="I4" s="28">
        <f t="shared" si="1"/>
        <v>3629.5</v>
      </c>
      <c r="J4" s="29">
        <f t="shared" si="2"/>
        <v>0.35645538292314027</v>
      </c>
      <c r="K4" s="29">
        <f>G4/SUM(G3:G14)</f>
        <v>3.4228103444571389E-2</v>
      </c>
      <c r="L4" s="29">
        <f>G4/SUM(G3:G14,G17:G35)</f>
        <v>1.970986793486772E-2</v>
      </c>
      <c r="M4" s="25"/>
    </row>
    <row r="5" spans="1:16" ht="15" customHeight="1" x14ac:dyDescent="0.2">
      <c r="A5" s="25" t="s">
        <v>70</v>
      </c>
      <c r="B5" s="26" t="s">
        <v>78</v>
      </c>
      <c r="C5" s="25" t="s">
        <v>79</v>
      </c>
      <c r="D5" s="26" t="s">
        <v>73</v>
      </c>
      <c r="E5" s="26">
        <v>7</v>
      </c>
      <c r="F5" s="26">
        <v>1678.22</v>
      </c>
      <c r="G5" s="27">
        <f t="shared" si="0"/>
        <v>11747.54</v>
      </c>
      <c r="H5" s="26">
        <v>9989.8799999999992</v>
      </c>
      <c r="I5" s="28">
        <f t="shared" si="1"/>
        <v>1757.6600000000017</v>
      </c>
      <c r="J5" s="29">
        <f t="shared" si="2"/>
        <v>0.17594405538404878</v>
      </c>
      <c r="K5" s="29">
        <f>G5/SUM(G3:G14)</f>
        <v>2.9112709828568548E-2</v>
      </c>
      <c r="L5" s="29">
        <f>G5/SUM(G3:G14,G17:G35)</f>
        <v>1.6764226124197309E-2</v>
      </c>
      <c r="M5" s="25"/>
    </row>
    <row r="6" spans="1:16" ht="15" customHeight="1" x14ac:dyDescent="0.2">
      <c r="A6" s="25" t="s">
        <v>70</v>
      </c>
      <c r="B6" s="26" t="s">
        <v>80</v>
      </c>
      <c r="C6" s="25" t="s">
        <v>81</v>
      </c>
      <c r="D6" s="26" t="s">
        <v>73</v>
      </c>
      <c r="E6" s="26">
        <v>40</v>
      </c>
      <c r="F6" s="26">
        <v>209.86</v>
      </c>
      <c r="G6" s="27">
        <f t="shared" si="0"/>
        <v>8394.4000000000015</v>
      </c>
      <c r="H6" s="26">
        <v>4991.3500000000004</v>
      </c>
      <c r="I6" s="28">
        <f t="shared" si="1"/>
        <v>3403.0500000000011</v>
      </c>
      <c r="J6" s="29">
        <f t="shared" si="2"/>
        <v>0.68178949582778214</v>
      </c>
      <c r="K6" s="29">
        <f>G6/SUM(G3:G14)</f>
        <v>2.0802970782388127E-2</v>
      </c>
      <c r="L6" s="29">
        <f>G6/SUM(G3:G14,G17:G35)</f>
        <v>1.1979156468244576E-2</v>
      </c>
      <c r="M6" s="25"/>
    </row>
    <row r="7" spans="1:16" ht="15" customHeight="1" x14ac:dyDescent="0.2">
      <c r="A7" s="25" t="s">
        <v>70</v>
      </c>
      <c r="B7" s="26" t="s">
        <v>82</v>
      </c>
      <c r="C7" s="25" t="s">
        <v>83</v>
      </c>
      <c r="D7" s="26" t="s">
        <v>73</v>
      </c>
      <c r="E7" s="26">
        <v>100</v>
      </c>
      <c r="F7" s="26">
        <v>192.8</v>
      </c>
      <c r="G7" s="27">
        <f t="shared" si="0"/>
        <v>19280</v>
      </c>
      <c r="H7" s="26">
        <v>15412.54</v>
      </c>
      <c r="I7" s="28">
        <f t="shared" si="1"/>
        <v>3867.4599999999991</v>
      </c>
      <c r="J7" s="29">
        <f t="shared" si="2"/>
        <v>0.25092943797712763</v>
      </c>
      <c r="K7" s="29">
        <f>G7/SUM(G3:G14)</f>
        <v>4.7779624116606668E-2</v>
      </c>
      <c r="L7" s="29">
        <f>G7/SUM(G3:G14,G17:G35)</f>
        <v>2.7513358513741946E-2</v>
      </c>
      <c r="M7" s="25"/>
    </row>
    <row r="8" spans="1:16" ht="15" customHeight="1" x14ac:dyDescent="0.2">
      <c r="A8" s="25" t="s">
        <v>70</v>
      </c>
      <c r="B8" s="26" t="s">
        <v>84</v>
      </c>
      <c r="C8" s="25" t="s">
        <v>85</v>
      </c>
      <c r="D8" s="26" t="s">
        <v>73</v>
      </c>
      <c r="E8" s="26">
        <v>7</v>
      </c>
      <c r="F8" s="26">
        <v>893.19</v>
      </c>
      <c r="G8" s="27">
        <f t="shared" si="0"/>
        <v>6252.33</v>
      </c>
      <c r="H8" s="26">
        <v>5836.11</v>
      </c>
      <c r="I8" s="28">
        <f t="shared" si="1"/>
        <v>416.22000000000025</v>
      </c>
      <c r="J8" s="29">
        <f t="shared" si="2"/>
        <v>7.1318052606959226E-2</v>
      </c>
      <c r="K8" s="29">
        <f>G8/SUM(G3:G14)</f>
        <v>1.5494500894864283E-2</v>
      </c>
      <c r="L8" s="29">
        <f>G8/SUM(G3:G14,G17:G35)</f>
        <v>8.9223338608000087E-3</v>
      </c>
      <c r="M8" s="25"/>
    </row>
    <row r="9" spans="1:16" ht="15" customHeight="1" x14ac:dyDescent="0.2">
      <c r="A9" s="25" t="s">
        <v>70</v>
      </c>
      <c r="B9" s="26" t="s">
        <v>86</v>
      </c>
      <c r="C9" s="25" t="s">
        <v>87</v>
      </c>
      <c r="D9" s="26" t="s">
        <v>73</v>
      </c>
      <c r="E9" s="26">
        <v>155</v>
      </c>
      <c r="F9" s="26">
        <v>219.22</v>
      </c>
      <c r="G9" s="27">
        <f t="shared" si="0"/>
        <v>33979.1</v>
      </c>
      <c r="H9" s="26">
        <v>26639.79</v>
      </c>
      <c r="I9" s="28">
        <f t="shared" si="1"/>
        <v>7339.3099999999977</v>
      </c>
      <c r="J9" s="29">
        <f t="shared" si="2"/>
        <v>0.2755017963730193</v>
      </c>
      <c r="K9" s="29">
        <f>G9/SUM(G3:G14)</f>
        <v>8.4206878932603202E-2</v>
      </c>
      <c r="L9" s="29">
        <f>G9/SUM(G3:G14,G17:G35)</f>
        <v>4.8489583001778469E-2</v>
      </c>
      <c r="M9" s="25"/>
    </row>
    <row r="10" spans="1:16" ht="15" customHeight="1" x14ac:dyDescent="0.2">
      <c r="A10" s="25" t="s">
        <v>70</v>
      </c>
      <c r="B10" s="26" t="s">
        <v>88</v>
      </c>
      <c r="C10" s="25" t="s">
        <v>89</v>
      </c>
      <c r="D10" s="26" t="s">
        <v>73</v>
      </c>
      <c r="E10" s="26">
        <v>70</v>
      </c>
      <c r="F10" s="26">
        <v>158.43</v>
      </c>
      <c r="G10" s="27">
        <f t="shared" si="0"/>
        <v>11090.1</v>
      </c>
      <c r="H10" s="26">
        <v>11612.3</v>
      </c>
      <c r="I10" s="28">
        <f t="shared" si="1"/>
        <v>-522.19999999999891</v>
      </c>
      <c r="J10" s="29">
        <f t="shared" si="2"/>
        <v>-4.4969558140936727E-2</v>
      </c>
      <c r="K10" s="29">
        <f>G10/SUM(G3:G14)</f>
        <v>2.748344447176243E-2</v>
      </c>
      <c r="L10" s="29">
        <f>G10/SUM(G3:G14,G17:G35)</f>
        <v>1.5826032015210038E-2</v>
      </c>
      <c r="M10" s="25"/>
    </row>
    <row r="11" spans="1:16" ht="15" customHeight="1" x14ac:dyDescent="0.2">
      <c r="A11" s="25" t="s">
        <v>70</v>
      </c>
      <c r="B11" s="26" t="s">
        <v>90</v>
      </c>
      <c r="C11" s="25" t="s">
        <v>91</v>
      </c>
      <c r="D11" s="26" t="s">
        <v>73</v>
      </c>
      <c r="E11" s="26">
        <v>25</v>
      </c>
      <c r="F11" s="26">
        <v>414</v>
      </c>
      <c r="G11" s="27">
        <f t="shared" si="0"/>
        <v>10350</v>
      </c>
      <c r="H11" s="26">
        <v>6069.64</v>
      </c>
      <c r="I11" s="28">
        <f t="shared" si="1"/>
        <v>4280.3599999999997</v>
      </c>
      <c r="J11" s="29">
        <f t="shared" si="2"/>
        <v>0.70520821663228772</v>
      </c>
      <c r="K11" s="29">
        <f>G11/SUM(G3:G14)</f>
        <v>2.5649331411145178E-2</v>
      </c>
      <c r="L11" s="29">
        <f>G11/SUM(G3:G14,G17:G35)</f>
        <v>1.4769878662719354E-2</v>
      </c>
      <c r="M11" s="25"/>
    </row>
    <row r="12" spans="1:16" ht="15" customHeight="1" x14ac:dyDescent="0.2">
      <c r="A12" s="25" t="s">
        <v>70</v>
      </c>
      <c r="B12" s="26" t="s">
        <v>92</v>
      </c>
      <c r="C12" s="25" t="s">
        <v>93</v>
      </c>
      <c r="D12" s="26" t="s">
        <v>73</v>
      </c>
      <c r="E12" s="26">
        <v>30</v>
      </c>
      <c r="F12" s="26">
        <v>277.94</v>
      </c>
      <c r="G12" s="27">
        <f t="shared" si="0"/>
        <v>8338.2000000000007</v>
      </c>
      <c r="H12" s="26">
        <v>7876.8</v>
      </c>
      <c r="I12" s="28">
        <f t="shared" si="1"/>
        <v>461.40000000000055</v>
      </c>
      <c r="J12" s="29">
        <f t="shared" si="2"/>
        <v>5.8577087141986617E-2</v>
      </c>
      <c r="K12" s="29">
        <f>G12/SUM(G3:G14)</f>
        <v>2.0663696151923743E-2</v>
      </c>
      <c r="L12" s="29">
        <f>G12/SUM(G3:G14,G17:G35)</f>
        <v>1.1898956740626718E-2</v>
      </c>
      <c r="M12" s="25"/>
    </row>
    <row r="13" spans="1:16" ht="15" customHeight="1" x14ac:dyDescent="0.2">
      <c r="A13" s="25" t="s">
        <v>70</v>
      </c>
      <c r="B13" s="26" t="s">
        <v>94</v>
      </c>
      <c r="C13" s="25" t="s">
        <v>95</v>
      </c>
      <c r="D13" s="26" t="s">
        <v>96</v>
      </c>
      <c r="E13" s="26">
        <v>244620.56</v>
      </c>
      <c r="F13" s="26">
        <v>1</v>
      </c>
      <c r="G13" s="27">
        <f t="shared" si="0"/>
        <v>244620.56</v>
      </c>
      <c r="H13" s="26">
        <v>244620.56</v>
      </c>
      <c r="I13" s="28">
        <f t="shared" si="1"/>
        <v>0</v>
      </c>
      <c r="J13" s="29">
        <f t="shared" si="2"/>
        <v>0</v>
      </c>
      <c r="K13" s="29">
        <f>G13/SUM(G3:G14)</f>
        <v>0.60621775975071723</v>
      </c>
      <c r="L13" s="29">
        <f>G13/SUM(G3:G14,G17:G35)</f>
        <v>0.34908367049337774</v>
      </c>
      <c r="M13" s="25"/>
    </row>
    <row r="14" spans="1:16" ht="15" customHeight="1" x14ac:dyDescent="0.2">
      <c r="A14" s="25" t="s">
        <v>70</v>
      </c>
      <c r="B14" s="26" t="s">
        <v>97</v>
      </c>
      <c r="C14" s="25" t="s">
        <v>98</v>
      </c>
      <c r="D14" s="26" t="s">
        <v>96</v>
      </c>
      <c r="E14" s="26">
        <v>18799.560000000001</v>
      </c>
      <c r="F14" s="26">
        <v>1</v>
      </c>
      <c r="G14" s="27">
        <f t="shared" si="0"/>
        <v>18799.560000000001</v>
      </c>
      <c r="H14" s="26">
        <v>18799.560000000001</v>
      </c>
      <c r="I14" s="28">
        <f t="shared" si="1"/>
        <v>0</v>
      </c>
      <c r="J14" s="29">
        <f t="shared" si="2"/>
        <v>0</v>
      </c>
      <c r="K14" s="29">
        <f>G14/SUM(G3:G14)</f>
        <v>4.6588999499875217E-2</v>
      </c>
      <c r="L14" s="29">
        <f>G14/SUM(G3:G14,G17:G35)</f>
        <v>2.6827750735508433E-2</v>
      </c>
      <c r="M14" s="25"/>
    </row>
    <row r="15" spans="1:16" ht="15" customHeight="1" x14ac:dyDescent="0.2">
      <c r="A15" s="30"/>
      <c r="B15" s="30"/>
      <c r="C15" s="31" t="s">
        <v>99</v>
      </c>
      <c r="D15" s="30"/>
      <c r="E15" s="30"/>
      <c r="F15" s="30"/>
      <c r="G15" s="32">
        <f>SUM(G3:G14)</f>
        <v>403519.29</v>
      </c>
      <c r="H15" s="33">
        <f>SUM(H3:H14)</f>
        <v>381194.57</v>
      </c>
      <c r="I15" s="32">
        <f>SUM(I3:I14)</f>
        <v>22324.720000000001</v>
      </c>
      <c r="J15" s="34"/>
      <c r="K15" s="34"/>
      <c r="L15" s="34"/>
      <c r="M15" s="30"/>
    </row>
    <row r="16" spans="1:16" ht="15" customHeight="1" x14ac:dyDescent="0.2">
      <c r="A16" s="35"/>
      <c r="B16" s="35"/>
      <c r="C16" s="35"/>
      <c r="D16" s="35"/>
      <c r="E16" s="35"/>
      <c r="F16" s="35"/>
      <c r="H16" s="35"/>
      <c r="M16" s="35"/>
    </row>
    <row r="17" spans="1:13" ht="15" customHeight="1" x14ac:dyDescent="0.2">
      <c r="A17" s="25" t="s">
        <v>100</v>
      </c>
      <c r="B17" s="26" t="s">
        <v>101</v>
      </c>
      <c r="C17" s="25" t="s">
        <v>102</v>
      </c>
      <c r="D17" s="26" t="s">
        <v>96</v>
      </c>
      <c r="E17" s="26">
        <v>58007.32</v>
      </c>
      <c r="F17" s="26">
        <v>1</v>
      </c>
      <c r="G17" s="27">
        <f t="shared" ref="G17:G35" si="3">E17*F17</f>
        <v>58007.32</v>
      </c>
      <c r="H17" s="26">
        <v>58007.32</v>
      </c>
      <c r="I17" s="28">
        <f t="shared" ref="I17:I35" si="4">G17-H17</f>
        <v>0</v>
      </c>
      <c r="J17" s="29">
        <f t="shared" ref="J17:J35" si="5">IF(H17=0,"",G17/H17-1)</f>
        <v>0</v>
      </c>
      <c r="K17" s="29">
        <f>G17/SUM(G17:G35)</f>
        <v>0.19515890717396572</v>
      </c>
      <c r="L17" s="29">
        <f>G17/SUM(G3:G14,G17:G35)</f>
        <v>8.2778848111066047E-2</v>
      </c>
      <c r="M17" s="25"/>
    </row>
    <row r="18" spans="1:13" ht="15" customHeight="1" x14ac:dyDescent="0.2">
      <c r="A18" s="25" t="s">
        <v>100</v>
      </c>
      <c r="B18" s="26" t="s">
        <v>103</v>
      </c>
      <c r="C18" s="25" t="s">
        <v>104</v>
      </c>
      <c r="D18" s="26" t="s">
        <v>105</v>
      </c>
      <c r="E18" s="26">
        <v>840.43759999999997</v>
      </c>
      <c r="F18" s="26">
        <v>59.56</v>
      </c>
      <c r="G18" s="27">
        <f t="shared" si="3"/>
        <v>50056.463455999998</v>
      </c>
      <c r="H18" s="26">
        <v>42412.88</v>
      </c>
      <c r="I18" s="28">
        <f t="shared" si="4"/>
        <v>7643.5834560000003</v>
      </c>
      <c r="J18" s="29">
        <f t="shared" si="5"/>
        <v>0.18021844911262797</v>
      </c>
      <c r="K18" s="29">
        <f>G18/SUM(G17:G35)</f>
        <v>0.16840917155053037</v>
      </c>
      <c r="L18" s="29">
        <f>G18/SUM(G3:G14,G17:G35)</f>
        <v>7.1432646524634338E-2</v>
      </c>
      <c r="M18" s="25"/>
    </row>
    <row r="19" spans="1:13" ht="15" customHeight="1" x14ac:dyDescent="0.2">
      <c r="A19" s="25" t="s">
        <v>100</v>
      </c>
      <c r="B19" s="26" t="s">
        <v>106</v>
      </c>
      <c r="C19" s="25" t="s">
        <v>107</v>
      </c>
      <c r="D19" s="26" t="s">
        <v>73</v>
      </c>
      <c r="E19" s="26">
        <v>400.0016</v>
      </c>
      <c r="F19" s="26">
        <v>128.74</v>
      </c>
      <c r="G19" s="27">
        <f t="shared" si="3"/>
        <v>51496.205984</v>
      </c>
      <c r="H19" s="26">
        <v>45117.15</v>
      </c>
      <c r="I19" s="28">
        <f t="shared" si="4"/>
        <v>6379.0559839999987</v>
      </c>
      <c r="J19" s="29">
        <f t="shared" si="5"/>
        <v>0.14138871768274375</v>
      </c>
      <c r="K19" s="29">
        <f>G19/SUM(G17:G35)</f>
        <v>0.17325301847151142</v>
      </c>
      <c r="L19" s="29">
        <f>G19/SUM(G3:G14,G17:G35)</f>
        <v>7.3487218741457222E-2</v>
      </c>
      <c r="M19" s="25" t="s">
        <v>108</v>
      </c>
    </row>
    <row r="20" spans="1:13" ht="15" customHeight="1" x14ac:dyDescent="0.2">
      <c r="A20" s="25" t="s">
        <v>100</v>
      </c>
      <c r="B20" s="26" t="s">
        <v>109</v>
      </c>
      <c r="C20" s="25" t="s">
        <v>110</v>
      </c>
      <c r="D20" s="26" t="s">
        <v>73</v>
      </c>
      <c r="E20" s="26">
        <v>0</v>
      </c>
      <c r="F20" s="26">
        <v>56.12</v>
      </c>
      <c r="G20" s="27">
        <f t="shared" si="3"/>
        <v>0</v>
      </c>
      <c r="H20" s="26">
        <v>0</v>
      </c>
      <c r="I20" s="28">
        <f t="shared" si="4"/>
        <v>0</v>
      </c>
      <c r="J20" s="29" t="str">
        <f t="shared" si="5"/>
        <v/>
      </c>
      <c r="K20" s="29">
        <f>G20/SUM(G17:G35)</f>
        <v>0</v>
      </c>
      <c r="L20" s="29">
        <f>G20/SUM(G3:G14,G17:G35)</f>
        <v>0</v>
      </c>
      <c r="M20" s="25" t="s">
        <v>111</v>
      </c>
    </row>
    <row r="21" spans="1:13" ht="15" customHeight="1" x14ac:dyDescent="0.2">
      <c r="A21" s="25" t="s">
        <v>100</v>
      </c>
      <c r="B21" s="26" t="s">
        <v>112</v>
      </c>
      <c r="C21" s="25" t="s">
        <v>113</v>
      </c>
      <c r="D21" s="26" t="s">
        <v>105</v>
      </c>
      <c r="E21" s="26">
        <v>300</v>
      </c>
      <c r="F21" s="26">
        <v>69.59</v>
      </c>
      <c r="G21" s="27">
        <f t="shared" si="3"/>
        <v>20877</v>
      </c>
      <c r="H21" s="26">
        <v>16782</v>
      </c>
      <c r="I21" s="28">
        <f t="shared" si="4"/>
        <v>4095</v>
      </c>
      <c r="J21" s="29">
        <f t="shared" si="5"/>
        <v>0.24401144082946025</v>
      </c>
      <c r="K21" s="29">
        <f>G21/SUM(G17:G35)</f>
        <v>7.0238247605145049E-2</v>
      </c>
      <c r="L21" s="29">
        <f>G21/SUM(G3:G14,G17:G35)</f>
        <v>2.979234365619246E-2</v>
      </c>
      <c r="M21" s="25"/>
    </row>
    <row r="22" spans="1:13" ht="15" customHeight="1" x14ac:dyDescent="0.2">
      <c r="A22" s="25" t="s">
        <v>100</v>
      </c>
      <c r="B22" s="26" t="s">
        <v>114</v>
      </c>
      <c r="C22" s="25" t="s">
        <v>115</v>
      </c>
      <c r="D22" s="26" t="s">
        <v>73</v>
      </c>
      <c r="E22" s="26">
        <v>35.075899999999997</v>
      </c>
      <c r="F22" s="26">
        <v>418.16</v>
      </c>
      <c r="G22" s="27">
        <f t="shared" si="3"/>
        <v>14667.338344</v>
      </c>
      <c r="H22" s="26">
        <v>12653.43</v>
      </c>
      <c r="I22" s="28">
        <f t="shared" si="4"/>
        <v>2013.9083439999995</v>
      </c>
      <c r="J22" s="29">
        <f t="shared" si="5"/>
        <v>0.15915908524408007</v>
      </c>
      <c r="K22" s="29">
        <f>G22/SUM(G17:G35)</f>
        <v>4.9346560440403801E-2</v>
      </c>
      <c r="L22" s="29">
        <f>G22/SUM(G3:G14,G17:G35)</f>
        <v>2.0930899289461933E-2</v>
      </c>
      <c r="M22" s="25"/>
    </row>
    <row r="23" spans="1:13" ht="15" customHeight="1" x14ac:dyDescent="0.2">
      <c r="A23" s="25" t="s">
        <v>100</v>
      </c>
      <c r="B23" s="26" t="s">
        <v>86</v>
      </c>
      <c r="C23" s="25" t="s">
        <v>87</v>
      </c>
      <c r="D23" s="26" t="s">
        <v>73</v>
      </c>
      <c r="E23" s="26">
        <v>59.021900000000002</v>
      </c>
      <c r="F23" s="26">
        <v>211.87</v>
      </c>
      <c r="G23" s="27">
        <f t="shared" si="3"/>
        <v>12504.969953000002</v>
      </c>
      <c r="H23" s="26">
        <v>11377.73</v>
      </c>
      <c r="I23" s="28">
        <f t="shared" si="4"/>
        <v>1127.2399530000021</v>
      </c>
      <c r="J23" s="29">
        <f t="shared" si="5"/>
        <v>9.9074240028547145E-2</v>
      </c>
      <c r="K23" s="29">
        <f>G23/SUM(G17:G35)</f>
        <v>4.2071522529755864E-2</v>
      </c>
      <c r="L23" s="29">
        <f>G23/SUM(G3:G14,G17:G35)</f>
        <v>1.7845110037368248E-2</v>
      </c>
      <c r="M23" s="25"/>
    </row>
    <row r="24" spans="1:13" ht="15" customHeight="1" x14ac:dyDescent="0.2">
      <c r="A24" s="25" t="s">
        <v>100</v>
      </c>
      <c r="B24" s="26" t="s">
        <v>116</v>
      </c>
      <c r="C24" s="25" t="s">
        <v>117</v>
      </c>
      <c r="D24" s="26" t="s">
        <v>73</v>
      </c>
      <c r="E24" s="26">
        <v>50</v>
      </c>
      <c r="F24" s="26">
        <v>478.7</v>
      </c>
      <c r="G24" s="27">
        <f t="shared" si="3"/>
        <v>23935</v>
      </c>
      <c r="H24" s="26">
        <v>23567.55</v>
      </c>
      <c r="I24" s="28">
        <f t="shared" si="4"/>
        <v>367.45000000000073</v>
      </c>
      <c r="J24" s="29">
        <f t="shared" si="5"/>
        <v>1.5591353365114413E-2</v>
      </c>
      <c r="K24" s="29">
        <f>G24/SUM(G17:G35)</f>
        <v>8.0526534292721497E-2</v>
      </c>
      <c r="L24" s="29">
        <f>G24/SUM(G3:G14,G17:G35)</f>
        <v>3.4156236308423939E-2</v>
      </c>
      <c r="M24" s="25" t="s">
        <v>118</v>
      </c>
    </row>
    <row r="25" spans="1:13" ht="15" customHeight="1" x14ac:dyDescent="0.2">
      <c r="A25" s="25" t="s">
        <v>100</v>
      </c>
      <c r="B25" s="26" t="s">
        <v>119</v>
      </c>
      <c r="C25" s="25" t="s">
        <v>120</v>
      </c>
      <c r="D25" s="26" t="s">
        <v>73</v>
      </c>
      <c r="E25" s="26">
        <v>76.937399999999997</v>
      </c>
      <c r="F25" s="26">
        <v>151.16</v>
      </c>
      <c r="G25" s="27">
        <f t="shared" si="3"/>
        <v>11629.857383999999</v>
      </c>
      <c r="H25" s="26">
        <v>9318.7900000000009</v>
      </c>
      <c r="I25" s="28">
        <f t="shared" si="4"/>
        <v>2311.0673839999981</v>
      </c>
      <c r="J25" s="29">
        <f t="shared" si="5"/>
        <v>0.24800080096235644</v>
      </c>
      <c r="K25" s="29">
        <f>G25/SUM(G17:G35)</f>
        <v>3.9127307685487209E-2</v>
      </c>
      <c r="L25" s="29">
        <f>G25/SUM(G3:G14,G17:G35)</f>
        <v>1.6596288157141131E-2</v>
      </c>
      <c r="M25" s="25"/>
    </row>
    <row r="26" spans="1:13" ht="15" customHeight="1" x14ac:dyDescent="0.2">
      <c r="A26" s="25" t="s">
        <v>100</v>
      </c>
      <c r="B26" s="26" t="s">
        <v>121</v>
      </c>
      <c r="C26" s="25" t="s">
        <v>122</v>
      </c>
      <c r="D26" s="26" t="s">
        <v>73</v>
      </c>
      <c r="E26" s="26">
        <v>200</v>
      </c>
      <c r="F26" s="26">
        <v>50.5</v>
      </c>
      <c r="G26" s="27">
        <f t="shared" si="3"/>
        <v>10100</v>
      </c>
      <c r="H26" s="26">
        <v>9257</v>
      </c>
      <c r="I26" s="28">
        <f t="shared" si="4"/>
        <v>843</v>
      </c>
      <c r="J26" s="29">
        <f t="shared" si="5"/>
        <v>9.1066220157718591E-2</v>
      </c>
      <c r="K26" s="29">
        <f>G26/SUM(G17:G35)</f>
        <v>3.3980279772571009E-2</v>
      </c>
      <c r="L26" s="29">
        <f>G26/SUM(G3:G14,G17:G35)</f>
        <v>1.4413118308547388E-2</v>
      </c>
      <c r="M26" s="25"/>
    </row>
    <row r="27" spans="1:13" ht="15" customHeight="1" x14ac:dyDescent="0.2">
      <c r="A27" s="25" t="s">
        <v>100</v>
      </c>
      <c r="B27" s="26" t="s">
        <v>76</v>
      </c>
      <c r="C27" s="25" t="s">
        <v>77</v>
      </c>
      <c r="D27" s="26" t="s">
        <v>73</v>
      </c>
      <c r="E27" s="26">
        <v>50</v>
      </c>
      <c r="F27" s="26">
        <v>190.51</v>
      </c>
      <c r="G27" s="27">
        <f t="shared" si="3"/>
        <v>9525.5</v>
      </c>
      <c r="H27" s="26">
        <v>7394.5</v>
      </c>
      <c r="I27" s="28">
        <f t="shared" si="4"/>
        <v>2131</v>
      </c>
      <c r="J27" s="29">
        <f t="shared" si="5"/>
        <v>0.28818716613699369</v>
      </c>
      <c r="K27" s="29">
        <f>G27/SUM(G17:G35)</f>
        <v>3.2047441086497541E-2</v>
      </c>
      <c r="L27" s="29">
        <f>G27/SUM(G3:G14,G17:G35)</f>
        <v>1.3593283014660213E-2</v>
      </c>
      <c r="M27" s="25"/>
    </row>
    <row r="28" spans="1:13" ht="15" customHeight="1" x14ac:dyDescent="0.2">
      <c r="A28" s="25" t="s">
        <v>100</v>
      </c>
      <c r="B28" s="26" t="s">
        <v>80</v>
      </c>
      <c r="C28" s="25" t="s">
        <v>81</v>
      </c>
      <c r="D28" s="26" t="s">
        <v>73</v>
      </c>
      <c r="E28" s="26">
        <v>45</v>
      </c>
      <c r="F28" s="26">
        <v>211.22</v>
      </c>
      <c r="G28" s="27">
        <f t="shared" si="3"/>
        <v>9504.9</v>
      </c>
      <c r="H28" s="26">
        <v>7099.31</v>
      </c>
      <c r="I28" s="28">
        <f t="shared" si="4"/>
        <v>2405.5899999999992</v>
      </c>
      <c r="J28" s="29">
        <f t="shared" si="5"/>
        <v>0.33884842329747533</v>
      </c>
      <c r="K28" s="29">
        <f>G28/SUM(G17:G35)</f>
        <v>3.1978134773298035E-2</v>
      </c>
      <c r="L28" s="29">
        <f>G28/SUM(G3:G14,G17:G35)</f>
        <v>1.3563885961476443E-2</v>
      </c>
      <c r="M28" s="25"/>
    </row>
    <row r="29" spans="1:13" ht="15" customHeight="1" x14ac:dyDescent="0.2">
      <c r="A29" s="25" t="s">
        <v>100</v>
      </c>
      <c r="B29" s="26" t="s">
        <v>123</v>
      </c>
      <c r="C29" s="25" t="s">
        <v>124</v>
      </c>
      <c r="D29" s="26" t="s">
        <v>73</v>
      </c>
      <c r="E29" s="26">
        <v>125.44840000000001</v>
      </c>
      <c r="F29" s="26">
        <v>139.06</v>
      </c>
      <c r="G29" s="27">
        <f t="shared" si="3"/>
        <v>17444.854504000003</v>
      </c>
      <c r="H29" s="26">
        <v>16585.43</v>
      </c>
      <c r="I29" s="28">
        <f t="shared" si="4"/>
        <v>859.42450400000234</v>
      </c>
      <c r="J29" s="29">
        <f t="shared" si="5"/>
        <v>5.1818041739044585E-2</v>
      </c>
      <c r="K29" s="29">
        <f>G29/SUM(G17:G35)</f>
        <v>5.869119174630847E-2</v>
      </c>
      <c r="L29" s="29">
        <f>G29/SUM(G3:G14,G17:G35)</f>
        <v>2.4894529885301764E-2</v>
      </c>
      <c r="M29" s="25" t="s">
        <v>125</v>
      </c>
    </row>
    <row r="30" spans="1:13" ht="15" customHeight="1" x14ac:dyDescent="0.2">
      <c r="A30" s="25" t="s">
        <v>100</v>
      </c>
      <c r="B30" s="26" t="s">
        <v>126</v>
      </c>
      <c r="C30" s="25" t="s">
        <v>127</v>
      </c>
      <c r="D30" s="26" t="s">
        <v>73</v>
      </c>
      <c r="E30" s="26">
        <v>0</v>
      </c>
      <c r="F30" s="26">
        <v>86.07</v>
      </c>
      <c r="G30" s="27">
        <f t="shared" si="3"/>
        <v>0</v>
      </c>
      <c r="H30" s="26">
        <v>0</v>
      </c>
      <c r="I30" s="28">
        <f t="shared" si="4"/>
        <v>0</v>
      </c>
      <c r="J30" s="29" t="str">
        <f t="shared" si="5"/>
        <v/>
      </c>
      <c r="K30" s="29">
        <f>G30/SUM(G17:G35)</f>
        <v>0</v>
      </c>
      <c r="L30" s="29">
        <f>G30/SUM(G3:G14,G17:G35)</f>
        <v>0</v>
      </c>
      <c r="M30" s="25" t="s">
        <v>128</v>
      </c>
    </row>
    <row r="31" spans="1:13" ht="15" customHeight="1" x14ac:dyDescent="0.2">
      <c r="A31" s="25" t="s">
        <v>100</v>
      </c>
      <c r="B31" s="26" t="s">
        <v>129</v>
      </c>
      <c r="C31" s="25" t="s">
        <v>130</v>
      </c>
      <c r="D31" s="26" t="s">
        <v>73</v>
      </c>
      <c r="E31" s="26">
        <v>0</v>
      </c>
      <c r="F31" s="26">
        <v>327.35000000000002</v>
      </c>
      <c r="G31" s="27">
        <f t="shared" si="3"/>
        <v>0</v>
      </c>
      <c r="H31" s="26">
        <v>0</v>
      </c>
      <c r="I31" s="28">
        <f t="shared" si="4"/>
        <v>0</v>
      </c>
      <c r="J31" s="29" t="str">
        <f t="shared" si="5"/>
        <v/>
      </c>
      <c r="K31" s="29">
        <f>G31/SUM(G17:G35)</f>
        <v>0</v>
      </c>
      <c r="L31" s="29">
        <f>G31/SUM(G3:G14,G17:G35)</f>
        <v>0</v>
      </c>
      <c r="M31" s="25" t="s">
        <v>131</v>
      </c>
    </row>
    <row r="32" spans="1:13" ht="15" customHeight="1" x14ac:dyDescent="0.2">
      <c r="A32" s="25" t="s">
        <v>100</v>
      </c>
      <c r="B32" s="26" t="s">
        <v>132</v>
      </c>
      <c r="C32" s="25" t="s">
        <v>133</v>
      </c>
      <c r="D32" s="26" t="s">
        <v>73</v>
      </c>
      <c r="E32" s="26">
        <v>0</v>
      </c>
      <c r="F32" s="26">
        <v>120.16</v>
      </c>
      <c r="G32" s="27">
        <f t="shared" si="3"/>
        <v>0</v>
      </c>
      <c r="H32" s="26">
        <v>0</v>
      </c>
      <c r="I32" s="28">
        <f t="shared" si="4"/>
        <v>0</v>
      </c>
      <c r="J32" s="29" t="str">
        <f t="shared" si="5"/>
        <v/>
      </c>
      <c r="K32" s="29">
        <f>G32/SUM(G17:G35)</f>
        <v>0</v>
      </c>
      <c r="L32" s="29">
        <f>G32/SUM(G3:G14,G17:G35)</f>
        <v>0</v>
      </c>
      <c r="M32" s="25" t="s">
        <v>134</v>
      </c>
    </row>
    <row r="33" spans="1:13" ht="15" customHeight="1" x14ac:dyDescent="0.2">
      <c r="A33" s="25" t="s">
        <v>100</v>
      </c>
      <c r="B33" s="26" t="s">
        <v>135</v>
      </c>
      <c r="C33" s="25" t="s">
        <v>136</v>
      </c>
      <c r="D33" s="26" t="s">
        <v>96</v>
      </c>
      <c r="E33" s="26">
        <v>4228.6099999999997</v>
      </c>
      <c r="F33" s="26">
        <v>1</v>
      </c>
      <c r="G33" s="27">
        <f t="shared" si="3"/>
        <v>4228.6099999999997</v>
      </c>
      <c r="H33" s="26">
        <v>4228.6099999999997</v>
      </c>
      <c r="I33" s="28">
        <f t="shared" si="4"/>
        <v>0</v>
      </c>
      <c r="J33" s="29">
        <f t="shared" si="5"/>
        <v>0</v>
      </c>
      <c r="K33" s="29">
        <f>G33/SUM(G17:G35)</f>
        <v>1.4226668400900148E-2</v>
      </c>
      <c r="L33" s="29">
        <f>G33/SUM(G3:G14,G17:G35)</f>
        <v>6.0344016050204521E-3</v>
      </c>
      <c r="M33" s="25"/>
    </row>
    <row r="34" spans="1:13" ht="15" customHeight="1" x14ac:dyDescent="0.2">
      <c r="A34" s="25" t="s">
        <v>100</v>
      </c>
      <c r="B34" s="26" t="s">
        <v>137</v>
      </c>
      <c r="C34" s="25" t="s">
        <v>138</v>
      </c>
      <c r="D34" s="26" t="s">
        <v>73</v>
      </c>
      <c r="E34" s="26">
        <v>0</v>
      </c>
      <c r="F34" s="26">
        <v>37.61</v>
      </c>
      <c r="G34" s="27">
        <f t="shared" si="3"/>
        <v>0</v>
      </c>
      <c r="H34" s="26">
        <v>0</v>
      </c>
      <c r="I34" s="28">
        <f t="shared" si="4"/>
        <v>0</v>
      </c>
      <c r="J34" s="29" t="str">
        <f t="shared" si="5"/>
        <v/>
      </c>
      <c r="K34" s="29">
        <f>G34/SUM(G17:G35)</f>
        <v>0</v>
      </c>
      <c r="L34" s="29">
        <f>G34/SUM(G3:G14,G17:G35)</f>
        <v>0</v>
      </c>
      <c r="M34" s="25" t="s">
        <v>139</v>
      </c>
    </row>
    <row r="35" spans="1:13" ht="15" customHeight="1" x14ac:dyDescent="0.2">
      <c r="A35" s="25" t="s">
        <v>100</v>
      </c>
      <c r="B35" s="26" t="s">
        <v>88</v>
      </c>
      <c r="C35" s="25" t="s">
        <v>89</v>
      </c>
      <c r="D35" s="26" t="s">
        <v>73</v>
      </c>
      <c r="E35" s="26">
        <v>20</v>
      </c>
      <c r="F35" s="26">
        <v>162.66</v>
      </c>
      <c r="G35" s="27">
        <f t="shared" si="3"/>
        <v>3253.2</v>
      </c>
      <c r="H35" s="26">
        <v>3178</v>
      </c>
      <c r="I35" s="28">
        <f t="shared" si="4"/>
        <v>75.199999999999818</v>
      </c>
      <c r="J35" s="29">
        <f t="shared" si="5"/>
        <v>2.3662680931403335E-2</v>
      </c>
      <c r="K35" s="29">
        <f>G35/SUM(G17:G35)</f>
        <v>1.0945014470903763E-2</v>
      </c>
      <c r="L35" s="29">
        <f>G35/SUM(G3:G14,G17:G35)</f>
        <v>4.6424511367689466E-3</v>
      </c>
      <c r="M35" s="25"/>
    </row>
    <row r="36" spans="1:13" ht="15" customHeight="1" x14ac:dyDescent="0.2">
      <c r="A36" s="34"/>
      <c r="B36" s="34"/>
      <c r="C36" s="36" t="s">
        <v>140</v>
      </c>
      <c r="D36" s="34"/>
      <c r="E36" s="34"/>
      <c r="F36" s="34"/>
      <c r="G36" s="32">
        <f>SUM(G17:G35)</f>
        <v>297231.21962500003</v>
      </c>
      <c r="H36" s="32">
        <f>SUM(H17:H35)</f>
        <v>266979.7</v>
      </c>
      <c r="I36" s="32">
        <f>SUM(I17:I35)</f>
        <v>30251.519625000001</v>
      </c>
      <c r="J36" s="34"/>
      <c r="K36" s="34"/>
      <c r="L36" s="34"/>
      <c r="M36" s="34"/>
    </row>
    <row r="38" spans="1:13" ht="15" customHeight="1" x14ac:dyDescent="0.2">
      <c r="A38" s="37"/>
      <c r="B38" s="37"/>
      <c r="C38" s="38" t="s">
        <v>141</v>
      </c>
      <c r="D38" s="37"/>
      <c r="E38" s="37"/>
      <c r="F38" s="37"/>
      <c r="G38" s="39">
        <f>SUM(G3:G14)+SUM(G17:G35)</f>
        <v>700750.50962499995</v>
      </c>
      <c r="H38" s="39">
        <f>SUM(H3:H14)+SUM(H17:H35)</f>
        <v>648174.27</v>
      </c>
      <c r="I38" s="39">
        <f>SUM(I3:I14)+SUM(I17:I35)</f>
        <v>52576.239625000002</v>
      </c>
      <c r="J38" s="37"/>
      <c r="K38" s="37"/>
      <c r="L38" s="37"/>
      <c r="M38" s="37"/>
    </row>
    <row r="40" spans="1:13" ht="39.75" customHeight="1" x14ac:dyDescent="0.2">
      <c r="A40" s="4" t="s">
        <v>142</v>
      </c>
      <c r="B40" s="4"/>
      <c r="C40" s="4"/>
      <c r="D40" s="4"/>
      <c r="E40" s="4"/>
      <c r="F40" s="4"/>
      <c r="G40" s="4"/>
      <c r="H40" s="4"/>
      <c r="I40" s="4"/>
      <c r="J40" s="4"/>
      <c r="K40" s="4"/>
      <c r="L40" s="4"/>
      <c r="M40" s="4"/>
    </row>
  </sheetData>
  <mergeCells count="3">
    <mergeCell ref="A1:M1"/>
    <mergeCell ref="O1:P1"/>
    <mergeCell ref="A40:M40"/>
  </mergeCells>
  <conditionalFormatting sqref="J3:J35">
    <cfRule type="cellIs" dxfId="75" priority="2" operator="greaterThan">
      <formula>0</formula>
    </cfRule>
    <cfRule type="cellIs" dxfId="74" priority="3" operator="lessThan">
      <formula>0</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8" customWidth="1"/>
    <col min="2" max="2" width="20" customWidth="1"/>
    <col min="3" max="3" width="11" customWidth="1"/>
    <col min="4" max="5" width="10" customWidth="1"/>
    <col min="6" max="6" width="11" customWidth="1"/>
    <col min="7" max="9" width="10" customWidth="1"/>
    <col min="10" max="10" width="12" customWidth="1"/>
    <col min="11" max="11" width="10" customWidth="1"/>
    <col min="12" max="12" width="22" customWidth="1"/>
    <col min="13" max="14" width="10" customWidth="1"/>
    <col min="15" max="15" width="24" customWidth="1"/>
    <col min="16" max="16" width="28" customWidth="1"/>
  </cols>
  <sheetData>
    <row r="1" spans="1:16" ht="25.5" customHeight="1" x14ac:dyDescent="0.2">
      <c r="A1" s="6" t="s">
        <v>143</v>
      </c>
      <c r="B1" s="6"/>
      <c r="C1" s="6"/>
      <c r="D1" s="6"/>
      <c r="E1" s="6"/>
      <c r="F1" s="6"/>
      <c r="G1" s="6"/>
      <c r="H1" s="6"/>
      <c r="I1" s="6"/>
      <c r="J1" s="6"/>
      <c r="K1" s="6"/>
      <c r="L1" s="6"/>
      <c r="M1" s="6"/>
      <c r="N1" s="6"/>
      <c r="O1" s="6"/>
      <c r="P1" s="6"/>
    </row>
    <row r="2" spans="1:16" ht="31.5" customHeight="1" x14ac:dyDescent="0.2">
      <c r="A2" s="22" t="s">
        <v>57</v>
      </c>
      <c r="B2" s="22" t="s">
        <v>144</v>
      </c>
      <c r="C2" s="22" t="s">
        <v>145</v>
      </c>
      <c r="D2" s="22" t="s">
        <v>146</v>
      </c>
      <c r="E2" s="22" t="s">
        <v>147</v>
      </c>
      <c r="F2" s="22" t="s">
        <v>148</v>
      </c>
      <c r="G2" s="22" t="s">
        <v>149</v>
      </c>
      <c r="H2" s="22" t="s">
        <v>150</v>
      </c>
      <c r="I2" s="22" t="s">
        <v>151</v>
      </c>
      <c r="J2" s="22" t="s">
        <v>152</v>
      </c>
      <c r="K2" s="22" t="s">
        <v>153</v>
      </c>
      <c r="L2" s="22" t="s">
        <v>154</v>
      </c>
      <c r="M2" s="22" t="s">
        <v>155</v>
      </c>
      <c r="N2" s="22" t="s">
        <v>156</v>
      </c>
      <c r="O2" s="22" t="s">
        <v>157</v>
      </c>
      <c r="P2" s="22" t="s">
        <v>158</v>
      </c>
    </row>
    <row r="3" spans="1:16" ht="15" customHeight="1" x14ac:dyDescent="0.2">
      <c r="A3" s="26" t="s">
        <v>71</v>
      </c>
      <c r="B3" s="25" t="s">
        <v>159</v>
      </c>
      <c r="C3" s="40">
        <v>46240</v>
      </c>
      <c r="D3" s="26">
        <v>85.8</v>
      </c>
      <c r="E3" s="26">
        <v>4.57</v>
      </c>
      <c r="F3" s="26" t="s">
        <v>160</v>
      </c>
      <c r="G3" s="26">
        <v>259.32</v>
      </c>
      <c r="H3" s="41"/>
      <c r="I3" s="42" t="str">
        <f t="shared" ref="I3:I42" si="0">IF(OR(G3="",H3=""),"",H3/G3-1)</f>
        <v/>
      </c>
      <c r="J3" s="43"/>
      <c r="K3" s="26"/>
      <c r="L3" s="25"/>
      <c r="M3" s="26"/>
      <c r="N3" s="44">
        <f t="shared" ref="N3:N42" ca="1" si="1">IF(C3="","",TODAY()-C3)</f>
        <v>4</v>
      </c>
      <c r="O3" s="45" t="str">
        <f t="shared" ref="O3:O42" ca="1" si="2">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5"/>
    </row>
    <row r="4" spans="1:16" ht="15" customHeight="1" x14ac:dyDescent="0.2">
      <c r="A4" s="26" t="s">
        <v>76</v>
      </c>
      <c r="B4" s="25" t="s">
        <v>159</v>
      </c>
      <c r="C4" s="40">
        <v>46240</v>
      </c>
      <c r="D4" s="26">
        <v>85</v>
      </c>
      <c r="E4" s="26">
        <v>4.57</v>
      </c>
      <c r="F4" s="26" t="s">
        <v>160</v>
      </c>
      <c r="G4" s="26">
        <v>190.51</v>
      </c>
      <c r="H4" s="41"/>
      <c r="I4" s="42" t="str">
        <f t="shared" si="0"/>
        <v/>
      </c>
      <c r="J4" s="43"/>
      <c r="K4" s="26"/>
      <c r="L4" s="25"/>
      <c r="M4" s="26"/>
      <c r="N4" s="44">
        <f t="shared" ca="1" si="1"/>
        <v>4</v>
      </c>
      <c r="O4" s="45" t="str">
        <f t="shared" ca="1" si="2"/>
        <v>Monitor Only</v>
      </c>
      <c r="P4" s="25"/>
    </row>
    <row r="5" spans="1:16" ht="15" customHeight="1" x14ac:dyDescent="0.2">
      <c r="A5" s="26" t="s">
        <v>78</v>
      </c>
      <c r="B5" s="25" t="s">
        <v>159</v>
      </c>
      <c r="C5" s="40">
        <v>46240</v>
      </c>
      <c r="D5" s="26">
        <v>73.2</v>
      </c>
      <c r="E5" s="26">
        <v>3.57</v>
      </c>
      <c r="F5" s="26" t="s">
        <v>161</v>
      </c>
      <c r="G5" s="26">
        <v>1678.22</v>
      </c>
      <c r="H5" s="41"/>
      <c r="I5" s="42" t="str">
        <f t="shared" si="0"/>
        <v/>
      </c>
      <c r="J5" s="43"/>
      <c r="K5" s="26"/>
      <c r="L5" s="25"/>
      <c r="M5" s="26"/>
      <c r="N5" s="44">
        <f t="shared" ca="1" si="1"/>
        <v>4</v>
      </c>
      <c r="O5" s="45" t="str">
        <f t="shared" ca="1" si="2"/>
        <v>Monitor Only</v>
      </c>
      <c r="P5" s="25"/>
    </row>
    <row r="6" spans="1:16" ht="15" customHeight="1" x14ac:dyDescent="0.2">
      <c r="A6" s="26" t="s">
        <v>80</v>
      </c>
      <c r="B6" s="25" t="s">
        <v>159</v>
      </c>
      <c r="C6" s="40">
        <v>46240</v>
      </c>
      <c r="D6" s="26">
        <v>70.400000000000006</v>
      </c>
      <c r="E6" s="26">
        <v>4</v>
      </c>
      <c r="F6" s="26" t="s">
        <v>161</v>
      </c>
      <c r="G6" s="26">
        <v>211.22</v>
      </c>
      <c r="H6" s="41"/>
      <c r="I6" s="42" t="str">
        <f t="shared" si="0"/>
        <v/>
      </c>
      <c r="J6" s="43"/>
      <c r="K6" s="26"/>
      <c r="L6" s="25"/>
      <c r="M6" s="26"/>
      <c r="N6" s="44">
        <f t="shared" ca="1" si="1"/>
        <v>4</v>
      </c>
      <c r="O6" s="45" t="str">
        <f t="shared" ca="1" si="2"/>
        <v>Monitor Only</v>
      </c>
      <c r="P6" s="25"/>
    </row>
    <row r="7" spans="1:16" ht="15" customHeight="1" x14ac:dyDescent="0.2">
      <c r="A7" s="26" t="s">
        <v>82</v>
      </c>
      <c r="B7" s="25" t="s">
        <v>159</v>
      </c>
      <c r="C7" s="40">
        <v>46240</v>
      </c>
      <c r="D7" s="26">
        <v>68.599999999999994</v>
      </c>
      <c r="E7" s="26">
        <v>3.43</v>
      </c>
      <c r="F7" s="26" t="s">
        <v>161</v>
      </c>
      <c r="G7" s="26">
        <v>192.8</v>
      </c>
      <c r="H7" s="41"/>
      <c r="I7" s="42" t="str">
        <f t="shared" si="0"/>
        <v/>
      </c>
      <c r="J7" s="43"/>
      <c r="K7" s="26"/>
      <c r="L7" s="25"/>
      <c r="M7" s="26"/>
      <c r="N7" s="44">
        <f t="shared" ca="1" si="1"/>
        <v>4</v>
      </c>
      <c r="O7" s="45" t="str">
        <f t="shared" ca="1" si="2"/>
        <v>Monitor Only</v>
      </c>
      <c r="P7" s="25"/>
    </row>
    <row r="8" spans="1:16" ht="15" customHeight="1" x14ac:dyDescent="0.2">
      <c r="A8" s="26" t="s">
        <v>84</v>
      </c>
      <c r="B8" s="25" t="s">
        <v>159</v>
      </c>
      <c r="C8" s="40">
        <v>46240</v>
      </c>
      <c r="D8" s="26">
        <v>71.8</v>
      </c>
      <c r="E8" s="26">
        <v>3.64</v>
      </c>
      <c r="F8" s="26" t="s">
        <v>161</v>
      </c>
      <c r="G8" s="26">
        <v>893.19</v>
      </c>
      <c r="H8" s="41"/>
      <c r="I8" s="42" t="str">
        <f t="shared" si="0"/>
        <v/>
      </c>
      <c r="J8" s="43"/>
      <c r="K8" s="26"/>
      <c r="L8" s="25"/>
      <c r="M8" s="26"/>
      <c r="N8" s="44">
        <f t="shared" ca="1" si="1"/>
        <v>4</v>
      </c>
      <c r="O8" s="45" t="str">
        <f t="shared" ca="1" si="2"/>
        <v>Monitor Only</v>
      </c>
      <c r="P8" s="25"/>
    </row>
    <row r="9" spans="1:16" ht="15" customHeight="1" x14ac:dyDescent="0.2">
      <c r="A9" s="26" t="s">
        <v>86</v>
      </c>
      <c r="B9" s="25" t="s">
        <v>159</v>
      </c>
      <c r="C9" s="40">
        <v>46240</v>
      </c>
      <c r="D9" s="26">
        <v>93.2</v>
      </c>
      <c r="E9" s="26">
        <v>4.57</v>
      </c>
      <c r="F9" s="26" t="s">
        <v>160</v>
      </c>
      <c r="G9" s="26">
        <v>211.87</v>
      </c>
      <c r="H9" s="41"/>
      <c r="I9" s="42" t="str">
        <f t="shared" si="0"/>
        <v/>
      </c>
      <c r="J9" s="43"/>
      <c r="K9" s="26"/>
      <c r="L9" s="25"/>
      <c r="M9" s="26"/>
      <c r="N9" s="44">
        <f t="shared" ca="1" si="1"/>
        <v>4</v>
      </c>
      <c r="O9" s="45" t="str">
        <f t="shared" ca="1" si="2"/>
        <v>Monitor Only</v>
      </c>
      <c r="P9" s="25"/>
    </row>
    <row r="10" spans="1:16" ht="15" customHeight="1" x14ac:dyDescent="0.2">
      <c r="A10" s="26" t="s">
        <v>88</v>
      </c>
      <c r="B10" s="25" t="s">
        <v>159</v>
      </c>
      <c r="C10" s="40">
        <v>46240</v>
      </c>
      <c r="D10" s="26">
        <v>75.2</v>
      </c>
      <c r="E10" s="26">
        <v>4</v>
      </c>
      <c r="F10" s="26" t="s">
        <v>161</v>
      </c>
      <c r="G10" s="26">
        <v>162.66</v>
      </c>
      <c r="H10" s="41"/>
      <c r="I10" s="42" t="str">
        <f t="shared" si="0"/>
        <v/>
      </c>
      <c r="J10" s="43"/>
      <c r="K10" s="26"/>
      <c r="L10" s="25"/>
      <c r="M10" s="26"/>
      <c r="N10" s="44">
        <f t="shared" ca="1" si="1"/>
        <v>4</v>
      </c>
      <c r="O10" s="45" t="str">
        <f t="shared" ca="1" si="2"/>
        <v>Monitor Only</v>
      </c>
      <c r="P10" s="25"/>
    </row>
    <row r="11" spans="1:16" ht="15" customHeight="1" x14ac:dyDescent="0.2">
      <c r="A11" s="26" t="s">
        <v>90</v>
      </c>
      <c r="B11" s="25" t="s">
        <v>159</v>
      </c>
      <c r="C11" s="40">
        <v>46240</v>
      </c>
      <c r="D11" s="26">
        <v>81</v>
      </c>
      <c r="E11" s="26">
        <v>4</v>
      </c>
      <c r="F11" s="26" t="s">
        <v>160</v>
      </c>
      <c r="G11" s="26">
        <v>414</v>
      </c>
      <c r="H11" s="41"/>
      <c r="I11" s="42" t="str">
        <f t="shared" si="0"/>
        <v/>
      </c>
      <c r="J11" s="43"/>
      <c r="K11" s="26"/>
      <c r="L11" s="25"/>
      <c r="M11" s="26"/>
      <c r="N11" s="44">
        <f t="shared" ca="1" si="1"/>
        <v>4</v>
      </c>
      <c r="O11" s="45" t="str">
        <f t="shared" ca="1" si="2"/>
        <v>Monitor Only</v>
      </c>
      <c r="P11" s="25"/>
    </row>
    <row r="12" spans="1:16" ht="15" customHeight="1" x14ac:dyDescent="0.2">
      <c r="A12" s="26" t="s">
        <v>92</v>
      </c>
      <c r="B12" s="25" t="s">
        <v>159</v>
      </c>
      <c r="C12" s="40">
        <v>46240</v>
      </c>
      <c r="D12" s="26">
        <v>82.8</v>
      </c>
      <c r="E12" s="26">
        <v>4.3600000000000003</v>
      </c>
      <c r="F12" s="26" t="s">
        <v>160</v>
      </c>
      <c r="G12" s="26">
        <v>277.94</v>
      </c>
      <c r="H12" s="41"/>
      <c r="I12" s="42" t="str">
        <f t="shared" si="0"/>
        <v/>
      </c>
      <c r="J12" s="43"/>
      <c r="K12" s="26"/>
      <c r="L12" s="25"/>
      <c r="M12" s="26"/>
      <c r="N12" s="44">
        <f t="shared" ca="1" si="1"/>
        <v>4</v>
      </c>
      <c r="O12" s="45" t="str">
        <f t="shared" ca="1" si="2"/>
        <v>Monitor Only</v>
      </c>
      <c r="P12" s="25"/>
    </row>
    <row r="13" spans="1:16" ht="15" customHeight="1" x14ac:dyDescent="0.2">
      <c r="A13" s="26" t="s">
        <v>114</v>
      </c>
      <c r="B13" s="25" t="s">
        <v>159</v>
      </c>
      <c r="C13" s="40">
        <v>46240</v>
      </c>
      <c r="D13" s="26">
        <v>80.8</v>
      </c>
      <c r="E13" s="26">
        <v>4.07</v>
      </c>
      <c r="F13" s="26" t="s">
        <v>160</v>
      </c>
      <c r="G13" s="26">
        <v>418.16</v>
      </c>
      <c r="H13" s="41"/>
      <c r="I13" s="42" t="str">
        <f t="shared" si="0"/>
        <v/>
      </c>
      <c r="J13" s="43"/>
      <c r="K13" s="26"/>
      <c r="L13" s="25"/>
      <c r="M13" s="26"/>
      <c r="N13" s="44">
        <f t="shared" ca="1" si="1"/>
        <v>4</v>
      </c>
      <c r="O13" s="45" t="str">
        <f t="shared" ca="1" si="2"/>
        <v>Monitor Only</v>
      </c>
      <c r="P13" s="25"/>
    </row>
    <row r="14" spans="1:16" ht="15" customHeight="1" x14ac:dyDescent="0.2">
      <c r="A14" s="26" t="s">
        <v>123</v>
      </c>
      <c r="B14" s="25" t="s">
        <v>159</v>
      </c>
      <c r="C14" s="40">
        <v>46240</v>
      </c>
      <c r="D14" s="26">
        <v>82</v>
      </c>
      <c r="E14" s="26">
        <v>4.3600000000000003</v>
      </c>
      <c r="F14" s="26" t="s">
        <v>160</v>
      </c>
      <c r="G14" s="26">
        <v>139.06</v>
      </c>
      <c r="H14" s="41"/>
      <c r="I14" s="42" t="str">
        <f t="shared" si="0"/>
        <v/>
      </c>
      <c r="J14" s="43"/>
      <c r="K14" s="26"/>
      <c r="L14" s="25"/>
      <c r="M14" s="26"/>
      <c r="N14" s="44">
        <f t="shared" ca="1" si="1"/>
        <v>4</v>
      </c>
      <c r="O14" s="45" t="str">
        <f t="shared" ca="1" si="2"/>
        <v>Monitor Only</v>
      </c>
      <c r="P14" s="25"/>
    </row>
    <row r="15" spans="1:16" ht="15" customHeight="1" x14ac:dyDescent="0.2">
      <c r="A15" s="26" t="s">
        <v>116</v>
      </c>
      <c r="B15" s="25" t="s">
        <v>159</v>
      </c>
      <c r="C15" s="40">
        <v>46241</v>
      </c>
      <c r="D15" s="26">
        <v>75.599999999999994</v>
      </c>
      <c r="E15" s="26">
        <v>3.79</v>
      </c>
      <c r="F15" s="26" t="s">
        <v>161</v>
      </c>
      <c r="G15" s="26">
        <v>478.7</v>
      </c>
      <c r="H15" s="41"/>
      <c r="I15" s="42" t="str">
        <f t="shared" si="0"/>
        <v/>
      </c>
      <c r="J15" s="43"/>
      <c r="K15" s="26"/>
      <c r="L15" s="25"/>
      <c r="M15" s="26"/>
      <c r="N15" s="44">
        <f t="shared" ca="1" si="1"/>
        <v>3</v>
      </c>
      <c r="O15" s="45" t="str">
        <f t="shared" ca="1" si="2"/>
        <v>Monitor Only</v>
      </c>
      <c r="P15" s="25" t="s">
        <v>162</v>
      </c>
    </row>
    <row r="16" spans="1:16" ht="15" customHeight="1" x14ac:dyDescent="0.2">
      <c r="A16" s="26" t="s">
        <v>126</v>
      </c>
      <c r="B16" s="25" t="s">
        <v>163</v>
      </c>
      <c r="C16" s="40">
        <v>46240</v>
      </c>
      <c r="D16" s="26"/>
      <c r="E16" s="26">
        <v>1.86</v>
      </c>
      <c r="F16" s="26" t="s">
        <v>164</v>
      </c>
      <c r="G16" s="26">
        <v>86.07</v>
      </c>
      <c r="H16" s="41"/>
      <c r="I16" s="42" t="str">
        <f t="shared" si="0"/>
        <v/>
      </c>
      <c r="J16" s="43"/>
      <c r="K16" s="26"/>
      <c r="L16" s="25"/>
      <c r="M16" s="26"/>
      <c r="N16" s="44">
        <f t="shared" ca="1" si="1"/>
        <v>4</v>
      </c>
      <c r="O16" s="45" t="str">
        <f t="shared" ca="1" si="2"/>
        <v>Monitor Only</v>
      </c>
      <c r="P16" s="25" t="s">
        <v>165</v>
      </c>
    </row>
    <row r="17" spans="1:16" ht="15" customHeight="1" x14ac:dyDescent="0.2">
      <c r="A17" s="26" t="s">
        <v>129</v>
      </c>
      <c r="B17" s="25" t="s">
        <v>163</v>
      </c>
      <c r="C17" s="40">
        <v>46240</v>
      </c>
      <c r="D17" s="26"/>
      <c r="E17" s="26">
        <v>1.93</v>
      </c>
      <c r="F17" s="26" t="s">
        <v>164</v>
      </c>
      <c r="G17" s="26">
        <v>327.35000000000002</v>
      </c>
      <c r="H17" s="41"/>
      <c r="I17" s="42" t="str">
        <f t="shared" si="0"/>
        <v/>
      </c>
      <c r="J17" s="43"/>
      <c r="K17" s="26"/>
      <c r="L17" s="25"/>
      <c r="M17" s="26"/>
      <c r="N17" s="44">
        <f t="shared" ca="1" si="1"/>
        <v>4</v>
      </c>
      <c r="O17" s="45" t="str">
        <f t="shared" ca="1" si="2"/>
        <v>Monitor Only</v>
      </c>
      <c r="P17" s="25" t="s">
        <v>165</v>
      </c>
    </row>
    <row r="18" spans="1:16" ht="15" customHeight="1" x14ac:dyDescent="0.2">
      <c r="A18" s="26" t="s">
        <v>137</v>
      </c>
      <c r="B18" s="25" t="s">
        <v>163</v>
      </c>
      <c r="C18" s="40">
        <v>46240</v>
      </c>
      <c r="D18" s="26"/>
      <c r="E18" s="26">
        <v>2.64</v>
      </c>
      <c r="F18" s="26" t="s">
        <v>164</v>
      </c>
      <c r="G18" s="26">
        <v>37.61</v>
      </c>
      <c r="H18" s="41"/>
      <c r="I18" s="42" t="str">
        <f t="shared" si="0"/>
        <v/>
      </c>
      <c r="J18" s="43"/>
      <c r="K18" s="26"/>
      <c r="L18" s="25"/>
      <c r="M18" s="26"/>
      <c r="N18" s="44">
        <f t="shared" ca="1" si="1"/>
        <v>4</v>
      </c>
      <c r="O18" s="45" t="str">
        <f t="shared" ca="1" si="2"/>
        <v>Monitor Only</v>
      </c>
      <c r="P18" s="25" t="s">
        <v>165</v>
      </c>
    </row>
    <row r="19" spans="1:16" ht="15" customHeight="1" x14ac:dyDescent="0.2">
      <c r="A19" s="25"/>
      <c r="B19" s="25"/>
      <c r="C19" s="26"/>
      <c r="D19" s="26"/>
      <c r="E19" s="26"/>
      <c r="F19" s="26"/>
      <c r="G19" s="26"/>
      <c r="H19" s="41"/>
      <c r="I19" s="42" t="str">
        <f t="shared" si="0"/>
        <v/>
      </c>
      <c r="J19" s="43"/>
      <c r="K19" s="26"/>
      <c r="L19" s="25"/>
      <c r="M19" s="26"/>
      <c r="N19" s="44" t="str">
        <f t="shared" ca="1" si="1"/>
        <v/>
      </c>
      <c r="O19" s="45" t="str">
        <f t="shared" ca="1" si="2"/>
        <v/>
      </c>
      <c r="P19" s="25"/>
    </row>
    <row r="20" spans="1:16" ht="15" customHeight="1" x14ac:dyDescent="0.2">
      <c r="A20" s="25"/>
      <c r="B20" s="25"/>
      <c r="C20" s="26"/>
      <c r="D20" s="26"/>
      <c r="E20" s="26"/>
      <c r="F20" s="26"/>
      <c r="G20" s="26"/>
      <c r="H20" s="41"/>
      <c r="I20" s="42" t="str">
        <f t="shared" si="0"/>
        <v/>
      </c>
      <c r="J20" s="43"/>
      <c r="K20" s="26"/>
      <c r="L20" s="25"/>
      <c r="M20" s="26"/>
      <c r="N20" s="44" t="str">
        <f t="shared" ca="1" si="1"/>
        <v/>
      </c>
      <c r="O20" s="45" t="str">
        <f t="shared" ca="1" si="2"/>
        <v/>
      </c>
      <c r="P20" s="25"/>
    </row>
    <row r="21" spans="1:16" ht="15" customHeight="1" x14ac:dyDescent="0.2">
      <c r="A21" s="25"/>
      <c r="B21" s="25"/>
      <c r="C21" s="26"/>
      <c r="D21" s="26"/>
      <c r="E21" s="26"/>
      <c r="F21" s="26"/>
      <c r="G21" s="26"/>
      <c r="H21" s="41"/>
      <c r="I21" s="42" t="str">
        <f t="shared" si="0"/>
        <v/>
      </c>
      <c r="J21" s="43"/>
      <c r="K21" s="26"/>
      <c r="L21" s="25"/>
      <c r="M21" s="26"/>
      <c r="N21" s="44" t="str">
        <f t="shared" ca="1" si="1"/>
        <v/>
      </c>
      <c r="O21" s="45" t="str">
        <f t="shared" ca="1" si="2"/>
        <v/>
      </c>
      <c r="P21" s="25"/>
    </row>
    <row r="22" spans="1:16" ht="15" customHeight="1" x14ac:dyDescent="0.2">
      <c r="A22" s="25"/>
      <c r="B22" s="25"/>
      <c r="C22" s="26"/>
      <c r="D22" s="26"/>
      <c r="E22" s="26"/>
      <c r="F22" s="26"/>
      <c r="G22" s="26"/>
      <c r="H22" s="41"/>
      <c r="I22" s="42" t="str">
        <f t="shared" si="0"/>
        <v/>
      </c>
      <c r="J22" s="43"/>
      <c r="K22" s="26"/>
      <c r="L22" s="25"/>
      <c r="M22" s="26"/>
      <c r="N22" s="44" t="str">
        <f t="shared" ca="1" si="1"/>
        <v/>
      </c>
      <c r="O22" s="45" t="str">
        <f t="shared" ca="1" si="2"/>
        <v/>
      </c>
      <c r="P22" s="25"/>
    </row>
    <row r="23" spans="1:16" ht="15" customHeight="1" x14ac:dyDescent="0.2">
      <c r="A23" s="25"/>
      <c r="B23" s="25"/>
      <c r="C23" s="26"/>
      <c r="D23" s="26"/>
      <c r="E23" s="26"/>
      <c r="F23" s="26"/>
      <c r="G23" s="26"/>
      <c r="H23" s="41"/>
      <c r="I23" s="42" t="str">
        <f t="shared" si="0"/>
        <v/>
      </c>
      <c r="J23" s="43"/>
      <c r="K23" s="26"/>
      <c r="L23" s="25"/>
      <c r="M23" s="26"/>
      <c r="N23" s="44" t="str">
        <f t="shared" ca="1" si="1"/>
        <v/>
      </c>
      <c r="O23" s="45" t="str">
        <f t="shared" ca="1" si="2"/>
        <v/>
      </c>
      <c r="P23" s="25"/>
    </row>
    <row r="24" spans="1:16" ht="15" customHeight="1" x14ac:dyDescent="0.2">
      <c r="A24" s="25"/>
      <c r="B24" s="25"/>
      <c r="C24" s="26"/>
      <c r="D24" s="26"/>
      <c r="E24" s="26"/>
      <c r="F24" s="26"/>
      <c r="G24" s="26"/>
      <c r="H24" s="41"/>
      <c r="I24" s="42" t="str">
        <f t="shared" si="0"/>
        <v/>
      </c>
      <c r="J24" s="43"/>
      <c r="K24" s="26"/>
      <c r="L24" s="25"/>
      <c r="M24" s="26"/>
      <c r="N24" s="44" t="str">
        <f t="shared" ca="1" si="1"/>
        <v/>
      </c>
      <c r="O24" s="45" t="str">
        <f t="shared" ca="1" si="2"/>
        <v/>
      </c>
      <c r="P24" s="25"/>
    </row>
    <row r="25" spans="1:16" ht="15" customHeight="1" x14ac:dyDescent="0.2">
      <c r="A25" s="25"/>
      <c r="B25" s="25"/>
      <c r="C25" s="26"/>
      <c r="D25" s="26"/>
      <c r="E25" s="26"/>
      <c r="F25" s="26"/>
      <c r="G25" s="26"/>
      <c r="H25" s="41"/>
      <c r="I25" s="42" t="str">
        <f t="shared" si="0"/>
        <v/>
      </c>
      <c r="J25" s="43"/>
      <c r="K25" s="26"/>
      <c r="L25" s="25"/>
      <c r="M25" s="26"/>
      <c r="N25" s="44" t="str">
        <f t="shared" ca="1" si="1"/>
        <v/>
      </c>
      <c r="O25" s="45" t="str">
        <f t="shared" ca="1" si="2"/>
        <v/>
      </c>
      <c r="P25" s="25"/>
    </row>
    <row r="26" spans="1:16" ht="15" customHeight="1" x14ac:dyDescent="0.2">
      <c r="A26" s="25"/>
      <c r="B26" s="25"/>
      <c r="C26" s="26"/>
      <c r="D26" s="26"/>
      <c r="E26" s="26"/>
      <c r="F26" s="26"/>
      <c r="G26" s="26"/>
      <c r="H26" s="41"/>
      <c r="I26" s="42" t="str">
        <f t="shared" si="0"/>
        <v/>
      </c>
      <c r="J26" s="43"/>
      <c r="K26" s="26"/>
      <c r="L26" s="25"/>
      <c r="M26" s="26"/>
      <c r="N26" s="44" t="str">
        <f t="shared" ca="1" si="1"/>
        <v/>
      </c>
      <c r="O26" s="45" t="str">
        <f t="shared" ca="1" si="2"/>
        <v/>
      </c>
      <c r="P26" s="25"/>
    </row>
    <row r="27" spans="1:16" ht="15" customHeight="1" x14ac:dyDescent="0.2">
      <c r="A27" s="25"/>
      <c r="B27" s="25"/>
      <c r="C27" s="26"/>
      <c r="D27" s="26"/>
      <c r="E27" s="26"/>
      <c r="F27" s="26"/>
      <c r="G27" s="26"/>
      <c r="H27" s="41"/>
      <c r="I27" s="42" t="str">
        <f t="shared" si="0"/>
        <v/>
      </c>
      <c r="J27" s="43"/>
      <c r="K27" s="26"/>
      <c r="L27" s="25"/>
      <c r="M27" s="26"/>
      <c r="N27" s="44" t="str">
        <f t="shared" ca="1" si="1"/>
        <v/>
      </c>
      <c r="O27" s="45" t="str">
        <f t="shared" ca="1" si="2"/>
        <v/>
      </c>
      <c r="P27" s="25"/>
    </row>
    <row r="28" spans="1:16" ht="15" customHeight="1" x14ac:dyDescent="0.2">
      <c r="A28" s="25"/>
      <c r="B28" s="25"/>
      <c r="C28" s="26"/>
      <c r="D28" s="26"/>
      <c r="E28" s="26"/>
      <c r="F28" s="26"/>
      <c r="G28" s="26"/>
      <c r="H28" s="41"/>
      <c r="I28" s="42" t="str">
        <f t="shared" si="0"/>
        <v/>
      </c>
      <c r="J28" s="43"/>
      <c r="K28" s="26"/>
      <c r="L28" s="25"/>
      <c r="M28" s="26"/>
      <c r="N28" s="44" t="str">
        <f t="shared" ca="1" si="1"/>
        <v/>
      </c>
      <c r="O28" s="45" t="str">
        <f t="shared" ca="1" si="2"/>
        <v/>
      </c>
      <c r="P28" s="25"/>
    </row>
    <row r="29" spans="1:16" ht="15" customHeight="1" x14ac:dyDescent="0.2">
      <c r="A29" s="25"/>
      <c r="B29" s="25"/>
      <c r="C29" s="26"/>
      <c r="D29" s="26"/>
      <c r="E29" s="26"/>
      <c r="F29" s="26"/>
      <c r="G29" s="26"/>
      <c r="H29" s="41"/>
      <c r="I29" s="42" t="str">
        <f t="shared" si="0"/>
        <v/>
      </c>
      <c r="J29" s="43"/>
      <c r="K29" s="26"/>
      <c r="L29" s="25"/>
      <c r="M29" s="26"/>
      <c r="N29" s="44" t="str">
        <f t="shared" ca="1" si="1"/>
        <v/>
      </c>
      <c r="O29" s="45" t="str">
        <f t="shared" ca="1" si="2"/>
        <v/>
      </c>
      <c r="P29" s="25"/>
    </row>
    <row r="30" spans="1:16" ht="15" customHeight="1" x14ac:dyDescent="0.2">
      <c r="A30" s="25"/>
      <c r="B30" s="25"/>
      <c r="C30" s="26"/>
      <c r="D30" s="26"/>
      <c r="E30" s="26"/>
      <c r="F30" s="26"/>
      <c r="G30" s="26"/>
      <c r="H30" s="41"/>
      <c r="I30" s="42" t="str">
        <f t="shared" si="0"/>
        <v/>
      </c>
      <c r="J30" s="43"/>
      <c r="K30" s="26"/>
      <c r="L30" s="25"/>
      <c r="M30" s="26"/>
      <c r="N30" s="44" t="str">
        <f t="shared" ca="1" si="1"/>
        <v/>
      </c>
      <c r="O30" s="45" t="str">
        <f t="shared" ca="1" si="2"/>
        <v/>
      </c>
      <c r="P30" s="25"/>
    </row>
    <row r="31" spans="1:16" ht="15" customHeight="1" x14ac:dyDescent="0.2">
      <c r="A31" s="25"/>
      <c r="B31" s="25"/>
      <c r="C31" s="26"/>
      <c r="D31" s="26"/>
      <c r="E31" s="26"/>
      <c r="F31" s="26"/>
      <c r="G31" s="26"/>
      <c r="H31" s="41"/>
      <c r="I31" s="42" t="str">
        <f t="shared" si="0"/>
        <v/>
      </c>
      <c r="J31" s="43"/>
      <c r="K31" s="26"/>
      <c r="L31" s="25"/>
      <c r="M31" s="26"/>
      <c r="N31" s="44" t="str">
        <f t="shared" ca="1" si="1"/>
        <v/>
      </c>
      <c r="O31" s="45" t="str">
        <f t="shared" ca="1" si="2"/>
        <v/>
      </c>
      <c r="P31" s="25"/>
    </row>
    <row r="32" spans="1:16" ht="15" customHeight="1" x14ac:dyDescent="0.2">
      <c r="A32" s="25"/>
      <c r="B32" s="25"/>
      <c r="C32" s="26"/>
      <c r="D32" s="26"/>
      <c r="E32" s="26"/>
      <c r="F32" s="26"/>
      <c r="G32" s="26"/>
      <c r="H32" s="41"/>
      <c r="I32" s="42" t="str">
        <f t="shared" si="0"/>
        <v/>
      </c>
      <c r="J32" s="43"/>
      <c r="K32" s="26"/>
      <c r="L32" s="25"/>
      <c r="M32" s="26"/>
      <c r="N32" s="44" t="str">
        <f t="shared" ca="1" si="1"/>
        <v/>
      </c>
      <c r="O32" s="45" t="str">
        <f t="shared" ca="1" si="2"/>
        <v/>
      </c>
      <c r="P32" s="25"/>
    </row>
    <row r="33" spans="1:16" ht="15" customHeight="1" x14ac:dyDescent="0.2">
      <c r="A33" s="25"/>
      <c r="B33" s="25"/>
      <c r="C33" s="26"/>
      <c r="D33" s="26"/>
      <c r="E33" s="26"/>
      <c r="F33" s="26"/>
      <c r="G33" s="26"/>
      <c r="H33" s="41"/>
      <c r="I33" s="42" t="str">
        <f t="shared" si="0"/>
        <v/>
      </c>
      <c r="J33" s="43"/>
      <c r="K33" s="26"/>
      <c r="L33" s="25"/>
      <c r="M33" s="26"/>
      <c r="N33" s="44" t="str">
        <f t="shared" ca="1" si="1"/>
        <v/>
      </c>
      <c r="O33" s="45" t="str">
        <f t="shared" ca="1" si="2"/>
        <v/>
      </c>
      <c r="P33" s="25"/>
    </row>
    <row r="34" spans="1:16" ht="15" customHeight="1" x14ac:dyDescent="0.2">
      <c r="A34" s="25"/>
      <c r="B34" s="25"/>
      <c r="C34" s="26"/>
      <c r="D34" s="26"/>
      <c r="E34" s="26"/>
      <c r="F34" s="26"/>
      <c r="G34" s="26"/>
      <c r="H34" s="41"/>
      <c r="I34" s="42" t="str">
        <f t="shared" si="0"/>
        <v/>
      </c>
      <c r="J34" s="43"/>
      <c r="K34" s="26"/>
      <c r="L34" s="25"/>
      <c r="M34" s="26"/>
      <c r="N34" s="44" t="str">
        <f t="shared" ca="1" si="1"/>
        <v/>
      </c>
      <c r="O34" s="45" t="str">
        <f t="shared" ca="1" si="2"/>
        <v/>
      </c>
      <c r="P34" s="25"/>
    </row>
    <row r="35" spans="1:16" ht="15" customHeight="1" x14ac:dyDescent="0.2">
      <c r="A35" s="25"/>
      <c r="B35" s="25"/>
      <c r="C35" s="26"/>
      <c r="D35" s="26"/>
      <c r="E35" s="26"/>
      <c r="F35" s="26"/>
      <c r="G35" s="26"/>
      <c r="H35" s="41"/>
      <c r="I35" s="42" t="str">
        <f t="shared" si="0"/>
        <v/>
      </c>
      <c r="J35" s="43"/>
      <c r="K35" s="26"/>
      <c r="L35" s="25"/>
      <c r="M35" s="26"/>
      <c r="N35" s="44" t="str">
        <f t="shared" ca="1" si="1"/>
        <v/>
      </c>
      <c r="O35" s="45" t="str">
        <f t="shared" ca="1" si="2"/>
        <v/>
      </c>
      <c r="P35" s="25"/>
    </row>
    <row r="36" spans="1:16" ht="15" customHeight="1" x14ac:dyDescent="0.2">
      <c r="A36" s="25"/>
      <c r="B36" s="25"/>
      <c r="C36" s="26"/>
      <c r="D36" s="26"/>
      <c r="E36" s="26"/>
      <c r="F36" s="26"/>
      <c r="G36" s="26"/>
      <c r="H36" s="41"/>
      <c r="I36" s="42" t="str">
        <f t="shared" si="0"/>
        <v/>
      </c>
      <c r="J36" s="43"/>
      <c r="K36" s="26"/>
      <c r="L36" s="25"/>
      <c r="M36" s="26"/>
      <c r="N36" s="44" t="str">
        <f t="shared" ca="1" si="1"/>
        <v/>
      </c>
      <c r="O36" s="45" t="str">
        <f t="shared" ca="1" si="2"/>
        <v/>
      </c>
      <c r="P36" s="25"/>
    </row>
    <row r="37" spans="1:16" ht="15" customHeight="1" x14ac:dyDescent="0.2">
      <c r="A37" s="25"/>
      <c r="B37" s="25"/>
      <c r="C37" s="26"/>
      <c r="D37" s="26"/>
      <c r="E37" s="26"/>
      <c r="F37" s="26"/>
      <c r="G37" s="26"/>
      <c r="H37" s="41"/>
      <c r="I37" s="42" t="str">
        <f t="shared" si="0"/>
        <v/>
      </c>
      <c r="J37" s="43"/>
      <c r="K37" s="26"/>
      <c r="L37" s="25"/>
      <c r="M37" s="26"/>
      <c r="N37" s="44" t="str">
        <f t="shared" ca="1" si="1"/>
        <v/>
      </c>
      <c r="O37" s="45" t="str">
        <f t="shared" ca="1" si="2"/>
        <v/>
      </c>
      <c r="P37" s="25"/>
    </row>
    <row r="38" spans="1:16" ht="15" customHeight="1" x14ac:dyDescent="0.2">
      <c r="A38" s="25"/>
      <c r="B38" s="25"/>
      <c r="C38" s="26"/>
      <c r="D38" s="26"/>
      <c r="E38" s="26"/>
      <c r="F38" s="26"/>
      <c r="G38" s="26"/>
      <c r="H38" s="41"/>
      <c r="I38" s="42" t="str">
        <f t="shared" si="0"/>
        <v/>
      </c>
      <c r="J38" s="43"/>
      <c r="K38" s="26"/>
      <c r="L38" s="25"/>
      <c r="M38" s="26"/>
      <c r="N38" s="44" t="str">
        <f t="shared" ca="1" si="1"/>
        <v/>
      </c>
      <c r="O38" s="45" t="str">
        <f t="shared" ca="1" si="2"/>
        <v/>
      </c>
      <c r="P38" s="25"/>
    </row>
    <row r="39" spans="1:16" ht="15" customHeight="1" x14ac:dyDescent="0.2">
      <c r="A39" s="25"/>
      <c r="B39" s="25"/>
      <c r="C39" s="26"/>
      <c r="D39" s="26"/>
      <c r="E39" s="26"/>
      <c r="F39" s="26"/>
      <c r="G39" s="26"/>
      <c r="H39" s="41"/>
      <c r="I39" s="42" t="str">
        <f t="shared" si="0"/>
        <v/>
      </c>
      <c r="J39" s="43"/>
      <c r="K39" s="26"/>
      <c r="L39" s="25"/>
      <c r="M39" s="26"/>
      <c r="N39" s="44" t="str">
        <f t="shared" ca="1" si="1"/>
        <v/>
      </c>
      <c r="O39" s="45" t="str">
        <f t="shared" ca="1" si="2"/>
        <v/>
      </c>
      <c r="P39" s="25"/>
    </row>
    <row r="40" spans="1:16" ht="15" customHeight="1" x14ac:dyDescent="0.2">
      <c r="A40" s="25"/>
      <c r="B40" s="25"/>
      <c r="C40" s="26"/>
      <c r="D40" s="26"/>
      <c r="E40" s="26"/>
      <c r="F40" s="26"/>
      <c r="G40" s="26"/>
      <c r="H40" s="41"/>
      <c r="I40" s="42" t="str">
        <f t="shared" si="0"/>
        <v/>
      </c>
      <c r="J40" s="43"/>
      <c r="K40" s="26"/>
      <c r="L40" s="25"/>
      <c r="M40" s="26"/>
      <c r="N40" s="44" t="str">
        <f t="shared" ca="1" si="1"/>
        <v/>
      </c>
      <c r="O40" s="45" t="str">
        <f t="shared" ca="1" si="2"/>
        <v/>
      </c>
      <c r="P40" s="25"/>
    </row>
    <row r="41" spans="1:16" ht="15" customHeight="1" x14ac:dyDescent="0.2">
      <c r="A41" s="25"/>
      <c r="B41" s="25"/>
      <c r="C41" s="26"/>
      <c r="D41" s="26"/>
      <c r="E41" s="26"/>
      <c r="F41" s="26"/>
      <c r="G41" s="26"/>
      <c r="H41" s="41"/>
      <c r="I41" s="42" t="str">
        <f t="shared" si="0"/>
        <v/>
      </c>
      <c r="J41" s="43"/>
      <c r="K41" s="26"/>
      <c r="L41" s="25"/>
      <c r="M41" s="26"/>
      <c r="N41" s="44" t="str">
        <f t="shared" ca="1" si="1"/>
        <v/>
      </c>
      <c r="O41" s="45" t="str">
        <f t="shared" ca="1" si="2"/>
        <v/>
      </c>
      <c r="P41" s="25"/>
    </row>
    <row r="42" spans="1:16" ht="15" customHeight="1" x14ac:dyDescent="0.2">
      <c r="A42" s="25"/>
      <c r="B42" s="25"/>
      <c r="C42" s="26"/>
      <c r="D42" s="26"/>
      <c r="E42" s="26"/>
      <c r="F42" s="26"/>
      <c r="G42" s="26"/>
      <c r="H42" s="41"/>
      <c r="I42" s="42" t="str">
        <f t="shared" si="0"/>
        <v/>
      </c>
      <c r="J42" s="43"/>
      <c r="K42" s="26"/>
      <c r="L42" s="25"/>
      <c r="M42" s="26"/>
      <c r="N42" s="44" t="str">
        <f t="shared" ca="1" si="1"/>
        <v/>
      </c>
      <c r="O42" s="45" t="str">
        <f t="shared" ca="1" si="2"/>
        <v/>
      </c>
      <c r="P42" s="25"/>
    </row>
  </sheetData>
  <mergeCells count="1">
    <mergeCell ref="A1:P1"/>
  </mergeCells>
  <conditionalFormatting sqref="B3:B42">
    <cfRule type="expression" dxfId="73" priority="5">
      <formula>ISNUMBER(SEARCH("AVOID",B3))</formula>
    </cfRule>
  </conditionalFormatting>
  <conditionalFormatting sqref="O3:O42">
    <cfRule type="expression" dxfId="72" priority="2">
      <formula>ISNUMBER(SEARCH("DUE",O3))</formula>
    </cfRule>
    <cfRule type="expression" dxfId="71" priority="3">
      <formula>ISNUMBER(SEARCH("WATCH",O3))</formula>
    </cfRule>
    <cfRule type="expression" dxfId="70" priority="4">
      <formula>O3="Monitor Only"</formula>
    </cfRule>
  </conditionalFormatting>
  <dataValidations count="2">
    <dataValidation type="list" allowBlank="1" sqref="B19:B42" xr:uid="{00000000-0002-0000-0300-000000000000}">
      <formula1>"Owned,Owned - Tier1 AVOID,Closed,Watch List,Tier-1 Avoid (external),Near-Miss"</formula1>
      <formula2>0</formula2>
    </dataValidation>
    <dataValidation type="list" allowBlank="1" sqref="K3:K42 M3:M42" xr:uid="{00000000-0002-0000-03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62"/>
  <sheetViews>
    <sheetView showGridLines="0" zoomScaleNormal="100" workbookViewId="0">
      <pane xSplit="1" ySplit="2" topLeftCell="B3" activePane="bottomRight" state="frozen"/>
      <selection pane="topRight" activeCell="B1" sqref="B1"/>
      <selection pane="bottomLeft" activeCell="A3" sqref="A3"/>
      <selection pane="bottomRight"/>
    </sheetView>
  </sheetViews>
  <sheetFormatPr baseColWidth="10" defaultColWidth="8.6640625" defaultRowHeight="15" x14ac:dyDescent="0.2"/>
  <cols>
    <col min="1" max="1" width="12" customWidth="1"/>
    <col min="2" max="21" width="11" customWidth="1"/>
  </cols>
  <sheetData>
    <row r="1" spans="1:21" ht="25.5" customHeight="1" x14ac:dyDescent="0.2">
      <c r="A1" s="6" t="s">
        <v>166</v>
      </c>
      <c r="B1" s="6"/>
      <c r="C1" s="6"/>
      <c r="D1" s="6"/>
      <c r="E1" s="6"/>
      <c r="F1" s="6"/>
      <c r="G1" s="6"/>
      <c r="H1" s="6"/>
      <c r="I1" s="6"/>
      <c r="J1" s="6"/>
      <c r="K1" s="6"/>
      <c r="L1" s="6"/>
      <c r="M1" s="6"/>
      <c r="N1" s="6"/>
      <c r="O1" s="6"/>
      <c r="P1" s="6"/>
      <c r="Q1" s="6"/>
    </row>
    <row r="2" spans="1:21" ht="15" customHeight="1" x14ac:dyDescent="0.2">
      <c r="A2" s="46" t="s">
        <v>167</v>
      </c>
      <c r="B2" s="46" t="s">
        <v>71</v>
      </c>
      <c r="C2" s="46" t="s">
        <v>76</v>
      </c>
      <c r="D2" s="46" t="s">
        <v>78</v>
      </c>
      <c r="E2" s="46" t="s">
        <v>114</v>
      </c>
      <c r="F2" s="46" t="s">
        <v>80</v>
      </c>
      <c r="G2" s="46" t="s">
        <v>82</v>
      </c>
      <c r="H2" s="46" t="s">
        <v>84</v>
      </c>
      <c r="I2" s="46" t="s">
        <v>86</v>
      </c>
      <c r="J2" s="46" t="s">
        <v>123</v>
      </c>
      <c r="K2" s="46" t="s">
        <v>88</v>
      </c>
      <c r="L2" s="46" t="s">
        <v>90</v>
      </c>
      <c r="M2" s="46" t="s">
        <v>92</v>
      </c>
      <c r="N2" s="46" t="s">
        <v>116</v>
      </c>
      <c r="O2" s="46" t="s">
        <v>106</v>
      </c>
      <c r="P2" s="46"/>
      <c r="Q2" s="46" t="s">
        <v>112</v>
      </c>
      <c r="R2" s="46" t="s">
        <v>103</v>
      </c>
      <c r="S2" s="46" t="s">
        <v>119</v>
      </c>
      <c r="T2" s="46" t="s">
        <v>121</v>
      </c>
      <c r="U2" s="46"/>
    </row>
    <row r="3" spans="1:21" ht="15" customHeight="1" x14ac:dyDescent="0.2">
      <c r="A3" s="47">
        <v>45149</v>
      </c>
      <c r="B3" s="48">
        <v>508.45</v>
      </c>
      <c r="C3" s="48">
        <v>43.74</v>
      </c>
      <c r="D3" s="48">
        <v>661.78</v>
      </c>
      <c r="E3" s="48">
        <v>82.98</v>
      </c>
      <c r="F3" s="48">
        <v>37.06</v>
      </c>
      <c r="G3" s="48">
        <v>47.9</v>
      </c>
      <c r="H3" s="48">
        <v>64.37</v>
      </c>
      <c r="I3" s="48">
        <v>40.85</v>
      </c>
      <c r="J3" s="48">
        <v>123.51</v>
      </c>
      <c r="K3" s="48">
        <v>15.41</v>
      </c>
      <c r="L3" s="48">
        <v>91.99</v>
      </c>
      <c r="M3" s="48">
        <v>33.51</v>
      </c>
      <c r="N3" s="48">
        <v>349.86</v>
      </c>
      <c r="O3" s="48">
        <v>82.85</v>
      </c>
      <c r="P3" s="48"/>
      <c r="Q3" s="48">
        <v>49.84</v>
      </c>
      <c r="R3" s="48">
        <v>47.82</v>
      </c>
      <c r="S3" s="48">
        <v>58.54</v>
      </c>
      <c r="T3" s="48">
        <v>26.91</v>
      </c>
      <c r="U3" s="48"/>
    </row>
    <row r="4" spans="1:21" ht="15" customHeight="1" x14ac:dyDescent="0.2">
      <c r="A4" s="47">
        <v>45156</v>
      </c>
      <c r="B4" s="48">
        <v>508.13</v>
      </c>
      <c r="C4" s="48">
        <v>45.14</v>
      </c>
      <c r="D4" s="48">
        <v>655.33000000000004</v>
      </c>
      <c r="E4" s="48">
        <v>82.58</v>
      </c>
      <c r="F4" s="48">
        <v>36.700000000000003</v>
      </c>
      <c r="G4" s="48">
        <v>47.8</v>
      </c>
      <c r="H4" s="48">
        <v>63.59</v>
      </c>
      <c r="I4" s="48">
        <v>43.3</v>
      </c>
      <c r="J4" s="48">
        <v>121.47</v>
      </c>
      <c r="K4" s="48">
        <v>14.4</v>
      </c>
      <c r="L4" s="48">
        <v>91.1</v>
      </c>
      <c r="M4" s="48">
        <v>33.97</v>
      </c>
      <c r="N4" s="48">
        <v>344.82</v>
      </c>
      <c r="O4" s="48">
        <v>80.3</v>
      </c>
      <c r="P4" s="48"/>
      <c r="Q4" s="48">
        <v>50</v>
      </c>
      <c r="R4" s="48">
        <v>46.93</v>
      </c>
      <c r="S4" s="48">
        <v>58.05</v>
      </c>
      <c r="T4" s="48">
        <v>26.19</v>
      </c>
      <c r="U4" s="48"/>
    </row>
    <row r="5" spans="1:21" ht="15" customHeight="1" x14ac:dyDescent="0.2">
      <c r="A5" s="47">
        <v>45163</v>
      </c>
      <c r="B5" s="48">
        <v>525.05999999999995</v>
      </c>
      <c r="C5" s="48">
        <v>45.23</v>
      </c>
      <c r="D5" s="48">
        <v>651.01</v>
      </c>
      <c r="E5" s="48">
        <v>85.18</v>
      </c>
      <c r="F5" s="48">
        <v>37.4</v>
      </c>
      <c r="G5" s="48">
        <v>48.17</v>
      </c>
      <c r="H5" s="48">
        <v>63.72</v>
      </c>
      <c r="I5" s="48">
        <v>46.02</v>
      </c>
      <c r="J5" s="48">
        <v>122.66</v>
      </c>
      <c r="K5" s="48">
        <v>14.53</v>
      </c>
      <c r="L5" s="48">
        <v>93.1</v>
      </c>
      <c r="M5" s="48">
        <v>37.5</v>
      </c>
      <c r="N5" s="48">
        <v>350.06</v>
      </c>
      <c r="O5" s="48">
        <v>79</v>
      </c>
      <c r="P5" s="48"/>
      <c r="Q5" s="48">
        <v>50.17</v>
      </c>
      <c r="R5" s="48">
        <v>47.68</v>
      </c>
      <c r="S5" s="48">
        <v>57.89</v>
      </c>
      <c r="T5" s="48">
        <v>25.98</v>
      </c>
      <c r="U5" s="48"/>
    </row>
    <row r="6" spans="1:21" ht="15" customHeight="1" x14ac:dyDescent="0.2">
      <c r="A6" s="47">
        <v>45170</v>
      </c>
      <c r="B6" s="48">
        <v>563.21</v>
      </c>
      <c r="C6" s="48">
        <v>49.34</v>
      </c>
      <c r="D6" s="48">
        <v>662.52</v>
      </c>
      <c r="E6" s="48">
        <v>87.25</v>
      </c>
      <c r="F6" s="48">
        <v>40.31</v>
      </c>
      <c r="G6" s="48">
        <v>50.7</v>
      </c>
      <c r="H6" s="48">
        <v>70.39</v>
      </c>
      <c r="I6" s="48">
        <v>48.51</v>
      </c>
      <c r="J6" s="48">
        <v>124.59</v>
      </c>
      <c r="K6" s="48">
        <v>15.18</v>
      </c>
      <c r="L6" s="48">
        <v>93.19</v>
      </c>
      <c r="M6" s="48">
        <v>39.869999999999997</v>
      </c>
      <c r="N6" s="48">
        <v>351.1</v>
      </c>
      <c r="O6" s="48">
        <v>82.69</v>
      </c>
      <c r="P6" s="48"/>
      <c r="Q6" s="48">
        <v>49.61</v>
      </c>
      <c r="R6" s="48">
        <v>48.55</v>
      </c>
      <c r="S6" s="48">
        <v>58.82</v>
      </c>
      <c r="T6" s="48">
        <v>26.66</v>
      </c>
      <c r="U6" s="48"/>
    </row>
    <row r="7" spans="1:21" ht="15" customHeight="1" x14ac:dyDescent="0.2">
      <c r="A7" s="47">
        <v>45177</v>
      </c>
      <c r="B7" s="48">
        <v>560.36</v>
      </c>
      <c r="C7" s="48">
        <v>49.12</v>
      </c>
      <c r="D7" s="48">
        <v>627.86</v>
      </c>
      <c r="E7" s="48">
        <v>85.76</v>
      </c>
      <c r="F7" s="48">
        <v>42.02</v>
      </c>
      <c r="G7" s="48">
        <v>49.77</v>
      </c>
      <c r="H7" s="48">
        <v>70.180000000000007</v>
      </c>
      <c r="I7" s="48">
        <v>45.57</v>
      </c>
      <c r="J7" s="48">
        <v>122.48</v>
      </c>
      <c r="K7" s="48">
        <v>15.13</v>
      </c>
      <c r="L7" s="48">
        <v>89.64</v>
      </c>
      <c r="M7" s="48">
        <v>39.200000000000003</v>
      </c>
      <c r="N7" s="48">
        <v>343.05</v>
      </c>
      <c r="O7" s="48">
        <v>79.510000000000005</v>
      </c>
      <c r="P7" s="48"/>
      <c r="Q7" s="48">
        <v>48.75</v>
      </c>
      <c r="R7" s="48">
        <v>48.23</v>
      </c>
      <c r="S7" s="48">
        <v>59.17</v>
      </c>
      <c r="T7" s="48">
        <v>26.47</v>
      </c>
      <c r="U7" s="48"/>
    </row>
    <row r="8" spans="1:21" ht="15" customHeight="1" x14ac:dyDescent="0.2">
      <c r="A8" s="47">
        <v>45184</v>
      </c>
      <c r="B8" s="48">
        <v>528.89</v>
      </c>
      <c r="C8" s="48">
        <v>46.18</v>
      </c>
      <c r="D8" s="48">
        <v>596.66</v>
      </c>
      <c r="E8" s="48">
        <v>85.17</v>
      </c>
      <c r="F8" s="48">
        <v>41.36</v>
      </c>
      <c r="G8" s="48">
        <v>45.42</v>
      </c>
      <c r="H8" s="48">
        <v>69.88</v>
      </c>
      <c r="I8" s="48">
        <v>43.9</v>
      </c>
      <c r="J8" s="48">
        <v>123.18</v>
      </c>
      <c r="K8" s="48">
        <v>15.33</v>
      </c>
      <c r="L8" s="48">
        <v>89.25</v>
      </c>
      <c r="M8" s="48">
        <v>38.17</v>
      </c>
      <c r="N8" s="48">
        <v>348.9</v>
      </c>
      <c r="O8" s="48">
        <v>79.36</v>
      </c>
      <c r="P8" s="48"/>
      <c r="Q8" s="48">
        <v>50.71</v>
      </c>
      <c r="R8" s="48">
        <v>48.21</v>
      </c>
      <c r="S8" s="48">
        <v>59.17</v>
      </c>
      <c r="T8" s="48">
        <v>26.3</v>
      </c>
      <c r="U8" s="48"/>
    </row>
    <row r="9" spans="1:21" ht="15" customHeight="1" x14ac:dyDescent="0.2">
      <c r="A9" s="47">
        <v>45191</v>
      </c>
      <c r="B9" s="48">
        <v>512.9</v>
      </c>
      <c r="C9" s="48">
        <v>45.09</v>
      </c>
      <c r="D9" s="48">
        <v>587.1</v>
      </c>
      <c r="E9" s="48">
        <v>82.91</v>
      </c>
      <c r="F9" s="48">
        <v>40.64</v>
      </c>
      <c r="G9" s="48">
        <v>45.18</v>
      </c>
      <c r="H9" s="48">
        <v>68.88</v>
      </c>
      <c r="I9" s="48">
        <v>41.61</v>
      </c>
      <c r="J9" s="48">
        <v>114.07</v>
      </c>
      <c r="K9" s="48">
        <v>14.13</v>
      </c>
      <c r="L9" s="48">
        <v>85.64</v>
      </c>
      <c r="M9" s="48">
        <v>36.450000000000003</v>
      </c>
      <c r="N9" s="48">
        <v>349.53</v>
      </c>
      <c r="O9" s="48">
        <v>76.69</v>
      </c>
      <c r="P9" s="48"/>
      <c r="Q9" s="48">
        <v>51.22</v>
      </c>
      <c r="R9" s="48">
        <v>46.91</v>
      </c>
      <c r="S9" s="48">
        <v>57.46</v>
      </c>
      <c r="T9" s="48">
        <v>25.91</v>
      </c>
      <c r="U9" s="48"/>
    </row>
    <row r="10" spans="1:21" ht="15" customHeight="1" x14ac:dyDescent="0.2">
      <c r="A10" s="47">
        <v>45198</v>
      </c>
      <c r="B10" s="48">
        <v>509.9</v>
      </c>
      <c r="C10" s="48">
        <v>45.98</v>
      </c>
      <c r="D10" s="48">
        <v>588.66</v>
      </c>
      <c r="E10" s="48">
        <v>83.06</v>
      </c>
      <c r="F10" s="48">
        <v>41.85</v>
      </c>
      <c r="G10" s="48">
        <v>45.87</v>
      </c>
      <c r="H10" s="48">
        <v>68.03</v>
      </c>
      <c r="I10" s="48">
        <v>43.5</v>
      </c>
      <c r="J10" s="48">
        <v>112.21</v>
      </c>
      <c r="K10" s="48">
        <v>16</v>
      </c>
      <c r="L10" s="48">
        <v>86.9</v>
      </c>
      <c r="M10" s="48">
        <v>37.200000000000003</v>
      </c>
      <c r="N10" s="48">
        <v>347.74</v>
      </c>
      <c r="O10" s="48">
        <v>77.95</v>
      </c>
      <c r="P10" s="48"/>
      <c r="Q10" s="48">
        <v>51.89</v>
      </c>
      <c r="R10" s="48">
        <v>46.93</v>
      </c>
      <c r="S10" s="48">
        <v>57.28</v>
      </c>
      <c r="T10" s="48">
        <v>25.98</v>
      </c>
      <c r="U10" s="48"/>
    </row>
    <row r="11" spans="1:21" ht="15" customHeight="1" x14ac:dyDescent="0.2">
      <c r="A11" s="47">
        <v>45205</v>
      </c>
      <c r="B11" s="48">
        <v>526.67999999999995</v>
      </c>
      <c r="C11" s="48">
        <v>48.51</v>
      </c>
      <c r="D11" s="48">
        <v>597.36</v>
      </c>
      <c r="E11" s="48">
        <v>84.53</v>
      </c>
      <c r="F11" s="48">
        <v>44.17</v>
      </c>
      <c r="G11" s="48">
        <v>46.81</v>
      </c>
      <c r="H11" s="48">
        <v>69.959999999999994</v>
      </c>
      <c r="I11" s="48">
        <v>45.76</v>
      </c>
      <c r="J11" s="48">
        <v>108.91</v>
      </c>
      <c r="K11" s="48">
        <v>16.61</v>
      </c>
      <c r="L11" s="48">
        <v>89.29</v>
      </c>
      <c r="M11" s="48">
        <v>39.770000000000003</v>
      </c>
      <c r="N11" s="48">
        <v>360.62</v>
      </c>
      <c r="O11" s="48">
        <v>75.599999999999994</v>
      </c>
      <c r="P11" s="48"/>
      <c r="Q11" s="48">
        <v>52.12</v>
      </c>
      <c r="R11" s="48">
        <v>47.13</v>
      </c>
      <c r="S11" s="48">
        <v>57.92</v>
      </c>
      <c r="T11" s="48">
        <v>25.5</v>
      </c>
      <c r="U11" s="48"/>
    </row>
    <row r="12" spans="1:21" ht="15" customHeight="1" x14ac:dyDescent="0.2">
      <c r="A12" s="47">
        <v>45212</v>
      </c>
      <c r="B12" s="48">
        <v>548.76</v>
      </c>
      <c r="C12" s="48">
        <v>47.46</v>
      </c>
      <c r="D12" s="48">
        <v>599.75</v>
      </c>
      <c r="E12" s="48">
        <v>88.32</v>
      </c>
      <c r="F12" s="48">
        <v>46.43</v>
      </c>
      <c r="G12" s="48">
        <v>48.68</v>
      </c>
      <c r="H12" s="48">
        <v>69.209999999999994</v>
      </c>
      <c r="I12" s="48">
        <v>45.46</v>
      </c>
      <c r="J12" s="48">
        <v>109.65</v>
      </c>
      <c r="K12" s="48">
        <v>17.36</v>
      </c>
      <c r="L12" s="48">
        <v>90.46</v>
      </c>
      <c r="M12" s="48">
        <v>39.1</v>
      </c>
      <c r="N12" s="48">
        <v>371</v>
      </c>
      <c r="O12" s="48">
        <v>75.8</v>
      </c>
      <c r="P12" s="48"/>
      <c r="Q12" s="48">
        <v>52.17</v>
      </c>
      <c r="R12" s="48">
        <v>47.26</v>
      </c>
      <c r="S12" s="48">
        <v>58.25</v>
      </c>
      <c r="T12" s="48">
        <v>25.83</v>
      </c>
      <c r="U12" s="48"/>
    </row>
    <row r="13" spans="1:21" ht="15" customHeight="1" x14ac:dyDescent="0.2">
      <c r="A13" s="47">
        <v>45219</v>
      </c>
      <c r="B13" s="48">
        <v>540.96</v>
      </c>
      <c r="C13" s="48">
        <v>46.53</v>
      </c>
      <c r="D13" s="48">
        <v>580.1</v>
      </c>
      <c r="E13" s="48">
        <v>85.36</v>
      </c>
      <c r="F13" s="48">
        <v>44.69</v>
      </c>
      <c r="G13" s="48">
        <v>46.24</v>
      </c>
      <c r="H13" s="48">
        <v>67.22</v>
      </c>
      <c r="I13" s="48">
        <v>41.39</v>
      </c>
      <c r="J13" s="48">
        <v>102.43</v>
      </c>
      <c r="K13" s="48">
        <v>16.11</v>
      </c>
      <c r="L13" s="48">
        <v>91.31</v>
      </c>
      <c r="M13" s="48">
        <v>36.74</v>
      </c>
      <c r="N13" s="48">
        <v>361.86</v>
      </c>
      <c r="O13" s="48">
        <v>74.53</v>
      </c>
      <c r="P13" s="48"/>
      <c r="Q13" s="48">
        <v>52.36</v>
      </c>
      <c r="R13" s="48">
        <v>46.32</v>
      </c>
      <c r="S13" s="48">
        <v>56.56</v>
      </c>
      <c r="T13" s="48">
        <v>25.5</v>
      </c>
      <c r="U13" s="48"/>
    </row>
    <row r="14" spans="1:21" ht="15" customHeight="1" x14ac:dyDescent="0.2">
      <c r="A14" s="47">
        <v>45226</v>
      </c>
      <c r="B14" s="48">
        <v>508.12</v>
      </c>
      <c r="C14" s="48">
        <v>44.05</v>
      </c>
      <c r="D14" s="48">
        <v>590</v>
      </c>
      <c r="E14" s="48">
        <v>83.84</v>
      </c>
      <c r="F14" s="48">
        <v>43.21</v>
      </c>
      <c r="G14" s="48">
        <v>45.79</v>
      </c>
      <c r="H14" s="48">
        <v>65.650000000000006</v>
      </c>
      <c r="I14" s="48">
        <v>40.5</v>
      </c>
      <c r="J14" s="48">
        <v>97.32</v>
      </c>
      <c r="K14" s="48">
        <v>15.07</v>
      </c>
      <c r="L14" s="48">
        <v>85.99</v>
      </c>
      <c r="M14" s="48">
        <v>36.42</v>
      </c>
      <c r="N14" s="48">
        <v>355.28</v>
      </c>
      <c r="O14" s="48">
        <v>73.38</v>
      </c>
      <c r="P14" s="48"/>
      <c r="Q14" s="48">
        <v>52.83</v>
      </c>
      <c r="R14" s="48">
        <v>45.36</v>
      </c>
      <c r="S14" s="48">
        <v>55.42</v>
      </c>
      <c r="T14" s="48">
        <v>24.66</v>
      </c>
      <c r="U14" s="48"/>
    </row>
    <row r="15" spans="1:21" ht="15" customHeight="1" x14ac:dyDescent="0.2">
      <c r="A15" s="47">
        <v>45233</v>
      </c>
      <c r="B15" s="48">
        <v>563.66</v>
      </c>
      <c r="C15" s="48">
        <v>53.12</v>
      </c>
      <c r="D15" s="48">
        <v>642.41</v>
      </c>
      <c r="E15" s="48">
        <v>88.27</v>
      </c>
      <c r="F15" s="48">
        <v>47.06</v>
      </c>
      <c r="G15" s="48">
        <v>49.96</v>
      </c>
      <c r="H15" s="48">
        <v>72.58</v>
      </c>
      <c r="I15" s="48">
        <v>45.01</v>
      </c>
      <c r="J15" s="48">
        <v>106.55</v>
      </c>
      <c r="K15" s="48">
        <v>18.89</v>
      </c>
      <c r="L15" s="48">
        <v>91.79</v>
      </c>
      <c r="M15" s="48">
        <v>40.44</v>
      </c>
      <c r="N15" s="48">
        <v>376.2</v>
      </c>
      <c r="O15" s="48">
        <v>78.63</v>
      </c>
      <c r="P15" s="48"/>
      <c r="Q15" s="48">
        <v>52.79</v>
      </c>
      <c r="R15" s="48">
        <v>47.52</v>
      </c>
      <c r="S15" s="48">
        <v>58.65</v>
      </c>
      <c r="T15" s="48">
        <v>26.11</v>
      </c>
      <c r="U15" s="48"/>
    </row>
    <row r="16" spans="1:21" ht="15" customHeight="1" x14ac:dyDescent="0.2">
      <c r="A16" s="47">
        <v>45240</v>
      </c>
      <c r="B16" s="48">
        <v>597.22</v>
      </c>
      <c r="C16" s="48">
        <v>51.71</v>
      </c>
      <c r="D16" s="48">
        <v>661.28</v>
      </c>
      <c r="E16" s="48">
        <v>95.75</v>
      </c>
      <c r="F16" s="48">
        <v>49.08</v>
      </c>
      <c r="G16" s="48">
        <v>53.43</v>
      </c>
      <c r="H16" s="48">
        <v>75.36</v>
      </c>
      <c r="I16" s="48">
        <v>48.34</v>
      </c>
      <c r="J16" s="48">
        <v>104.55</v>
      </c>
      <c r="K16" s="48">
        <v>19.670000000000002</v>
      </c>
      <c r="L16" s="48">
        <v>97.44</v>
      </c>
      <c r="M16" s="48">
        <v>41.83</v>
      </c>
      <c r="N16" s="48">
        <v>373.65</v>
      </c>
      <c r="O16" s="48">
        <v>75.95</v>
      </c>
      <c r="P16" s="48"/>
      <c r="Q16" s="48">
        <v>52.88</v>
      </c>
      <c r="R16" s="48">
        <v>48.51</v>
      </c>
      <c r="S16" s="48">
        <v>60.38</v>
      </c>
      <c r="T16" s="48">
        <v>25.93</v>
      </c>
      <c r="U16" s="48"/>
    </row>
    <row r="17" spans="1:21" ht="15" customHeight="1" x14ac:dyDescent="0.2">
      <c r="A17" s="47">
        <v>45247</v>
      </c>
      <c r="B17" s="48">
        <v>602.66</v>
      </c>
      <c r="C17" s="48">
        <v>53.66</v>
      </c>
      <c r="D17" s="48">
        <v>686.09</v>
      </c>
      <c r="E17" s="48">
        <v>97.77</v>
      </c>
      <c r="F17" s="48">
        <v>51.77</v>
      </c>
      <c r="G17" s="48">
        <v>54.45</v>
      </c>
      <c r="H17" s="48">
        <v>77.56</v>
      </c>
      <c r="I17" s="48">
        <v>49.3</v>
      </c>
      <c r="J17" s="48">
        <v>110.07</v>
      </c>
      <c r="K17" s="48">
        <v>20.49</v>
      </c>
      <c r="L17" s="48">
        <v>99.58</v>
      </c>
      <c r="M17" s="48">
        <v>43.29</v>
      </c>
      <c r="N17" s="48">
        <v>350.5</v>
      </c>
      <c r="O17" s="48">
        <v>80.16</v>
      </c>
      <c r="P17" s="48"/>
      <c r="Q17" s="48">
        <v>52.65</v>
      </c>
      <c r="R17" s="48">
        <v>48.97</v>
      </c>
      <c r="S17" s="48">
        <v>61.69</v>
      </c>
      <c r="T17" s="48">
        <v>26.59</v>
      </c>
      <c r="U17" s="48"/>
    </row>
    <row r="18" spans="1:21" ht="15" customHeight="1" x14ac:dyDescent="0.2">
      <c r="A18" s="47">
        <v>45254</v>
      </c>
      <c r="B18" s="48">
        <v>619.42999999999995</v>
      </c>
      <c r="C18" s="48">
        <v>54.6</v>
      </c>
      <c r="D18" s="48">
        <v>691.18</v>
      </c>
      <c r="E18" s="48">
        <v>97.89</v>
      </c>
      <c r="F18" s="48">
        <v>52.67</v>
      </c>
      <c r="G18" s="48">
        <v>55.56</v>
      </c>
      <c r="H18" s="48">
        <v>76.87</v>
      </c>
      <c r="I18" s="48">
        <v>47.78</v>
      </c>
      <c r="J18" s="48">
        <v>112</v>
      </c>
      <c r="K18" s="48">
        <v>19.2</v>
      </c>
      <c r="L18" s="48">
        <v>97.83</v>
      </c>
      <c r="M18" s="48">
        <v>42.68</v>
      </c>
      <c r="N18" s="48">
        <v>353.04</v>
      </c>
      <c r="O18" s="48">
        <v>80.17</v>
      </c>
      <c r="P18" s="48"/>
      <c r="Q18" s="48">
        <v>53.17</v>
      </c>
      <c r="R18" s="48">
        <v>49.23</v>
      </c>
      <c r="S18" s="48">
        <v>62.03</v>
      </c>
      <c r="T18" s="48">
        <v>26.78</v>
      </c>
      <c r="U18" s="48"/>
    </row>
    <row r="19" spans="1:21" ht="15" customHeight="1" x14ac:dyDescent="0.2">
      <c r="A19" s="47">
        <v>45261</v>
      </c>
      <c r="B19" s="48">
        <v>612.47</v>
      </c>
      <c r="C19" s="48">
        <v>54.16</v>
      </c>
      <c r="D19" s="48">
        <v>692.2</v>
      </c>
      <c r="E19" s="48">
        <v>93</v>
      </c>
      <c r="F19" s="48">
        <v>58.76</v>
      </c>
      <c r="G19" s="48">
        <v>54.9</v>
      </c>
      <c r="H19" s="48">
        <v>75.930000000000007</v>
      </c>
      <c r="I19" s="48">
        <v>46.77</v>
      </c>
      <c r="J19" s="48">
        <v>118.26</v>
      </c>
      <c r="K19" s="48">
        <v>20.27</v>
      </c>
      <c r="L19" s="48">
        <v>98.55</v>
      </c>
      <c r="M19" s="48">
        <v>45.14</v>
      </c>
      <c r="N19" s="48">
        <v>351.16</v>
      </c>
      <c r="O19" s="48">
        <v>82.86</v>
      </c>
      <c r="P19" s="48"/>
      <c r="Q19" s="48">
        <v>53.48</v>
      </c>
      <c r="R19" s="48">
        <v>48.9</v>
      </c>
      <c r="S19" s="48">
        <v>61.89</v>
      </c>
      <c r="T19" s="48">
        <v>27.14</v>
      </c>
      <c r="U19" s="48"/>
    </row>
    <row r="20" spans="1:21" ht="15" customHeight="1" x14ac:dyDescent="0.2">
      <c r="A20" s="47">
        <v>45268</v>
      </c>
      <c r="B20" s="48">
        <v>610.01</v>
      </c>
      <c r="C20" s="48">
        <v>56.01</v>
      </c>
      <c r="D20" s="48">
        <v>696.43</v>
      </c>
      <c r="E20" s="48">
        <v>94.43</v>
      </c>
      <c r="F20" s="48">
        <v>60.64</v>
      </c>
      <c r="G20" s="48">
        <v>53.44</v>
      </c>
      <c r="H20" s="48">
        <v>74.959999999999994</v>
      </c>
      <c r="I20" s="48">
        <v>47.51</v>
      </c>
      <c r="J20" s="48">
        <v>119.85</v>
      </c>
      <c r="K20" s="48">
        <v>17.77</v>
      </c>
      <c r="L20" s="48">
        <v>100.35</v>
      </c>
      <c r="M20" s="48">
        <v>47.14</v>
      </c>
      <c r="N20" s="48">
        <v>350.15</v>
      </c>
      <c r="O20" s="48">
        <v>83.55</v>
      </c>
      <c r="P20" s="48"/>
      <c r="Q20" s="48">
        <v>53.82</v>
      </c>
      <c r="R20" s="48">
        <v>49.26</v>
      </c>
      <c r="S20" s="48">
        <v>62.12</v>
      </c>
      <c r="T20" s="48">
        <v>27.38</v>
      </c>
      <c r="U20" s="48"/>
    </row>
    <row r="21" spans="1:21" ht="15" customHeight="1" x14ac:dyDescent="0.2">
      <c r="A21" s="47">
        <v>45275</v>
      </c>
      <c r="B21" s="48">
        <v>584.67999999999995</v>
      </c>
      <c r="C21" s="48">
        <v>58.9</v>
      </c>
      <c r="D21" s="48">
        <v>752.96</v>
      </c>
      <c r="E21" s="48">
        <v>112.97</v>
      </c>
      <c r="F21" s="48">
        <v>65.02</v>
      </c>
      <c r="G21" s="48">
        <v>58.51</v>
      </c>
      <c r="H21" s="48">
        <v>81.41</v>
      </c>
      <c r="I21" s="48">
        <v>48.89</v>
      </c>
      <c r="J21" s="48">
        <v>134.26</v>
      </c>
      <c r="K21" s="48">
        <v>18.2</v>
      </c>
      <c r="L21" s="48">
        <v>102.54</v>
      </c>
      <c r="M21" s="48">
        <v>47.73</v>
      </c>
      <c r="N21" s="48">
        <v>410.68</v>
      </c>
      <c r="O21" s="48">
        <v>88.13</v>
      </c>
      <c r="P21" s="48"/>
      <c r="Q21" s="48">
        <v>54.58</v>
      </c>
      <c r="R21" s="48">
        <v>50</v>
      </c>
      <c r="S21" s="48">
        <v>64.239999999999995</v>
      </c>
      <c r="T21" s="48">
        <v>28.14</v>
      </c>
      <c r="U21" s="48"/>
    </row>
    <row r="22" spans="1:21" ht="15" customHeight="1" x14ac:dyDescent="0.2">
      <c r="A22" s="47">
        <v>45282</v>
      </c>
      <c r="B22" s="48">
        <v>598.75</v>
      </c>
      <c r="C22" s="48">
        <v>59.57</v>
      </c>
      <c r="D22" s="48">
        <v>752.53</v>
      </c>
      <c r="E22" s="48">
        <v>112.2</v>
      </c>
      <c r="F22" s="48">
        <v>63.91</v>
      </c>
      <c r="G22" s="48">
        <v>58.27</v>
      </c>
      <c r="H22" s="48">
        <v>86.49</v>
      </c>
      <c r="I22" s="48">
        <v>48.83</v>
      </c>
      <c r="J22" s="48">
        <v>132.4</v>
      </c>
      <c r="K22" s="48">
        <v>17.41</v>
      </c>
      <c r="L22" s="48">
        <v>103.15</v>
      </c>
      <c r="M22" s="48">
        <v>48.78</v>
      </c>
      <c r="N22" s="48">
        <v>405.25</v>
      </c>
      <c r="O22" s="48">
        <v>90.13</v>
      </c>
      <c r="P22" s="48"/>
      <c r="Q22" s="48">
        <v>54.82</v>
      </c>
      <c r="R22" s="48">
        <v>50.16</v>
      </c>
      <c r="S22" s="48">
        <v>65.040000000000006</v>
      </c>
      <c r="T22" s="48">
        <v>28.41</v>
      </c>
      <c r="U22" s="48"/>
    </row>
    <row r="23" spans="1:21" ht="15" customHeight="1" x14ac:dyDescent="0.2">
      <c r="A23" s="47">
        <v>45289</v>
      </c>
      <c r="B23" s="48">
        <v>596.6</v>
      </c>
      <c r="C23" s="48">
        <v>58.88</v>
      </c>
      <c r="D23" s="48">
        <v>756.92</v>
      </c>
      <c r="E23" s="48">
        <v>111.63</v>
      </c>
      <c r="F23" s="48">
        <v>63.83</v>
      </c>
      <c r="G23" s="48">
        <v>58.13</v>
      </c>
      <c r="H23" s="48">
        <v>85.34</v>
      </c>
      <c r="I23" s="48">
        <v>49.52</v>
      </c>
      <c r="J23" s="48">
        <v>133.30000000000001</v>
      </c>
      <c r="K23" s="48">
        <v>17.170000000000002</v>
      </c>
      <c r="L23" s="48">
        <v>104</v>
      </c>
      <c r="M23" s="48">
        <v>48.03</v>
      </c>
      <c r="N23" s="48">
        <v>406.89</v>
      </c>
      <c r="O23" s="48">
        <v>89.8</v>
      </c>
      <c r="P23" s="48"/>
      <c r="Q23" s="48">
        <v>54.52</v>
      </c>
      <c r="R23" s="48">
        <v>49.93</v>
      </c>
      <c r="S23" s="48">
        <v>65.5</v>
      </c>
      <c r="T23" s="48">
        <v>28.34</v>
      </c>
      <c r="U23" s="48"/>
    </row>
    <row r="24" spans="1:21" ht="15" customHeight="1" x14ac:dyDescent="0.2">
      <c r="A24" s="47">
        <v>45296</v>
      </c>
      <c r="B24" s="48">
        <v>564.6</v>
      </c>
      <c r="C24" s="48">
        <v>57.73</v>
      </c>
      <c r="D24" s="48">
        <v>703.34</v>
      </c>
      <c r="E24" s="48">
        <v>104.93</v>
      </c>
      <c r="F24" s="48">
        <v>61.87</v>
      </c>
      <c r="G24" s="48">
        <v>54.43</v>
      </c>
      <c r="H24" s="48">
        <v>83.45</v>
      </c>
      <c r="I24" s="48">
        <v>49.1</v>
      </c>
      <c r="J24" s="48">
        <v>130.56</v>
      </c>
      <c r="K24" s="48">
        <v>15.98</v>
      </c>
      <c r="L24" s="48">
        <v>99.61</v>
      </c>
      <c r="M24" s="48">
        <v>46.31</v>
      </c>
      <c r="N24" s="48">
        <v>416.5</v>
      </c>
      <c r="O24" s="48">
        <v>87.47</v>
      </c>
      <c r="P24" s="48"/>
      <c r="Q24" s="48">
        <v>54.93</v>
      </c>
      <c r="R24" s="48">
        <v>49.15</v>
      </c>
      <c r="S24" s="48">
        <v>64.819999999999993</v>
      </c>
      <c r="T24" s="48">
        <v>28.37</v>
      </c>
      <c r="U24" s="48"/>
    </row>
    <row r="25" spans="1:21" ht="15" customHeight="1" x14ac:dyDescent="0.2">
      <c r="A25" s="47">
        <v>45303</v>
      </c>
      <c r="B25" s="48">
        <v>596.54</v>
      </c>
      <c r="C25" s="48">
        <v>63.01</v>
      </c>
      <c r="D25" s="48">
        <v>713.22</v>
      </c>
      <c r="E25" s="48">
        <v>110.77</v>
      </c>
      <c r="F25" s="48">
        <v>70.84</v>
      </c>
      <c r="G25" s="48">
        <v>56.06</v>
      </c>
      <c r="H25" s="48">
        <v>82.39</v>
      </c>
      <c r="I25" s="48">
        <v>54.71</v>
      </c>
      <c r="J25" s="48">
        <v>131.55000000000001</v>
      </c>
      <c r="K25" s="48">
        <v>16.760000000000002</v>
      </c>
      <c r="L25" s="48">
        <v>101.24</v>
      </c>
      <c r="M25" s="48">
        <v>49.52</v>
      </c>
      <c r="N25" s="48">
        <v>433.4</v>
      </c>
      <c r="O25" s="48">
        <v>86.48</v>
      </c>
      <c r="P25" s="48"/>
      <c r="Q25" s="48">
        <v>55.27</v>
      </c>
      <c r="R25" s="48">
        <v>50.49</v>
      </c>
      <c r="S25" s="48">
        <v>66.84</v>
      </c>
      <c r="T25" s="48">
        <v>28.29</v>
      </c>
      <c r="U25" s="48"/>
    </row>
    <row r="26" spans="1:21" ht="15" customHeight="1" x14ac:dyDescent="0.2">
      <c r="A26" s="47">
        <v>45310</v>
      </c>
      <c r="B26" s="48">
        <v>611.54999999999995</v>
      </c>
      <c r="C26" s="48">
        <v>65.88</v>
      </c>
      <c r="D26" s="48">
        <v>757.83</v>
      </c>
      <c r="E26" s="48">
        <v>121.12</v>
      </c>
      <c r="F26" s="48">
        <v>72.64</v>
      </c>
      <c r="G26" s="48">
        <v>61.3</v>
      </c>
      <c r="H26" s="48">
        <v>87.51</v>
      </c>
      <c r="I26" s="48">
        <v>59.49</v>
      </c>
      <c r="J26" s="48">
        <v>128.44</v>
      </c>
      <c r="K26" s="48">
        <v>16.78</v>
      </c>
      <c r="L26" s="48">
        <v>114.2</v>
      </c>
      <c r="M26" s="48">
        <v>53.67</v>
      </c>
      <c r="N26" s="48">
        <v>435.02</v>
      </c>
      <c r="O26" s="48">
        <v>86.74</v>
      </c>
      <c r="P26" s="48"/>
      <c r="Q26" s="48">
        <v>55.31</v>
      </c>
      <c r="R26" s="48">
        <v>51.39</v>
      </c>
      <c r="S26" s="48">
        <v>68.25</v>
      </c>
      <c r="T26" s="48">
        <v>28.02</v>
      </c>
      <c r="U26" s="48"/>
    </row>
    <row r="27" spans="1:21" ht="15" customHeight="1" x14ac:dyDescent="0.2">
      <c r="A27" s="47">
        <v>45317</v>
      </c>
      <c r="B27" s="48">
        <v>613.92999999999995</v>
      </c>
      <c r="C27" s="48">
        <v>66.099999999999994</v>
      </c>
      <c r="D27" s="48">
        <v>867.75</v>
      </c>
      <c r="E27" s="48">
        <v>120.49</v>
      </c>
      <c r="F27" s="48">
        <v>72.58</v>
      </c>
      <c r="G27" s="48">
        <v>59.94</v>
      </c>
      <c r="H27" s="48">
        <v>88.05</v>
      </c>
      <c r="I27" s="48">
        <v>61.03</v>
      </c>
      <c r="J27" s="48">
        <v>126.87</v>
      </c>
      <c r="K27" s="48">
        <v>16.350000000000001</v>
      </c>
      <c r="L27" s="48">
        <v>117.26</v>
      </c>
      <c r="M27" s="48">
        <v>53.46</v>
      </c>
      <c r="N27" s="48">
        <v>430.17</v>
      </c>
      <c r="O27" s="48">
        <v>88.78</v>
      </c>
      <c r="P27" s="48"/>
      <c r="Q27" s="48">
        <v>55.32</v>
      </c>
      <c r="R27" s="48">
        <v>51.79</v>
      </c>
      <c r="S27" s="48">
        <v>69.349999999999994</v>
      </c>
      <c r="T27" s="48">
        <v>28.25</v>
      </c>
      <c r="U27" s="48"/>
    </row>
    <row r="28" spans="1:21" ht="15" customHeight="1" x14ac:dyDescent="0.2">
      <c r="A28" s="47">
        <v>45324</v>
      </c>
      <c r="B28" s="48">
        <v>634.76</v>
      </c>
      <c r="C28" s="48">
        <v>68.28</v>
      </c>
      <c r="D28" s="48">
        <v>890.66</v>
      </c>
      <c r="E28" s="48">
        <v>122.43</v>
      </c>
      <c r="F28" s="48">
        <v>75.89</v>
      </c>
      <c r="G28" s="48">
        <v>60.43</v>
      </c>
      <c r="H28" s="48">
        <v>86.48</v>
      </c>
      <c r="I28" s="48">
        <v>66.16</v>
      </c>
      <c r="J28" s="48">
        <v>129.25</v>
      </c>
      <c r="K28" s="48">
        <v>17.02</v>
      </c>
      <c r="L28" s="48">
        <v>115.75</v>
      </c>
      <c r="M28" s="48">
        <v>61.47</v>
      </c>
      <c r="N28" s="48">
        <v>424.68</v>
      </c>
      <c r="O28" s="48">
        <v>87.12</v>
      </c>
      <c r="P28" s="48"/>
      <c r="Q28" s="48">
        <v>55.93</v>
      </c>
      <c r="R28" s="48">
        <v>51.94</v>
      </c>
      <c r="S28" s="48">
        <v>72.52</v>
      </c>
      <c r="T28" s="48">
        <v>28.52</v>
      </c>
      <c r="U28" s="48"/>
    </row>
    <row r="29" spans="1:21" ht="15" customHeight="1" x14ac:dyDescent="0.2">
      <c r="A29" s="47">
        <v>45331</v>
      </c>
      <c r="B29" s="48">
        <v>627.21</v>
      </c>
      <c r="C29" s="48">
        <v>70.61</v>
      </c>
      <c r="D29" s="48">
        <v>949.6</v>
      </c>
      <c r="E29" s="48">
        <v>128.34</v>
      </c>
      <c r="F29" s="48">
        <v>82.34</v>
      </c>
      <c r="G29" s="48">
        <v>64.98</v>
      </c>
      <c r="H29" s="48">
        <v>85.56</v>
      </c>
      <c r="I29" s="48">
        <v>72.13</v>
      </c>
      <c r="J29" s="48">
        <v>132.47999999999999</v>
      </c>
      <c r="K29" s="48">
        <v>24.38</v>
      </c>
      <c r="L29" s="48">
        <v>133.11000000000001</v>
      </c>
      <c r="M29" s="48">
        <v>63.52</v>
      </c>
      <c r="N29" s="48">
        <v>422.91</v>
      </c>
      <c r="O29" s="48">
        <v>87.91</v>
      </c>
      <c r="P29" s="48"/>
      <c r="Q29" s="48">
        <v>55.97</v>
      </c>
      <c r="R29" s="48">
        <v>52.49</v>
      </c>
      <c r="S29" s="48">
        <v>74.25</v>
      </c>
      <c r="T29" s="48">
        <v>28.63</v>
      </c>
      <c r="U29" s="48"/>
    </row>
    <row r="30" spans="1:21" ht="15" customHeight="1" x14ac:dyDescent="0.2">
      <c r="A30" s="47">
        <v>45338</v>
      </c>
      <c r="B30" s="48">
        <v>546.66</v>
      </c>
      <c r="C30" s="48">
        <v>65.44</v>
      </c>
      <c r="D30" s="48">
        <v>928.94</v>
      </c>
      <c r="E30" s="48">
        <v>124.55</v>
      </c>
      <c r="F30" s="48">
        <v>82.31</v>
      </c>
      <c r="G30" s="48">
        <v>66.14</v>
      </c>
      <c r="H30" s="48">
        <v>79.5</v>
      </c>
      <c r="I30" s="48">
        <v>72.61</v>
      </c>
      <c r="J30" s="48">
        <v>133.38999999999999</v>
      </c>
      <c r="K30" s="48">
        <v>24.44</v>
      </c>
      <c r="L30" s="48">
        <v>126.69</v>
      </c>
      <c r="M30" s="48">
        <v>62.97</v>
      </c>
      <c r="N30" s="48">
        <v>422.2</v>
      </c>
      <c r="O30" s="48">
        <v>88.53</v>
      </c>
      <c r="P30" s="48"/>
      <c r="Q30" s="48">
        <v>55.76</v>
      </c>
      <c r="R30" s="48">
        <v>52.32</v>
      </c>
      <c r="S30" s="48">
        <v>74.87</v>
      </c>
      <c r="T30" s="48">
        <v>28.87</v>
      </c>
      <c r="U30" s="48"/>
    </row>
    <row r="31" spans="1:21" ht="15" customHeight="1" x14ac:dyDescent="0.2">
      <c r="A31" s="47">
        <v>45345</v>
      </c>
      <c r="B31" s="48">
        <v>553.44000000000005</v>
      </c>
      <c r="C31" s="48">
        <v>66.92</v>
      </c>
      <c r="D31" s="48">
        <v>933.25</v>
      </c>
      <c r="E31" s="48">
        <v>129.63999999999999</v>
      </c>
      <c r="F31" s="48">
        <v>77.87</v>
      </c>
      <c r="G31" s="48">
        <v>66.88</v>
      </c>
      <c r="H31" s="48">
        <v>86</v>
      </c>
      <c r="I31" s="48">
        <v>78.819999999999993</v>
      </c>
      <c r="J31" s="48">
        <v>133.21</v>
      </c>
      <c r="K31" s="48">
        <v>22.97</v>
      </c>
      <c r="L31" s="48">
        <v>129.53</v>
      </c>
      <c r="M31" s="48">
        <v>62.7</v>
      </c>
      <c r="N31" s="48">
        <v>430.11</v>
      </c>
      <c r="O31" s="48">
        <v>88.24</v>
      </c>
      <c r="P31" s="48"/>
      <c r="Q31" s="48">
        <v>55.41</v>
      </c>
      <c r="R31" s="48">
        <v>52.98</v>
      </c>
      <c r="S31" s="48">
        <v>76.55</v>
      </c>
      <c r="T31" s="48">
        <v>29.5</v>
      </c>
      <c r="U31" s="48"/>
    </row>
    <row r="32" spans="1:21" ht="15" customHeight="1" x14ac:dyDescent="0.2">
      <c r="A32" s="47">
        <v>45352</v>
      </c>
      <c r="B32" s="48">
        <v>570.92999999999995</v>
      </c>
      <c r="C32" s="48">
        <v>71.94</v>
      </c>
      <c r="D32" s="48">
        <v>990.94</v>
      </c>
      <c r="E32" s="48">
        <v>139.91999999999999</v>
      </c>
      <c r="F32" s="48">
        <v>78.650000000000006</v>
      </c>
      <c r="G32" s="48">
        <v>71.760000000000005</v>
      </c>
      <c r="H32" s="48">
        <v>95.15</v>
      </c>
      <c r="I32" s="48">
        <v>82.28</v>
      </c>
      <c r="J32" s="48">
        <v>134.6</v>
      </c>
      <c r="K32" s="48">
        <v>24.93</v>
      </c>
      <c r="L32" s="48">
        <v>133.9</v>
      </c>
      <c r="M32" s="48">
        <v>70.569999999999993</v>
      </c>
      <c r="N32" s="48">
        <v>432.76</v>
      </c>
      <c r="O32" s="48">
        <v>89.63</v>
      </c>
      <c r="P32" s="48"/>
      <c r="Q32" s="48">
        <v>54.33</v>
      </c>
      <c r="R32" s="48">
        <v>53.26</v>
      </c>
      <c r="S32" s="48">
        <v>78.7</v>
      </c>
      <c r="T32" s="48">
        <v>30.15</v>
      </c>
      <c r="U32" s="48"/>
    </row>
    <row r="33" spans="1:21" ht="15" customHeight="1" x14ac:dyDescent="0.2">
      <c r="A33" s="47">
        <v>45359</v>
      </c>
      <c r="B33" s="48">
        <v>551.69000000000005</v>
      </c>
      <c r="C33" s="48">
        <v>68.28</v>
      </c>
      <c r="D33" s="48">
        <v>994.33</v>
      </c>
      <c r="E33" s="48">
        <v>130.87</v>
      </c>
      <c r="F33" s="48">
        <v>80.709999999999994</v>
      </c>
      <c r="G33" s="48">
        <v>69.92</v>
      </c>
      <c r="H33" s="48">
        <v>97.62</v>
      </c>
      <c r="I33" s="48">
        <v>87.53</v>
      </c>
      <c r="J33" s="48">
        <v>135.07</v>
      </c>
      <c r="K33" s="48">
        <v>26.04</v>
      </c>
      <c r="L33" s="48">
        <v>146.37</v>
      </c>
      <c r="M33" s="48">
        <v>69.37</v>
      </c>
      <c r="N33" s="48">
        <v>413.59</v>
      </c>
      <c r="O33" s="48">
        <v>89.73</v>
      </c>
      <c r="P33" s="48"/>
      <c r="Q33" s="48">
        <v>55.45</v>
      </c>
      <c r="R33" s="48">
        <v>53.19</v>
      </c>
      <c r="S33" s="48">
        <v>79</v>
      </c>
      <c r="T33" s="48">
        <v>30.74</v>
      </c>
      <c r="U33" s="48"/>
    </row>
    <row r="34" spans="1:21" ht="15" customHeight="1" x14ac:dyDescent="0.2">
      <c r="A34" s="47">
        <v>45366</v>
      </c>
      <c r="B34" s="48">
        <v>492.46</v>
      </c>
      <c r="C34" s="48">
        <v>69.430000000000007</v>
      </c>
      <c r="D34" s="48">
        <v>940.21</v>
      </c>
      <c r="E34" s="48">
        <v>123.55</v>
      </c>
      <c r="F34" s="48">
        <v>78.91</v>
      </c>
      <c r="G34" s="48">
        <v>68.39</v>
      </c>
      <c r="H34" s="48">
        <v>93.25</v>
      </c>
      <c r="I34" s="48">
        <v>87.84</v>
      </c>
      <c r="J34" s="48">
        <v>129.02000000000001</v>
      </c>
      <c r="K34" s="48">
        <v>23.49</v>
      </c>
      <c r="L34" s="48">
        <v>136.97999999999999</v>
      </c>
      <c r="M34" s="48">
        <v>74.16</v>
      </c>
      <c r="N34" s="48">
        <v>407.69</v>
      </c>
      <c r="O34" s="48">
        <v>88.97</v>
      </c>
      <c r="P34" s="48"/>
      <c r="Q34" s="48">
        <v>55.68</v>
      </c>
      <c r="R34" s="48">
        <v>52.91</v>
      </c>
      <c r="S34" s="48">
        <v>78.59</v>
      </c>
      <c r="T34" s="48">
        <v>31.16</v>
      </c>
      <c r="U34" s="48"/>
    </row>
    <row r="35" spans="1:21" ht="15" customHeight="1" x14ac:dyDescent="0.2">
      <c r="A35" s="47">
        <v>45373</v>
      </c>
      <c r="B35" s="48">
        <v>499.52</v>
      </c>
      <c r="C35" s="48">
        <v>76.61</v>
      </c>
      <c r="D35" s="48">
        <v>979.96</v>
      </c>
      <c r="E35" s="48">
        <v>135.35</v>
      </c>
      <c r="F35" s="48">
        <v>81.900000000000006</v>
      </c>
      <c r="G35" s="48">
        <v>71.06</v>
      </c>
      <c r="H35" s="48">
        <v>110.21</v>
      </c>
      <c r="I35" s="48">
        <v>94.29</v>
      </c>
      <c r="J35" s="48">
        <v>128.62</v>
      </c>
      <c r="K35" s="48">
        <v>24.18</v>
      </c>
      <c r="L35" s="48">
        <v>140.54</v>
      </c>
      <c r="M35" s="48">
        <v>82.5</v>
      </c>
      <c r="N35" s="48">
        <v>415.66</v>
      </c>
      <c r="O35" s="48">
        <v>91.1</v>
      </c>
      <c r="P35" s="48"/>
      <c r="Q35" s="48">
        <v>56.54</v>
      </c>
      <c r="R35" s="48">
        <v>54.26</v>
      </c>
      <c r="S35" s="48">
        <v>80.83</v>
      </c>
      <c r="T35" s="48">
        <v>31.91</v>
      </c>
      <c r="U35" s="48"/>
    </row>
    <row r="36" spans="1:21" ht="15" customHeight="1" x14ac:dyDescent="0.2">
      <c r="A36" s="47">
        <v>45379</v>
      </c>
      <c r="B36" s="48">
        <v>504.6</v>
      </c>
      <c r="C36" s="48">
        <v>72.5</v>
      </c>
      <c r="D36" s="48">
        <v>970.47</v>
      </c>
      <c r="E36" s="48">
        <v>132.54</v>
      </c>
      <c r="F36" s="48">
        <v>80.150000000000006</v>
      </c>
      <c r="G36" s="48">
        <v>69.86</v>
      </c>
      <c r="H36" s="48">
        <v>117.89</v>
      </c>
      <c r="I36" s="48">
        <v>90.36</v>
      </c>
      <c r="J36" s="48">
        <v>130.22</v>
      </c>
      <c r="K36" s="48">
        <v>23.01</v>
      </c>
      <c r="L36" s="48">
        <v>136.05000000000001</v>
      </c>
      <c r="M36" s="48">
        <v>81.67</v>
      </c>
      <c r="N36" s="48">
        <v>418.01</v>
      </c>
      <c r="O36" s="48">
        <v>93.71</v>
      </c>
      <c r="P36" s="48"/>
      <c r="Q36" s="48">
        <v>57.15</v>
      </c>
      <c r="R36" s="48">
        <v>54.24</v>
      </c>
      <c r="S36" s="48">
        <v>80.22</v>
      </c>
      <c r="T36" s="48">
        <v>32.409999999999997</v>
      </c>
      <c r="U36" s="48"/>
    </row>
    <row r="37" spans="1:21" ht="15" customHeight="1" x14ac:dyDescent="0.2">
      <c r="A37" s="47">
        <v>45387</v>
      </c>
      <c r="B37" s="48">
        <v>485.12</v>
      </c>
      <c r="C37" s="48">
        <v>74.400000000000006</v>
      </c>
      <c r="D37" s="48">
        <v>979.55</v>
      </c>
      <c r="E37" s="48">
        <v>133.94</v>
      </c>
      <c r="F37" s="48">
        <v>78.88</v>
      </c>
      <c r="G37" s="48">
        <v>68.28</v>
      </c>
      <c r="H37" s="48">
        <v>123.58</v>
      </c>
      <c r="I37" s="48">
        <v>88.01</v>
      </c>
      <c r="J37" s="48">
        <v>124.74</v>
      </c>
      <c r="K37" s="48">
        <v>22.96</v>
      </c>
      <c r="L37" s="48">
        <v>141.36000000000001</v>
      </c>
      <c r="M37" s="48">
        <v>85.34</v>
      </c>
      <c r="N37" s="48">
        <v>406.67</v>
      </c>
      <c r="O37" s="48">
        <v>91.69</v>
      </c>
      <c r="P37" s="48"/>
      <c r="Q37" s="48">
        <v>57.21</v>
      </c>
      <c r="R37" s="48">
        <v>53.59</v>
      </c>
      <c r="S37" s="48">
        <v>80.45</v>
      </c>
      <c r="T37" s="48">
        <v>32.33</v>
      </c>
      <c r="U37" s="48"/>
    </row>
    <row r="38" spans="1:21" ht="15" customHeight="1" x14ac:dyDescent="0.2">
      <c r="A38" s="47">
        <v>45394</v>
      </c>
      <c r="B38" s="48">
        <v>474.09</v>
      </c>
      <c r="C38" s="48">
        <v>67.81</v>
      </c>
      <c r="D38" s="48">
        <v>961.84</v>
      </c>
      <c r="E38" s="48">
        <v>134.41</v>
      </c>
      <c r="F38" s="48">
        <v>77.260000000000005</v>
      </c>
      <c r="G38" s="48">
        <v>68.08</v>
      </c>
      <c r="H38" s="48">
        <v>122.52</v>
      </c>
      <c r="I38" s="48">
        <v>88.19</v>
      </c>
      <c r="J38" s="48">
        <v>119</v>
      </c>
      <c r="K38" s="48">
        <v>22.67</v>
      </c>
      <c r="L38" s="48">
        <v>142.52000000000001</v>
      </c>
      <c r="M38" s="48">
        <v>83.89</v>
      </c>
      <c r="N38" s="48">
        <v>396.55</v>
      </c>
      <c r="O38" s="48">
        <v>88.86</v>
      </c>
      <c r="P38" s="48"/>
      <c r="Q38" s="48">
        <v>57.06</v>
      </c>
      <c r="R38" s="48">
        <v>53.4</v>
      </c>
      <c r="S38" s="48">
        <v>79.319999999999993</v>
      </c>
      <c r="T38" s="48">
        <v>31.49</v>
      </c>
      <c r="U38" s="48"/>
    </row>
    <row r="39" spans="1:21" ht="15" customHeight="1" x14ac:dyDescent="0.2">
      <c r="A39" s="47">
        <v>45401</v>
      </c>
      <c r="B39" s="48">
        <v>465.02</v>
      </c>
      <c r="C39" s="48">
        <v>61.52</v>
      </c>
      <c r="D39" s="48">
        <v>859.54</v>
      </c>
      <c r="E39" s="48">
        <v>120.47</v>
      </c>
      <c r="F39" s="48">
        <v>70.66</v>
      </c>
      <c r="G39" s="48">
        <v>62.82</v>
      </c>
      <c r="H39" s="48">
        <v>106.77</v>
      </c>
      <c r="I39" s="48">
        <v>76.2</v>
      </c>
      <c r="J39" s="48">
        <v>103.49</v>
      </c>
      <c r="K39" s="48">
        <v>20.47</v>
      </c>
      <c r="L39" s="48">
        <v>127.7</v>
      </c>
      <c r="M39" s="48">
        <v>75.010000000000005</v>
      </c>
      <c r="N39" s="48">
        <v>394.28</v>
      </c>
      <c r="O39" s="48">
        <v>88.06</v>
      </c>
      <c r="P39" s="48"/>
      <c r="Q39" s="48">
        <v>57.69</v>
      </c>
      <c r="R39" s="48">
        <v>50.84</v>
      </c>
      <c r="S39" s="48">
        <v>74.81</v>
      </c>
      <c r="T39" s="48">
        <v>30.93</v>
      </c>
      <c r="U39" s="48"/>
    </row>
    <row r="40" spans="1:21" ht="15" customHeight="1" x14ac:dyDescent="0.2">
      <c r="A40" s="47">
        <v>45408</v>
      </c>
      <c r="B40" s="48">
        <v>477.56</v>
      </c>
      <c r="C40" s="48">
        <v>66.180000000000007</v>
      </c>
      <c r="D40" s="48">
        <v>918.97</v>
      </c>
      <c r="E40" s="48">
        <v>134.41</v>
      </c>
      <c r="F40" s="48">
        <v>76.02</v>
      </c>
      <c r="G40" s="48">
        <v>70.63</v>
      </c>
      <c r="H40" s="48">
        <v>114.84</v>
      </c>
      <c r="I40" s="48">
        <v>87.74</v>
      </c>
      <c r="J40" s="48">
        <v>104.06</v>
      </c>
      <c r="K40" s="48">
        <v>22.52</v>
      </c>
      <c r="L40" s="48">
        <v>138.30000000000001</v>
      </c>
      <c r="M40" s="48">
        <v>93.49</v>
      </c>
      <c r="N40" s="48">
        <v>397.48</v>
      </c>
      <c r="O40" s="48">
        <v>90.24</v>
      </c>
      <c r="P40" s="48"/>
      <c r="Q40" s="48">
        <v>58.21</v>
      </c>
      <c r="R40" s="48">
        <v>52.66</v>
      </c>
      <c r="S40" s="48">
        <v>77.06</v>
      </c>
      <c r="T40" s="48">
        <v>31.32</v>
      </c>
      <c r="U40" s="48"/>
    </row>
    <row r="41" spans="1:21" ht="15" customHeight="1" x14ac:dyDescent="0.2">
      <c r="A41" s="47">
        <v>45415</v>
      </c>
      <c r="B41" s="48">
        <v>486.18</v>
      </c>
      <c r="C41" s="48">
        <v>68.599999999999994</v>
      </c>
      <c r="D41" s="48">
        <v>901.63</v>
      </c>
      <c r="E41" s="48">
        <v>127.81</v>
      </c>
      <c r="F41" s="48">
        <v>77.55</v>
      </c>
      <c r="G41" s="48">
        <v>69.66</v>
      </c>
      <c r="H41" s="48">
        <v>114.7</v>
      </c>
      <c r="I41" s="48">
        <v>88.79</v>
      </c>
      <c r="J41" s="48">
        <v>105.89</v>
      </c>
      <c r="K41" s="48">
        <v>23.33</v>
      </c>
      <c r="L41" s="48">
        <v>141.56</v>
      </c>
      <c r="M41" s="48">
        <v>93.01</v>
      </c>
      <c r="N41" s="48">
        <v>401.08</v>
      </c>
      <c r="O41" s="48">
        <v>90.86</v>
      </c>
      <c r="P41" s="48"/>
      <c r="Q41" s="48">
        <v>58.4</v>
      </c>
      <c r="R41" s="48">
        <v>52.75</v>
      </c>
      <c r="S41" s="48">
        <v>77.819999999999993</v>
      </c>
      <c r="T41" s="48">
        <v>30.83</v>
      </c>
      <c r="U41" s="48"/>
    </row>
    <row r="42" spans="1:21" ht="15" customHeight="1" x14ac:dyDescent="0.2">
      <c r="A42" s="47">
        <v>45422</v>
      </c>
      <c r="B42" s="48">
        <v>482.29</v>
      </c>
      <c r="C42" s="48">
        <v>78.510000000000005</v>
      </c>
      <c r="D42" s="48">
        <v>930.29</v>
      </c>
      <c r="E42" s="48">
        <v>133.28</v>
      </c>
      <c r="F42" s="48">
        <v>80.19</v>
      </c>
      <c r="G42" s="48">
        <v>71.83</v>
      </c>
      <c r="H42" s="48">
        <v>121.24</v>
      </c>
      <c r="I42" s="48">
        <v>89.88</v>
      </c>
      <c r="J42" s="48">
        <v>107.49</v>
      </c>
      <c r="K42" s="48">
        <v>20.6</v>
      </c>
      <c r="L42" s="48">
        <v>149.26</v>
      </c>
      <c r="M42" s="48">
        <v>95.4</v>
      </c>
      <c r="N42" s="48">
        <v>422.78</v>
      </c>
      <c r="O42" s="48">
        <v>92.43</v>
      </c>
      <c r="P42" s="48"/>
      <c r="Q42" s="48">
        <v>58.56</v>
      </c>
      <c r="R42" s="48">
        <v>53.48</v>
      </c>
      <c r="S42" s="48">
        <v>79.55</v>
      </c>
      <c r="T42" s="48">
        <v>31.51</v>
      </c>
      <c r="U42" s="48"/>
    </row>
    <row r="43" spans="1:21" ht="15" customHeight="1" x14ac:dyDescent="0.2">
      <c r="A43" s="47">
        <v>45429</v>
      </c>
      <c r="B43" s="48">
        <v>483.43</v>
      </c>
      <c r="C43" s="48">
        <v>79.97</v>
      </c>
      <c r="D43" s="48">
        <v>924.97</v>
      </c>
      <c r="E43" s="48">
        <v>139.53</v>
      </c>
      <c r="F43" s="48">
        <v>86.48</v>
      </c>
      <c r="G43" s="48">
        <v>74.77</v>
      </c>
      <c r="H43" s="48">
        <v>125.29</v>
      </c>
      <c r="I43" s="48">
        <v>92.48</v>
      </c>
      <c r="J43" s="48">
        <v>111.5</v>
      </c>
      <c r="K43" s="48">
        <v>21.76</v>
      </c>
      <c r="L43" s="48">
        <v>151.68</v>
      </c>
      <c r="M43" s="48">
        <v>96.81</v>
      </c>
      <c r="N43" s="48">
        <v>445.21</v>
      </c>
      <c r="O43" s="48">
        <v>93.45</v>
      </c>
      <c r="P43" s="48"/>
      <c r="Q43" s="48">
        <v>58.98</v>
      </c>
      <c r="R43" s="48">
        <v>54.12</v>
      </c>
      <c r="S43" s="48">
        <v>80.75</v>
      </c>
      <c r="T43" s="48">
        <v>31.8</v>
      </c>
      <c r="U43" s="48"/>
    </row>
    <row r="44" spans="1:21" ht="15" customHeight="1" x14ac:dyDescent="0.2">
      <c r="A44" s="47">
        <v>45436</v>
      </c>
      <c r="B44" s="48">
        <v>475.43</v>
      </c>
      <c r="C44" s="48">
        <v>76.64</v>
      </c>
      <c r="D44" s="48">
        <v>956.22</v>
      </c>
      <c r="E44" s="48">
        <v>140.78</v>
      </c>
      <c r="F44" s="48">
        <v>87.87</v>
      </c>
      <c r="G44" s="48">
        <v>77.91</v>
      </c>
      <c r="H44" s="48">
        <v>129.49</v>
      </c>
      <c r="I44" s="48">
        <v>106.47</v>
      </c>
      <c r="J44" s="48">
        <v>104.75</v>
      </c>
      <c r="K44" s="48">
        <v>21.01</v>
      </c>
      <c r="L44" s="48">
        <v>160</v>
      </c>
      <c r="M44" s="48">
        <v>106.17</v>
      </c>
      <c r="N44" s="48">
        <v>456.95</v>
      </c>
      <c r="O44" s="48">
        <v>92.06</v>
      </c>
      <c r="P44" s="48"/>
      <c r="Q44" s="48">
        <v>59.18</v>
      </c>
      <c r="R44" s="48">
        <v>54.38</v>
      </c>
      <c r="S44" s="48">
        <v>82.32</v>
      </c>
      <c r="T44" s="48">
        <v>31.26</v>
      </c>
      <c r="U44" s="48"/>
    </row>
    <row r="45" spans="1:21" ht="15" customHeight="1" x14ac:dyDescent="0.2">
      <c r="A45" s="47">
        <v>45443</v>
      </c>
      <c r="B45" s="48">
        <v>444.76</v>
      </c>
      <c r="C45" s="48">
        <v>74.41</v>
      </c>
      <c r="D45" s="48">
        <v>960.35</v>
      </c>
      <c r="E45" s="48">
        <v>132.85</v>
      </c>
      <c r="F45" s="48">
        <v>78.42</v>
      </c>
      <c r="G45" s="48">
        <v>75.95</v>
      </c>
      <c r="H45" s="48">
        <v>125</v>
      </c>
      <c r="I45" s="48">
        <v>109.63</v>
      </c>
      <c r="J45" s="48">
        <v>110.49</v>
      </c>
      <c r="K45" s="48">
        <v>21.68</v>
      </c>
      <c r="L45" s="48">
        <v>151.04</v>
      </c>
      <c r="M45" s="48">
        <v>98.07</v>
      </c>
      <c r="N45" s="48">
        <v>455.34</v>
      </c>
      <c r="O45" s="48">
        <v>93.05</v>
      </c>
      <c r="P45" s="48"/>
      <c r="Q45" s="48">
        <v>58.79</v>
      </c>
      <c r="R45" s="48">
        <v>54.19</v>
      </c>
      <c r="S45" s="48">
        <v>81.42</v>
      </c>
      <c r="T45" s="48">
        <v>31.62</v>
      </c>
      <c r="U45" s="48"/>
    </row>
    <row r="46" spans="1:21" ht="15" customHeight="1" x14ac:dyDescent="0.2">
      <c r="A46" s="47">
        <v>45450</v>
      </c>
      <c r="B46" s="48">
        <v>465.43</v>
      </c>
      <c r="C46" s="48">
        <v>74.2</v>
      </c>
      <c r="D46" s="48">
        <v>1028.42</v>
      </c>
      <c r="E46" s="48">
        <v>140.66</v>
      </c>
      <c r="F46" s="48">
        <v>87.28</v>
      </c>
      <c r="G46" s="48">
        <v>76.900000000000006</v>
      </c>
      <c r="H46" s="48">
        <v>130.94</v>
      </c>
      <c r="I46" s="48">
        <v>120.89</v>
      </c>
      <c r="J46" s="48">
        <v>110.2</v>
      </c>
      <c r="K46" s="48">
        <v>23.31</v>
      </c>
      <c r="L46" s="48">
        <v>164.39</v>
      </c>
      <c r="M46" s="48">
        <v>87.68</v>
      </c>
      <c r="N46" s="48">
        <v>483.04</v>
      </c>
      <c r="O46" s="48">
        <v>89.88</v>
      </c>
      <c r="P46" s="48"/>
      <c r="Q46" s="48">
        <v>58.54</v>
      </c>
      <c r="R46" s="48">
        <v>54.49</v>
      </c>
      <c r="S46" s="48">
        <v>83.89</v>
      </c>
      <c r="T46" s="48">
        <v>30.95</v>
      </c>
      <c r="U46" s="48"/>
    </row>
    <row r="47" spans="1:21" ht="15" customHeight="1" x14ac:dyDescent="0.2">
      <c r="A47" s="47">
        <v>45457</v>
      </c>
      <c r="B47" s="48">
        <v>525.30999999999995</v>
      </c>
      <c r="C47" s="48">
        <v>82.13</v>
      </c>
      <c r="D47" s="48">
        <v>1027.9000000000001</v>
      </c>
      <c r="E47" s="48">
        <v>173.5</v>
      </c>
      <c r="F47" s="48">
        <v>96.36</v>
      </c>
      <c r="G47" s="48">
        <v>82.48</v>
      </c>
      <c r="H47" s="48">
        <v>141.36000000000001</v>
      </c>
      <c r="I47" s="48">
        <v>131.88</v>
      </c>
      <c r="J47" s="48">
        <v>112.29</v>
      </c>
      <c r="K47" s="48">
        <v>23.57</v>
      </c>
      <c r="L47" s="48">
        <v>172.51</v>
      </c>
      <c r="M47" s="48">
        <v>91.48</v>
      </c>
      <c r="N47" s="48">
        <v>480.73</v>
      </c>
      <c r="O47" s="48">
        <v>87.73</v>
      </c>
      <c r="P47" s="48"/>
      <c r="Q47" s="48">
        <v>57.91</v>
      </c>
      <c r="R47" s="48">
        <v>55.18</v>
      </c>
      <c r="S47" s="48">
        <v>87.43</v>
      </c>
      <c r="T47" s="48">
        <v>30.82</v>
      </c>
      <c r="U47" s="48"/>
    </row>
    <row r="48" spans="1:21" ht="15" customHeight="1" x14ac:dyDescent="0.2">
      <c r="A48" s="47">
        <v>45464</v>
      </c>
      <c r="B48" s="48">
        <v>533.44000000000005</v>
      </c>
      <c r="C48" s="48">
        <v>84.34</v>
      </c>
      <c r="D48" s="48">
        <v>1036.5999999999999</v>
      </c>
      <c r="E48" s="48">
        <v>165.86</v>
      </c>
      <c r="F48" s="48">
        <v>95.16</v>
      </c>
      <c r="G48" s="48">
        <v>81.66</v>
      </c>
      <c r="H48" s="48">
        <v>139.54</v>
      </c>
      <c r="I48" s="48">
        <v>126.57</v>
      </c>
      <c r="J48" s="48">
        <v>109.4</v>
      </c>
      <c r="K48" s="48">
        <v>23.84</v>
      </c>
      <c r="L48" s="48">
        <v>173.96</v>
      </c>
      <c r="M48" s="48">
        <v>90.62</v>
      </c>
      <c r="N48" s="48">
        <v>468.71</v>
      </c>
      <c r="O48" s="48">
        <v>88.68</v>
      </c>
      <c r="P48" s="48"/>
      <c r="Q48" s="48">
        <v>57.95</v>
      </c>
      <c r="R48" s="48">
        <v>55.24</v>
      </c>
      <c r="S48" s="48">
        <v>87.36</v>
      </c>
      <c r="T48" s="48">
        <v>31.12</v>
      </c>
      <c r="U48" s="48"/>
    </row>
    <row r="49" spans="1:21" ht="15" customHeight="1" x14ac:dyDescent="0.2">
      <c r="A49" s="47">
        <v>45471</v>
      </c>
      <c r="B49" s="48">
        <v>555.54</v>
      </c>
      <c r="C49" s="48">
        <v>87.62</v>
      </c>
      <c r="D49" s="48">
        <v>1022.73</v>
      </c>
      <c r="E49" s="48">
        <v>160.55000000000001</v>
      </c>
      <c r="F49" s="48">
        <v>95.8</v>
      </c>
      <c r="G49" s="48">
        <v>82.45</v>
      </c>
      <c r="H49" s="48">
        <v>131.53</v>
      </c>
      <c r="I49" s="48">
        <v>123.54</v>
      </c>
      <c r="J49" s="48">
        <v>112.31</v>
      </c>
      <c r="K49" s="48">
        <v>25.33</v>
      </c>
      <c r="L49" s="48">
        <v>173.81</v>
      </c>
      <c r="M49" s="48">
        <v>86.57</v>
      </c>
      <c r="N49" s="48">
        <v>468.72</v>
      </c>
      <c r="O49" s="48">
        <v>89.72</v>
      </c>
      <c r="P49" s="48"/>
      <c r="Q49" s="48">
        <v>59.47</v>
      </c>
      <c r="R49" s="48">
        <v>55.5</v>
      </c>
      <c r="S49" s="48">
        <v>87.46</v>
      </c>
      <c r="T49" s="48">
        <v>30.92</v>
      </c>
      <c r="U49" s="48"/>
    </row>
    <row r="50" spans="1:21" ht="15" customHeight="1" x14ac:dyDescent="0.2">
      <c r="A50" s="47">
        <v>45478</v>
      </c>
      <c r="B50" s="48">
        <v>578.34</v>
      </c>
      <c r="C50" s="48">
        <v>91.54</v>
      </c>
      <c r="D50" s="48">
        <v>1074.48</v>
      </c>
      <c r="E50" s="48">
        <v>170.33</v>
      </c>
      <c r="F50" s="48">
        <v>97.42</v>
      </c>
      <c r="G50" s="48">
        <v>85.52</v>
      </c>
      <c r="H50" s="48">
        <v>131.6</v>
      </c>
      <c r="I50" s="48">
        <v>125.83</v>
      </c>
      <c r="J50" s="48">
        <v>114.46</v>
      </c>
      <c r="K50" s="48">
        <v>27.23</v>
      </c>
      <c r="L50" s="48">
        <v>183.99</v>
      </c>
      <c r="M50" s="48">
        <v>91.78</v>
      </c>
      <c r="N50" s="48">
        <v>474.57</v>
      </c>
      <c r="O50" s="48">
        <v>88.24</v>
      </c>
      <c r="P50" s="48"/>
      <c r="Q50" s="48">
        <v>59.99</v>
      </c>
      <c r="R50" s="48">
        <v>55.88</v>
      </c>
      <c r="S50" s="48">
        <v>90.17</v>
      </c>
      <c r="T50" s="48">
        <v>30.3</v>
      </c>
      <c r="U50" s="48"/>
    </row>
    <row r="51" spans="1:21" ht="15" customHeight="1" x14ac:dyDescent="0.2">
      <c r="A51" s="47">
        <v>45485</v>
      </c>
      <c r="B51" s="48">
        <v>559.04999999999995</v>
      </c>
      <c r="C51" s="48">
        <v>90.48</v>
      </c>
      <c r="D51" s="48">
        <v>1085.26</v>
      </c>
      <c r="E51" s="48">
        <v>170.07</v>
      </c>
      <c r="F51" s="48">
        <v>92.83</v>
      </c>
      <c r="G51" s="48">
        <v>85.77</v>
      </c>
      <c r="H51" s="48">
        <v>133.55000000000001</v>
      </c>
      <c r="I51" s="48">
        <v>129.24</v>
      </c>
      <c r="J51" s="48">
        <v>120.15</v>
      </c>
      <c r="K51" s="48">
        <v>28.07</v>
      </c>
      <c r="L51" s="48">
        <v>187.35</v>
      </c>
      <c r="M51" s="48">
        <v>89.67</v>
      </c>
      <c r="N51" s="48">
        <v>488.74</v>
      </c>
      <c r="O51" s="48">
        <v>93.16</v>
      </c>
      <c r="P51" s="48"/>
      <c r="Q51" s="48">
        <v>60.21</v>
      </c>
      <c r="R51" s="48">
        <v>55.84</v>
      </c>
      <c r="S51" s="48">
        <v>89.99</v>
      </c>
      <c r="T51" s="48">
        <v>31.46</v>
      </c>
      <c r="U51" s="48"/>
    </row>
    <row r="52" spans="1:21" ht="15" customHeight="1" x14ac:dyDescent="0.2">
      <c r="A52" s="47">
        <v>45492</v>
      </c>
      <c r="B52" s="48">
        <v>551</v>
      </c>
      <c r="C52" s="48">
        <v>82.64</v>
      </c>
      <c r="D52" s="48">
        <v>895.37</v>
      </c>
      <c r="E52" s="48">
        <v>157.35</v>
      </c>
      <c r="F52" s="48">
        <v>76.239999999999995</v>
      </c>
      <c r="G52" s="48">
        <v>76.260000000000005</v>
      </c>
      <c r="H52" s="48">
        <v>114.26</v>
      </c>
      <c r="I52" s="48">
        <v>117.93</v>
      </c>
      <c r="J52" s="48">
        <v>123.75</v>
      </c>
      <c r="K52" s="48">
        <v>28.58</v>
      </c>
      <c r="L52" s="48">
        <v>165.77</v>
      </c>
      <c r="M52" s="48">
        <v>85.31</v>
      </c>
      <c r="N52" s="48">
        <v>491.57</v>
      </c>
      <c r="O52" s="48">
        <v>95.62</v>
      </c>
      <c r="P52" s="48"/>
      <c r="Q52" s="48">
        <v>58.58</v>
      </c>
      <c r="R52" s="48">
        <v>54.19</v>
      </c>
      <c r="S52" s="48">
        <v>86.35</v>
      </c>
      <c r="T52" s="48">
        <v>31.94</v>
      </c>
      <c r="U52" s="48"/>
    </row>
    <row r="53" spans="1:21" ht="15" customHeight="1" x14ac:dyDescent="0.2">
      <c r="A53" s="47">
        <v>45499</v>
      </c>
      <c r="B53" s="48">
        <v>542.44000000000005</v>
      </c>
      <c r="C53" s="48">
        <v>79.8</v>
      </c>
      <c r="D53" s="48">
        <v>888.39</v>
      </c>
      <c r="E53" s="48">
        <v>151.63</v>
      </c>
      <c r="F53" s="48">
        <v>64.040000000000006</v>
      </c>
      <c r="G53" s="48">
        <v>78.739999999999995</v>
      </c>
      <c r="H53" s="48">
        <v>109.41</v>
      </c>
      <c r="I53" s="48">
        <v>113.06</v>
      </c>
      <c r="J53" s="48">
        <v>122.68</v>
      </c>
      <c r="K53" s="48">
        <v>27.18</v>
      </c>
      <c r="L53" s="48">
        <v>161.94</v>
      </c>
      <c r="M53" s="48">
        <v>77.12</v>
      </c>
      <c r="N53" s="48">
        <v>495.26</v>
      </c>
      <c r="O53" s="48">
        <v>99.09</v>
      </c>
      <c r="P53" s="48"/>
      <c r="Q53" s="48">
        <v>60.1</v>
      </c>
      <c r="R53" s="48">
        <v>52.96</v>
      </c>
      <c r="S53" s="48">
        <v>84.72</v>
      </c>
      <c r="T53" s="48">
        <v>32.51</v>
      </c>
      <c r="U53" s="48"/>
    </row>
    <row r="54" spans="1:21" ht="15" customHeight="1" x14ac:dyDescent="0.2">
      <c r="A54" s="47">
        <v>45506</v>
      </c>
      <c r="B54" s="48">
        <v>526.16999999999996</v>
      </c>
      <c r="C54" s="48">
        <v>79.83</v>
      </c>
      <c r="D54" s="48">
        <v>809.35</v>
      </c>
      <c r="E54" s="48">
        <v>143.82</v>
      </c>
      <c r="F54" s="48">
        <v>54.47</v>
      </c>
      <c r="G54" s="48">
        <v>69.62</v>
      </c>
      <c r="H54" s="48">
        <v>92.7</v>
      </c>
      <c r="I54" s="48">
        <v>107.27</v>
      </c>
      <c r="J54" s="48">
        <v>123.98</v>
      </c>
      <c r="K54" s="48">
        <v>24.74</v>
      </c>
      <c r="L54" s="48">
        <v>149.86000000000001</v>
      </c>
      <c r="M54" s="48">
        <v>69.459999999999994</v>
      </c>
      <c r="N54" s="48">
        <v>494.46</v>
      </c>
      <c r="O54" s="48">
        <v>92.01</v>
      </c>
      <c r="P54" s="48"/>
      <c r="Q54" s="48">
        <v>60.6</v>
      </c>
      <c r="R54" s="48">
        <v>51.14</v>
      </c>
      <c r="S54" s="48">
        <v>82.2</v>
      </c>
      <c r="T54" s="48">
        <v>31.58</v>
      </c>
      <c r="U54" s="48"/>
    </row>
    <row r="55" spans="1:21" ht="15" customHeight="1" x14ac:dyDescent="0.2">
      <c r="A55" s="47">
        <v>45513</v>
      </c>
      <c r="B55" s="48">
        <v>536.29999999999995</v>
      </c>
      <c r="C55" s="48">
        <v>83.95</v>
      </c>
      <c r="D55" s="48">
        <v>860.55</v>
      </c>
      <c r="E55" s="48">
        <v>148.26</v>
      </c>
      <c r="F55" s="48">
        <v>60.23</v>
      </c>
      <c r="G55" s="48">
        <v>74.680000000000007</v>
      </c>
      <c r="H55" s="48">
        <v>93.08</v>
      </c>
      <c r="I55" s="48">
        <v>104.75</v>
      </c>
      <c r="J55" s="48">
        <v>121.9</v>
      </c>
      <c r="K55" s="48">
        <v>30.01</v>
      </c>
      <c r="L55" s="48">
        <v>167.12</v>
      </c>
      <c r="M55" s="48">
        <v>71.459999999999994</v>
      </c>
      <c r="N55" s="48">
        <v>468.45</v>
      </c>
      <c r="O55" s="48">
        <v>90.39</v>
      </c>
      <c r="P55" s="48"/>
      <c r="Q55" s="48">
        <v>60.94</v>
      </c>
      <c r="R55" s="48">
        <v>51.29</v>
      </c>
      <c r="S55" s="48">
        <v>83.62</v>
      </c>
      <c r="T55" s="48">
        <v>31.53</v>
      </c>
      <c r="U55" s="48"/>
    </row>
    <row r="56" spans="1:21" ht="15" customHeight="1" x14ac:dyDescent="0.2">
      <c r="A56" s="47">
        <v>45520</v>
      </c>
      <c r="B56" s="48">
        <v>553.46</v>
      </c>
      <c r="C56" s="48">
        <v>88.47</v>
      </c>
      <c r="D56" s="48">
        <v>918.66</v>
      </c>
      <c r="E56" s="48">
        <v>165.72</v>
      </c>
      <c r="F56" s="48">
        <v>65.64</v>
      </c>
      <c r="G56" s="48">
        <v>81.96</v>
      </c>
      <c r="H56" s="48">
        <v>107.99</v>
      </c>
      <c r="I56" s="48">
        <v>124.58</v>
      </c>
      <c r="J56" s="48">
        <v>122.85</v>
      </c>
      <c r="K56" s="48">
        <v>32.08</v>
      </c>
      <c r="L56" s="48">
        <v>174.54</v>
      </c>
      <c r="M56" s="48">
        <v>79.42</v>
      </c>
      <c r="N56" s="48">
        <v>477.37</v>
      </c>
      <c r="O56" s="48">
        <v>92.97</v>
      </c>
      <c r="P56" s="48"/>
      <c r="Q56" s="48">
        <v>61.02</v>
      </c>
      <c r="R56" s="48">
        <v>53.45</v>
      </c>
      <c r="S56" s="48">
        <v>88.39</v>
      </c>
      <c r="T56" s="48">
        <v>32.04</v>
      </c>
      <c r="U56" s="48"/>
    </row>
    <row r="57" spans="1:21" ht="15" customHeight="1" x14ac:dyDescent="0.2">
      <c r="A57" s="47">
        <v>45527</v>
      </c>
      <c r="B57" s="48">
        <v>558.29999999999995</v>
      </c>
      <c r="C57" s="48">
        <v>88.78</v>
      </c>
      <c r="D57" s="48">
        <v>907.26</v>
      </c>
      <c r="E57" s="48">
        <v>166.36</v>
      </c>
      <c r="F57" s="48">
        <v>67.89</v>
      </c>
      <c r="G57" s="48">
        <v>81.78</v>
      </c>
      <c r="H57" s="48">
        <v>102.85</v>
      </c>
      <c r="I57" s="48">
        <v>129.37</v>
      </c>
      <c r="J57" s="48">
        <v>128.86000000000001</v>
      </c>
      <c r="K57" s="48">
        <v>31.78</v>
      </c>
      <c r="L57" s="48">
        <v>171.28</v>
      </c>
      <c r="M57" s="48">
        <v>78.55</v>
      </c>
      <c r="N57" s="48">
        <v>481.24</v>
      </c>
      <c r="O57" s="48">
        <v>95.86</v>
      </c>
      <c r="P57" s="48"/>
      <c r="Q57" s="48">
        <v>61.51</v>
      </c>
      <c r="R57" s="48">
        <v>53.9</v>
      </c>
      <c r="S57" s="48">
        <v>89.61</v>
      </c>
      <c r="T57" s="48">
        <v>33.090000000000003</v>
      </c>
      <c r="U57" s="48"/>
    </row>
    <row r="58" spans="1:21" ht="15" customHeight="1" x14ac:dyDescent="0.2">
      <c r="A58" s="47">
        <v>45534</v>
      </c>
      <c r="B58" s="48">
        <v>574.41</v>
      </c>
      <c r="C58" s="48">
        <v>88.35</v>
      </c>
      <c r="D58" s="48">
        <v>903.87</v>
      </c>
      <c r="E58" s="48">
        <v>162.82</v>
      </c>
      <c r="F58" s="48">
        <v>69.319999999999993</v>
      </c>
      <c r="G58" s="48">
        <v>81.94</v>
      </c>
      <c r="H58" s="48">
        <v>96.24</v>
      </c>
      <c r="I58" s="48">
        <v>119.37</v>
      </c>
      <c r="J58" s="48">
        <v>127.82</v>
      </c>
      <c r="K58" s="48">
        <v>31.48</v>
      </c>
      <c r="L58" s="48">
        <v>171.7</v>
      </c>
      <c r="M58" s="48">
        <v>83.03</v>
      </c>
      <c r="N58" s="48">
        <v>495.89</v>
      </c>
      <c r="O58" s="48">
        <v>95.91</v>
      </c>
      <c r="P58" s="48"/>
      <c r="Q58" s="48">
        <v>62.02</v>
      </c>
      <c r="R58" s="48">
        <v>54.08</v>
      </c>
      <c r="S58" s="48">
        <v>89.25</v>
      </c>
      <c r="T58" s="48">
        <v>33.200000000000003</v>
      </c>
      <c r="U58" s="48"/>
    </row>
    <row r="59" spans="1:21" ht="15" customHeight="1" x14ac:dyDescent="0.2">
      <c r="A59" s="47">
        <v>45541</v>
      </c>
      <c r="B59" s="48">
        <v>563.41</v>
      </c>
      <c r="C59" s="48">
        <v>78.58</v>
      </c>
      <c r="D59" s="48">
        <v>752.79</v>
      </c>
      <c r="E59" s="48">
        <v>137</v>
      </c>
      <c r="F59" s="48">
        <v>61.6</v>
      </c>
      <c r="G59" s="48">
        <v>70.28</v>
      </c>
      <c r="H59" s="48">
        <v>86.38</v>
      </c>
      <c r="I59" s="48">
        <v>102.83</v>
      </c>
      <c r="J59" s="48">
        <v>127.23</v>
      </c>
      <c r="K59" s="48">
        <v>30.33</v>
      </c>
      <c r="L59" s="48">
        <v>156.82</v>
      </c>
      <c r="M59" s="48">
        <v>71.77</v>
      </c>
      <c r="N59" s="48">
        <v>468</v>
      </c>
      <c r="O59" s="48">
        <v>90.48</v>
      </c>
      <c r="P59" s="48"/>
      <c r="Q59" s="48">
        <v>61.85</v>
      </c>
      <c r="R59" s="48">
        <v>51.36</v>
      </c>
      <c r="S59" s="48">
        <v>83.92</v>
      </c>
      <c r="T59" s="48">
        <v>31.83</v>
      </c>
      <c r="U59" s="48"/>
    </row>
    <row r="60" spans="1:21" ht="15" customHeight="1" x14ac:dyDescent="0.2">
      <c r="A60" s="47">
        <v>45548</v>
      </c>
      <c r="B60" s="48">
        <v>536.87</v>
      </c>
      <c r="C60" s="48">
        <v>89.94</v>
      </c>
      <c r="D60" s="48">
        <v>816.36</v>
      </c>
      <c r="E60" s="48">
        <v>167.69</v>
      </c>
      <c r="F60" s="48">
        <v>64.78</v>
      </c>
      <c r="G60" s="48">
        <v>75.150000000000006</v>
      </c>
      <c r="H60" s="48">
        <v>91.22</v>
      </c>
      <c r="I60" s="48">
        <v>119.1</v>
      </c>
      <c r="J60" s="48">
        <v>129.97999999999999</v>
      </c>
      <c r="K60" s="48">
        <v>35.590000000000003</v>
      </c>
      <c r="L60" s="48">
        <v>172.5</v>
      </c>
      <c r="M60" s="48">
        <v>85.76</v>
      </c>
      <c r="N60" s="48">
        <v>485.37</v>
      </c>
      <c r="O60" s="48">
        <v>93.09</v>
      </c>
      <c r="P60" s="48"/>
      <c r="Q60" s="48">
        <v>61.3</v>
      </c>
      <c r="R60" s="48">
        <v>53.75</v>
      </c>
      <c r="S60" s="48">
        <v>89.08</v>
      </c>
      <c r="T60" s="48">
        <v>32.58</v>
      </c>
      <c r="U60" s="48"/>
    </row>
    <row r="61" spans="1:21" ht="15" customHeight="1" x14ac:dyDescent="0.2">
      <c r="A61" s="47">
        <v>45555</v>
      </c>
      <c r="B61" s="48">
        <v>522.29999999999995</v>
      </c>
      <c r="C61" s="48">
        <v>96.12</v>
      </c>
      <c r="D61" s="48">
        <v>795.28</v>
      </c>
      <c r="E61" s="48">
        <v>171.1</v>
      </c>
      <c r="F61" s="48">
        <v>74.959999999999994</v>
      </c>
      <c r="G61" s="48">
        <v>75.89</v>
      </c>
      <c r="H61" s="48">
        <v>90.9</v>
      </c>
      <c r="I61" s="48">
        <v>116</v>
      </c>
      <c r="J61" s="48">
        <v>125.47</v>
      </c>
      <c r="K61" s="48">
        <v>37.200000000000003</v>
      </c>
      <c r="L61" s="48">
        <v>174.08</v>
      </c>
      <c r="M61" s="48">
        <v>94.54</v>
      </c>
      <c r="N61" s="48">
        <v>464.92</v>
      </c>
      <c r="O61" s="48">
        <v>95.9</v>
      </c>
      <c r="P61" s="48"/>
      <c r="Q61" s="48">
        <v>62.79</v>
      </c>
      <c r="R61" s="48">
        <v>54.41</v>
      </c>
      <c r="S61" s="48">
        <v>90.53</v>
      </c>
      <c r="T61" s="48">
        <v>33.14</v>
      </c>
      <c r="U61" s="48"/>
    </row>
    <row r="62" spans="1:21" ht="15" customHeight="1" x14ac:dyDescent="0.2">
      <c r="A62" s="47">
        <v>45562</v>
      </c>
      <c r="B62" s="48">
        <v>515.48</v>
      </c>
      <c r="C62" s="48">
        <v>95.07</v>
      </c>
      <c r="D62" s="48">
        <v>841.54</v>
      </c>
      <c r="E62" s="48">
        <v>172.69</v>
      </c>
      <c r="F62" s="48">
        <v>71.47</v>
      </c>
      <c r="G62" s="48">
        <v>78.239999999999995</v>
      </c>
      <c r="H62" s="48">
        <v>107.5</v>
      </c>
      <c r="I62" s="48">
        <v>121.4</v>
      </c>
      <c r="J62" s="48">
        <v>125.59</v>
      </c>
      <c r="K62" s="48">
        <v>36.840000000000003</v>
      </c>
      <c r="L62" s="48">
        <v>177.97</v>
      </c>
      <c r="M62" s="48">
        <v>98.41</v>
      </c>
      <c r="N62" s="48">
        <v>462.88</v>
      </c>
      <c r="O62" s="48">
        <v>95.56</v>
      </c>
      <c r="P62" s="48"/>
      <c r="Q62" s="48">
        <v>62.19</v>
      </c>
      <c r="R62" s="48">
        <v>54.8</v>
      </c>
      <c r="S62" s="48">
        <v>90.34</v>
      </c>
      <c r="T62" s="48">
        <v>33.21</v>
      </c>
      <c r="U62" s="48"/>
    </row>
    <row r="63" spans="1:21" ht="15" customHeight="1" x14ac:dyDescent="0.2">
      <c r="A63" s="47">
        <v>45569</v>
      </c>
      <c r="B63" s="48">
        <v>507.22</v>
      </c>
      <c r="C63" s="48">
        <v>98.99</v>
      </c>
      <c r="D63" s="48">
        <v>833</v>
      </c>
      <c r="E63" s="48">
        <v>176.64</v>
      </c>
      <c r="F63" s="48">
        <v>73.06</v>
      </c>
      <c r="G63" s="48">
        <v>78.739999999999995</v>
      </c>
      <c r="H63" s="48">
        <v>102.25</v>
      </c>
      <c r="I63" s="48">
        <v>124.92</v>
      </c>
      <c r="J63" s="48">
        <v>122.42</v>
      </c>
      <c r="K63" s="48">
        <v>40.01</v>
      </c>
      <c r="L63" s="48">
        <v>181.16</v>
      </c>
      <c r="M63" s="48">
        <v>105.2</v>
      </c>
      <c r="N63" s="48">
        <v>455.31</v>
      </c>
      <c r="O63" s="48">
        <v>95.83</v>
      </c>
      <c r="P63" s="48"/>
      <c r="Q63" s="48">
        <v>62.66</v>
      </c>
      <c r="R63" s="48">
        <v>54.37</v>
      </c>
      <c r="S63" s="48">
        <v>91.69</v>
      </c>
      <c r="T63" s="48">
        <v>33.83</v>
      </c>
      <c r="U63" s="48"/>
    </row>
    <row r="64" spans="1:21" ht="15" customHeight="1" x14ac:dyDescent="0.2">
      <c r="A64" s="47">
        <v>45576</v>
      </c>
      <c r="B64" s="48">
        <v>495.42</v>
      </c>
      <c r="C64" s="48">
        <v>104.23</v>
      </c>
      <c r="D64" s="48">
        <v>840.69</v>
      </c>
      <c r="E64" s="48">
        <v>181.48</v>
      </c>
      <c r="F64" s="48">
        <v>80.05</v>
      </c>
      <c r="G64" s="48">
        <v>80.37</v>
      </c>
      <c r="H64" s="48">
        <v>106.92</v>
      </c>
      <c r="I64" s="48">
        <v>134.80000000000001</v>
      </c>
      <c r="J64" s="48">
        <v>120.24</v>
      </c>
      <c r="K64" s="48">
        <v>43.51</v>
      </c>
      <c r="L64" s="48">
        <v>190.81</v>
      </c>
      <c r="M64" s="48">
        <v>111.84</v>
      </c>
      <c r="N64" s="48">
        <v>481.71</v>
      </c>
      <c r="O64" s="48">
        <v>96.97</v>
      </c>
      <c r="P64" s="48"/>
      <c r="Q64" s="48">
        <v>63.04</v>
      </c>
      <c r="R64" s="48">
        <v>54.86</v>
      </c>
      <c r="S64" s="48">
        <v>93.67</v>
      </c>
      <c r="T64" s="48">
        <v>33.950000000000003</v>
      </c>
      <c r="U64" s="48"/>
    </row>
    <row r="65" spans="1:21" ht="15" customHeight="1" x14ac:dyDescent="0.2">
      <c r="A65" s="47">
        <v>45583</v>
      </c>
      <c r="B65" s="48">
        <v>494.9</v>
      </c>
      <c r="C65" s="48">
        <v>100.5</v>
      </c>
      <c r="D65" s="48">
        <v>723.26</v>
      </c>
      <c r="E65" s="48">
        <v>179.89</v>
      </c>
      <c r="F65" s="48">
        <v>77.540000000000006</v>
      </c>
      <c r="G65" s="48">
        <v>67.849999999999994</v>
      </c>
      <c r="H65" s="48">
        <v>111.15</v>
      </c>
      <c r="I65" s="48">
        <v>138</v>
      </c>
      <c r="J65" s="48">
        <v>122.5</v>
      </c>
      <c r="K65" s="48">
        <v>42.97</v>
      </c>
      <c r="L65" s="48">
        <v>200.78</v>
      </c>
      <c r="M65" s="48">
        <v>112.25</v>
      </c>
      <c r="N65" s="48">
        <v>483</v>
      </c>
      <c r="O65" s="48">
        <v>98.19</v>
      </c>
      <c r="P65" s="48"/>
      <c r="Q65" s="48">
        <v>63.28</v>
      </c>
      <c r="R65" s="48">
        <v>55.27</v>
      </c>
      <c r="S65" s="48">
        <v>94.07</v>
      </c>
      <c r="T65" s="48">
        <v>33.79</v>
      </c>
      <c r="U65" s="48"/>
    </row>
    <row r="66" spans="1:21" ht="15" customHeight="1" x14ac:dyDescent="0.2">
      <c r="A66" s="47">
        <v>45590</v>
      </c>
      <c r="B66" s="48">
        <v>483.72</v>
      </c>
      <c r="C66" s="48">
        <v>98.52</v>
      </c>
      <c r="D66" s="48">
        <v>711.7</v>
      </c>
      <c r="E66" s="48">
        <v>173</v>
      </c>
      <c r="F66" s="48">
        <v>75.16</v>
      </c>
      <c r="G66" s="48">
        <v>67.31</v>
      </c>
      <c r="H66" s="48">
        <v>107.91</v>
      </c>
      <c r="I66" s="48">
        <v>141.54</v>
      </c>
      <c r="J66" s="48">
        <v>117.54</v>
      </c>
      <c r="K66" s="48">
        <v>44.86</v>
      </c>
      <c r="L66" s="48">
        <v>203.44</v>
      </c>
      <c r="M66" s="48">
        <v>112.17</v>
      </c>
      <c r="N66" s="48">
        <v>477.7</v>
      </c>
      <c r="O66" s="48">
        <v>94.92</v>
      </c>
      <c r="P66" s="48"/>
      <c r="Q66" s="48">
        <v>63.17</v>
      </c>
      <c r="R66" s="48">
        <v>55.4</v>
      </c>
      <c r="S66" s="48">
        <v>92.69</v>
      </c>
      <c r="T66" s="48">
        <v>33.14</v>
      </c>
      <c r="U66" s="48"/>
    </row>
    <row r="67" spans="1:21" ht="15" customHeight="1" x14ac:dyDescent="0.2">
      <c r="A67" s="47">
        <v>45597</v>
      </c>
      <c r="B67" s="48">
        <v>482.8</v>
      </c>
      <c r="C67" s="48">
        <v>98.54</v>
      </c>
      <c r="D67" s="48">
        <v>674.73</v>
      </c>
      <c r="E67" s="48">
        <v>168.92</v>
      </c>
      <c r="F67" s="48">
        <v>75.78</v>
      </c>
      <c r="G67" s="48">
        <v>66.94</v>
      </c>
      <c r="H67" s="48">
        <v>99.73</v>
      </c>
      <c r="I67" s="48">
        <v>135.4</v>
      </c>
      <c r="J67" s="48">
        <v>113.4</v>
      </c>
      <c r="K67" s="48">
        <v>41.92</v>
      </c>
      <c r="L67" s="48">
        <v>192.95</v>
      </c>
      <c r="M67" s="48">
        <v>106.9</v>
      </c>
      <c r="N67" s="48">
        <v>471.12</v>
      </c>
      <c r="O67" s="48">
        <v>94.69</v>
      </c>
      <c r="P67" s="48"/>
      <c r="Q67" s="48">
        <v>62.39</v>
      </c>
      <c r="R67" s="48">
        <v>54.44</v>
      </c>
      <c r="S67" s="48">
        <v>91.42</v>
      </c>
      <c r="T67" s="48">
        <v>33.159999999999997</v>
      </c>
      <c r="U67" s="48"/>
    </row>
    <row r="68" spans="1:21" ht="15" customHeight="1" x14ac:dyDescent="0.2">
      <c r="A68" s="47">
        <v>45604</v>
      </c>
      <c r="B68" s="48">
        <v>494.68</v>
      </c>
      <c r="C68" s="48">
        <v>100.11</v>
      </c>
      <c r="D68" s="48">
        <v>669.47</v>
      </c>
      <c r="E68" s="48">
        <v>183.64</v>
      </c>
      <c r="F68" s="48">
        <v>82.51</v>
      </c>
      <c r="G68" s="48">
        <v>68.739999999999995</v>
      </c>
      <c r="H68" s="48">
        <v>111.9</v>
      </c>
      <c r="I68" s="48">
        <v>147.63</v>
      </c>
      <c r="J68" s="48">
        <v>115.83</v>
      </c>
      <c r="K68" s="48">
        <v>58.39</v>
      </c>
      <c r="L68" s="48">
        <v>201.2</v>
      </c>
      <c r="M68" s="48">
        <v>125.75</v>
      </c>
      <c r="N68" s="48">
        <v>516.74</v>
      </c>
      <c r="O68" s="48">
        <v>103.08</v>
      </c>
      <c r="P68" s="48"/>
      <c r="Q68" s="48">
        <v>62.65</v>
      </c>
      <c r="R68" s="48">
        <v>56.54</v>
      </c>
      <c r="S68" s="48">
        <v>96.89</v>
      </c>
      <c r="T68" s="48">
        <v>35.729999999999997</v>
      </c>
      <c r="U68" s="48"/>
    </row>
    <row r="69" spans="1:21" ht="15" customHeight="1" x14ac:dyDescent="0.2">
      <c r="A69" s="47">
        <v>45611</v>
      </c>
      <c r="B69" s="48">
        <v>503.37</v>
      </c>
      <c r="C69" s="48">
        <v>93.6</v>
      </c>
      <c r="D69" s="48">
        <v>658.63</v>
      </c>
      <c r="E69" s="48">
        <v>164.84</v>
      </c>
      <c r="F69" s="48">
        <v>84.19</v>
      </c>
      <c r="G69" s="48">
        <v>61.45</v>
      </c>
      <c r="H69" s="48">
        <v>96.34</v>
      </c>
      <c r="I69" s="48">
        <v>141.97999999999999</v>
      </c>
      <c r="J69" s="48">
        <v>113.42</v>
      </c>
      <c r="K69" s="48">
        <v>65.77</v>
      </c>
      <c r="L69" s="48">
        <v>186.01</v>
      </c>
      <c r="M69" s="48">
        <v>120.87</v>
      </c>
      <c r="N69" s="48">
        <v>465.7</v>
      </c>
      <c r="O69" s="48">
        <v>101.08</v>
      </c>
      <c r="P69" s="48"/>
      <c r="Q69" s="48">
        <v>62.4</v>
      </c>
      <c r="R69" s="48">
        <v>55.61</v>
      </c>
      <c r="S69" s="48">
        <v>93.9</v>
      </c>
      <c r="T69" s="48">
        <v>35.18</v>
      </c>
      <c r="U69" s="48"/>
    </row>
    <row r="70" spans="1:21" ht="15" customHeight="1" x14ac:dyDescent="0.2">
      <c r="A70" s="47">
        <v>45618</v>
      </c>
      <c r="B70" s="48">
        <v>512.15</v>
      </c>
      <c r="C70" s="48">
        <v>101.62</v>
      </c>
      <c r="D70" s="48">
        <v>672.88</v>
      </c>
      <c r="E70" s="48">
        <v>164.23</v>
      </c>
      <c r="F70" s="48">
        <v>93.07</v>
      </c>
      <c r="G70" s="48">
        <v>63.96</v>
      </c>
      <c r="H70" s="48">
        <v>102.64</v>
      </c>
      <c r="I70" s="48">
        <v>141.94999999999999</v>
      </c>
      <c r="J70" s="48">
        <v>115.8</v>
      </c>
      <c r="K70" s="48">
        <v>64.349999999999994</v>
      </c>
      <c r="L70" s="48">
        <v>190.08</v>
      </c>
      <c r="M70" s="48">
        <v>140.15</v>
      </c>
      <c r="N70" s="48">
        <v>450.97</v>
      </c>
      <c r="O70" s="48">
        <v>104.78</v>
      </c>
      <c r="P70" s="48"/>
      <c r="Q70" s="48">
        <v>61.64</v>
      </c>
      <c r="R70" s="48">
        <v>56.57</v>
      </c>
      <c r="S70" s="48">
        <v>95.58</v>
      </c>
      <c r="T70" s="48">
        <v>36.54</v>
      </c>
      <c r="U70" s="48"/>
    </row>
    <row r="71" spans="1:21" ht="15" customHeight="1" x14ac:dyDescent="0.2">
      <c r="A71" s="47">
        <v>45625</v>
      </c>
      <c r="B71" s="48">
        <v>515.92999999999995</v>
      </c>
      <c r="C71" s="48">
        <v>101.46</v>
      </c>
      <c r="D71" s="48">
        <v>686.61</v>
      </c>
      <c r="E71" s="48">
        <v>162.08000000000001</v>
      </c>
      <c r="F71" s="48">
        <v>86.49</v>
      </c>
      <c r="G71" s="48">
        <v>64.7</v>
      </c>
      <c r="H71" s="48">
        <v>97.95</v>
      </c>
      <c r="I71" s="48">
        <v>138.25</v>
      </c>
      <c r="J71" s="48">
        <v>116.78</v>
      </c>
      <c r="K71" s="48">
        <v>67.08</v>
      </c>
      <c r="L71" s="48">
        <v>184.66</v>
      </c>
      <c r="M71" s="48">
        <v>127.6</v>
      </c>
      <c r="N71" s="48">
        <v>468.13</v>
      </c>
      <c r="O71" s="48">
        <v>105.49</v>
      </c>
      <c r="P71" s="48"/>
      <c r="Q71" s="48">
        <v>62.7</v>
      </c>
      <c r="R71" s="48">
        <v>57.09</v>
      </c>
      <c r="S71" s="48">
        <v>96.83</v>
      </c>
      <c r="T71" s="48">
        <v>36.61</v>
      </c>
      <c r="U71" s="48"/>
    </row>
    <row r="72" spans="1:21" ht="15" customHeight="1" x14ac:dyDescent="0.2">
      <c r="A72" s="47">
        <v>45632</v>
      </c>
      <c r="B72" s="48">
        <v>552.96</v>
      </c>
      <c r="C72" s="48">
        <v>108.25</v>
      </c>
      <c r="D72" s="48">
        <v>708.98</v>
      </c>
      <c r="E72" s="48">
        <v>179.53</v>
      </c>
      <c r="F72" s="48">
        <v>91.41</v>
      </c>
      <c r="G72" s="48">
        <v>64.83</v>
      </c>
      <c r="H72" s="48">
        <v>101.17</v>
      </c>
      <c r="I72" s="48">
        <v>142.44</v>
      </c>
      <c r="J72" s="48">
        <v>112</v>
      </c>
      <c r="K72" s="48">
        <v>76.34</v>
      </c>
      <c r="L72" s="48">
        <v>203.02</v>
      </c>
      <c r="M72" s="48">
        <v>133.85</v>
      </c>
      <c r="N72" s="48">
        <v>462.1</v>
      </c>
      <c r="O72" s="48">
        <v>103.29</v>
      </c>
      <c r="P72" s="48"/>
      <c r="Q72" s="48">
        <v>63.35</v>
      </c>
      <c r="R72" s="48">
        <v>57.62</v>
      </c>
      <c r="S72" s="48">
        <v>98.7</v>
      </c>
      <c r="T72" s="48">
        <v>36.58</v>
      </c>
      <c r="U72" s="48"/>
    </row>
    <row r="73" spans="1:21" ht="15" customHeight="1" x14ac:dyDescent="0.2">
      <c r="A73" s="47">
        <v>45639</v>
      </c>
      <c r="B73" s="48">
        <v>465.69</v>
      </c>
      <c r="C73" s="48">
        <v>112.37</v>
      </c>
      <c r="D73" s="48">
        <v>718.58</v>
      </c>
      <c r="E73" s="48">
        <v>224.8</v>
      </c>
      <c r="F73" s="48">
        <v>92.01</v>
      </c>
      <c r="G73" s="48">
        <v>65.38</v>
      </c>
      <c r="H73" s="48">
        <v>102.5</v>
      </c>
      <c r="I73" s="48">
        <v>134.25</v>
      </c>
      <c r="J73" s="48">
        <v>111.13</v>
      </c>
      <c r="K73" s="48">
        <v>76.069999999999993</v>
      </c>
      <c r="L73" s="48">
        <v>200.99</v>
      </c>
      <c r="M73" s="48">
        <v>125.78</v>
      </c>
      <c r="N73" s="48">
        <v>463.73</v>
      </c>
      <c r="O73" s="48">
        <v>102.01</v>
      </c>
      <c r="P73" s="48"/>
      <c r="Q73" s="48">
        <v>62.8</v>
      </c>
      <c r="R73" s="48">
        <v>57.85</v>
      </c>
      <c r="S73" s="48">
        <v>97.77</v>
      </c>
      <c r="T73" s="48">
        <v>34.97</v>
      </c>
      <c r="U73" s="48"/>
    </row>
    <row r="74" spans="1:21" ht="15" customHeight="1" x14ac:dyDescent="0.2">
      <c r="A74" s="47">
        <v>45646</v>
      </c>
      <c r="B74" s="48">
        <v>447.17</v>
      </c>
      <c r="C74" s="48">
        <v>112.81</v>
      </c>
      <c r="D74" s="48">
        <v>705.68</v>
      </c>
      <c r="E74" s="48">
        <v>220.79</v>
      </c>
      <c r="F74" s="48">
        <v>90.57</v>
      </c>
      <c r="G74" s="48">
        <v>62.94</v>
      </c>
      <c r="H74" s="48">
        <v>90.12</v>
      </c>
      <c r="I74" s="48">
        <v>134.69999999999999</v>
      </c>
      <c r="J74" s="48">
        <v>103.32</v>
      </c>
      <c r="K74" s="48">
        <v>80.55</v>
      </c>
      <c r="L74" s="48">
        <v>197.21</v>
      </c>
      <c r="M74" s="48">
        <v>120.04</v>
      </c>
      <c r="N74" s="48">
        <v>397.27</v>
      </c>
      <c r="O74" s="48">
        <v>96.11</v>
      </c>
      <c r="P74" s="48"/>
      <c r="Q74" s="48">
        <v>62.76</v>
      </c>
      <c r="R74" s="48">
        <v>57.2</v>
      </c>
      <c r="S74" s="48">
        <v>95.58</v>
      </c>
      <c r="T74" s="48">
        <v>33.9</v>
      </c>
      <c r="U74" s="48"/>
    </row>
    <row r="75" spans="1:21" ht="15" customHeight="1" x14ac:dyDescent="0.2">
      <c r="A75" s="47">
        <v>45653</v>
      </c>
      <c r="B75" s="48">
        <v>446.48</v>
      </c>
      <c r="C75" s="48">
        <v>113.03</v>
      </c>
      <c r="D75" s="48">
        <v>713.59</v>
      </c>
      <c r="E75" s="48">
        <v>241.75</v>
      </c>
      <c r="F75" s="48">
        <v>88.75</v>
      </c>
      <c r="G75" s="48">
        <v>64.48</v>
      </c>
      <c r="H75" s="48">
        <v>88.63</v>
      </c>
      <c r="I75" s="48">
        <v>137.01</v>
      </c>
      <c r="J75" s="48">
        <v>105.24</v>
      </c>
      <c r="K75" s="48">
        <v>79.08</v>
      </c>
      <c r="L75" s="48">
        <v>201.63</v>
      </c>
      <c r="M75" s="48">
        <v>115.11</v>
      </c>
      <c r="N75" s="48">
        <v>408.76</v>
      </c>
      <c r="O75" s="48">
        <v>96.49</v>
      </c>
      <c r="P75" s="48"/>
      <c r="Q75" s="48">
        <v>63.42</v>
      </c>
      <c r="R75" s="48">
        <v>57.74</v>
      </c>
      <c r="S75" s="48">
        <v>96.59</v>
      </c>
      <c r="T75" s="48">
        <v>34.21</v>
      </c>
      <c r="U75" s="48"/>
    </row>
    <row r="76" spans="1:21" ht="15" customHeight="1" x14ac:dyDescent="0.2">
      <c r="A76" s="47">
        <v>45660</v>
      </c>
      <c r="B76" s="48">
        <v>430.57</v>
      </c>
      <c r="C76" s="48">
        <v>115.2</v>
      </c>
      <c r="D76" s="48">
        <v>714.36</v>
      </c>
      <c r="E76" s="48">
        <v>232.55</v>
      </c>
      <c r="F76" s="48">
        <v>89.76</v>
      </c>
      <c r="G76" s="48">
        <v>65.7</v>
      </c>
      <c r="H76" s="48">
        <v>89.87</v>
      </c>
      <c r="I76" s="48">
        <v>144.47</v>
      </c>
      <c r="J76" s="48">
        <v>105.63</v>
      </c>
      <c r="K76" s="48">
        <v>79.89</v>
      </c>
      <c r="L76" s="48">
        <v>208.61</v>
      </c>
      <c r="M76" s="48">
        <v>125.67</v>
      </c>
      <c r="N76" s="48">
        <v>407.11</v>
      </c>
      <c r="O76" s="48">
        <v>97.24</v>
      </c>
      <c r="P76" s="48"/>
      <c r="Q76" s="48">
        <v>62.85</v>
      </c>
      <c r="R76" s="48">
        <v>57.08</v>
      </c>
      <c r="S76" s="48">
        <v>96.89</v>
      </c>
      <c r="T76" s="48">
        <v>34.47</v>
      </c>
      <c r="U76" s="48"/>
    </row>
    <row r="77" spans="1:21" ht="15" customHeight="1" x14ac:dyDescent="0.2">
      <c r="A77" s="47">
        <v>45667</v>
      </c>
      <c r="B77" s="48">
        <v>405.92</v>
      </c>
      <c r="C77" s="48">
        <v>114.34</v>
      </c>
      <c r="D77" s="48">
        <v>739.01</v>
      </c>
      <c r="E77" s="48">
        <v>224.31</v>
      </c>
      <c r="F77" s="48">
        <v>87.21</v>
      </c>
      <c r="G77" s="48">
        <v>68.31</v>
      </c>
      <c r="H77" s="48">
        <v>99.34</v>
      </c>
      <c r="I77" s="48">
        <v>135.91</v>
      </c>
      <c r="J77" s="48">
        <v>103.59</v>
      </c>
      <c r="K77" s="48">
        <v>67.260000000000005</v>
      </c>
      <c r="L77" s="48">
        <v>208.37</v>
      </c>
      <c r="M77" s="48">
        <v>128.93</v>
      </c>
      <c r="N77" s="48">
        <v>409.56</v>
      </c>
      <c r="O77" s="48">
        <v>94.69</v>
      </c>
      <c r="P77" s="48"/>
      <c r="Q77" s="48">
        <v>62.45</v>
      </c>
      <c r="R77" s="48">
        <v>55.98</v>
      </c>
      <c r="S77" s="48">
        <v>95.58</v>
      </c>
      <c r="T77" s="48">
        <v>34.46</v>
      </c>
      <c r="U77" s="48"/>
    </row>
    <row r="78" spans="1:21" ht="15" customHeight="1" x14ac:dyDescent="0.2">
      <c r="A78" s="47">
        <v>45674</v>
      </c>
      <c r="B78" s="48">
        <v>429.99</v>
      </c>
      <c r="C78" s="48">
        <v>119.95</v>
      </c>
      <c r="D78" s="48">
        <v>756.33</v>
      </c>
      <c r="E78" s="48">
        <v>237.44</v>
      </c>
      <c r="F78" s="48">
        <v>89.25</v>
      </c>
      <c r="G78" s="48">
        <v>75.75</v>
      </c>
      <c r="H78" s="48">
        <v>105.75</v>
      </c>
      <c r="I78" s="48">
        <v>137.71</v>
      </c>
      <c r="J78" s="48">
        <v>109.48</v>
      </c>
      <c r="K78" s="48">
        <v>71.77</v>
      </c>
      <c r="L78" s="48">
        <v>211.5</v>
      </c>
      <c r="M78" s="48">
        <v>135.88</v>
      </c>
      <c r="N78" s="48">
        <v>422</v>
      </c>
      <c r="O78" s="48">
        <v>99.32</v>
      </c>
      <c r="P78" s="48"/>
      <c r="Q78" s="48">
        <v>61.36</v>
      </c>
      <c r="R78" s="48">
        <v>57.27</v>
      </c>
      <c r="S78" s="48">
        <v>98.65</v>
      </c>
      <c r="T78" s="48">
        <v>35.79</v>
      </c>
      <c r="U78" s="48"/>
    </row>
    <row r="79" spans="1:21" ht="15" customHeight="1" x14ac:dyDescent="0.2">
      <c r="A79" s="47">
        <v>45681</v>
      </c>
      <c r="B79" s="48">
        <v>435.38</v>
      </c>
      <c r="C79" s="48">
        <v>129.16999999999999</v>
      </c>
      <c r="D79" s="48">
        <v>732.25</v>
      </c>
      <c r="E79" s="48">
        <v>244.7</v>
      </c>
      <c r="F79" s="48">
        <v>93.73</v>
      </c>
      <c r="G79" s="48">
        <v>74.98</v>
      </c>
      <c r="H79" s="48">
        <v>103.19</v>
      </c>
      <c r="I79" s="48">
        <v>142.62</v>
      </c>
      <c r="J79" s="48">
        <v>118.93</v>
      </c>
      <c r="K79" s="48">
        <v>78.98</v>
      </c>
      <c r="L79" s="48">
        <v>221.88</v>
      </c>
      <c r="M79" s="48">
        <v>146.32</v>
      </c>
      <c r="N79" s="48">
        <v>439.62</v>
      </c>
      <c r="O79" s="48">
        <v>99.82</v>
      </c>
      <c r="P79" s="48"/>
      <c r="Q79" s="48">
        <v>60.49</v>
      </c>
      <c r="R79" s="48">
        <v>58.07</v>
      </c>
      <c r="S79" s="48">
        <v>101.33</v>
      </c>
      <c r="T79" s="48">
        <v>35.880000000000003</v>
      </c>
      <c r="U79" s="48"/>
    </row>
    <row r="80" spans="1:21" ht="15" customHeight="1" x14ac:dyDescent="0.2">
      <c r="A80" s="47">
        <v>45688</v>
      </c>
      <c r="B80" s="48">
        <v>437.45</v>
      </c>
      <c r="C80" s="48">
        <v>115.23</v>
      </c>
      <c r="D80" s="48">
        <v>739.31</v>
      </c>
      <c r="E80" s="48">
        <v>221.27</v>
      </c>
      <c r="F80" s="48">
        <v>99.52</v>
      </c>
      <c r="G80" s="48">
        <v>73.819999999999993</v>
      </c>
      <c r="H80" s="48">
        <v>91.24</v>
      </c>
      <c r="I80" s="48">
        <v>120.07</v>
      </c>
      <c r="J80" s="48">
        <v>119.25</v>
      </c>
      <c r="K80" s="48">
        <v>82.49</v>
      </c>
      <c r="L80" s="48">
        <v>209.32</v>
      </c>
      <c r="M80" s="48">
        <v>117.02</v>
      </c>
      <c r="N80" s="48">
        <v>461.68</v>
      </c>
      <c r="O80" s="48">
        <v>98.31</v>
      </c>
      <c r="P80" s="48"/>
      <c r="Q80" s="48">
        <v>60.36</v>
      </c>
      <c r="R80" s="48">
        <v>57.47</v>
      </c>
      <c r="S80" s="48">
        <v>100.04</v>
      </c>
      <c r="T80" s="48">
        <v>35.51</v>
      </c>
      <c r="U80" s="48"/>
    </row>
    <row r="81" spans="1:21" ht="15" customHeight="1" x14ac:dyDescent="0.2">
      <c r="A81" s="47">
        <v>45695</v>
      </c>
      <c r="B81" s="48">
        <v>433.07</v>
      </c>
      <c r="C81" s="48">
        <v>118.47</v>
      </c>
      <c r="D81" s="48">
        <v>727.7</v>
      </c>
      <c r="E81" s="48">
        <v>224.87</v>
      </c>
      <c r="F81" s="48">
        <v>105.4</v>
      </c>
      <c r="G81" s="48">
        <v>74.77</v>
      </c>
      <c r="H81" s="48">
        <v>92.3</v>
      </c>
      <c r="I81" s="48">
        <v>129.84</v>
      </c>
      <c r="J81" s="48">
        <v>117.35</v>
      </c>
      <c r="K81" s="48">
        <v>110.85</v>
      </c>
      <c r="L81" s="48">
        <v>206.12</v>
      </c>
      <c r="M81" s="48">
        <v>121.38</v>
      </c>
      <c r="N81" s="48">
        <v>469.32</v>
      </c>
      <c r="O81" s="48">
        <v>97.17</v>
      </c>
      <c r="P81" s="48"/>
      <c r="Q81" s="48">
        <v>59.58</v>
      </c>
      <c r="R81" s="48">
        <v>57.17</v>
      </c>
      <c r="S81" s="48">
        <v>102.03</v>
      </c>
      <c r="T81" s="48">
        <v>35.200000000000003</v>
      </c>
      <c r="U81" s="48"/>
    </row>
    <row r="82" spans="1:21" ht="15" customHeight="1" x14ac:dyDescent="0.2">
      <c r="A82" s="47">
        <v>45702</v>
      </c>
      <c r="B82" s="48">
        <v>460.16</v>
      </c>
      <c r="C82" s="48">
        <v>106.87</v>
      </c>
      <c r="D82" s="48">
        <v>751.55</v>
      </c>
      <c r="E82" s="48">
        <v>233.04</v>
      </c>
      <c r="F82" s="48">
        <v>112.94</v>
      </c>
      <c r="G82" s="48">
        <v>75.069999999999993</v>
      </c>
      <c r="H82" s="48">
        <v>99.52</v>
      </c>
      <c r="I82" s="48">
        <v>138.85</v>
      </c>
      <c r="J82" s="48">
        <v>120.85</v>
      </c>
      <c r="K82" s="48">
        <v>119.16</v>
      </c>
      <c r="L82" s="48">
        <v>203.9</v>
      </c>
      <c r="M82" s="48">
        <v>108.05</v>
      </c>
      <c r="N82" s="48">
        <v>459</v>
      </c>
      <c r="O82" s="48">
        <v>97.47</v>
      </c>
      <c r="P82" s="48"/>
      <c r="Q82" s="48">
        <v>57.27</v>
      </c>
      <c r="R82" s="48">
        <v>58.27</v>
      </c>
      <c r="S82" s="48">
        <v>103.06</v>
      </c>
      <c r="T82" s="48">
        <v>35.61</v>
      </c>
      <c r="U82" s="48"/>
    </row>
    <row r="83" spans="1:21" ht="15" customHeight="1" x14ac:dyDescent="0.2">
      <c r="A83" s="47">
        <v>45709</v>
      </c>
      <c r="B83" s="48">
        <v>444.32</v>
      </c>
      <c r="C83" s="48">
        <v>98.3</v>
      </c>
      <c r="D83" s="48">
        <v>737.21</v>
      </c>
      <c r="E83" s="48">
        <v>218.66</v>
      </c>
      <c r="F83" s="48">
        <v>101.67</v>
      </c>
      <c r="G83" s="48">
        <v>75.430000000000007</v>
      </c>
      <c r="H83" s="48">
        <v>98.84</v>
      </c>
      <c r="I83" s="48">
        <v>134.43</v>
      </c>
      <c r="J83" s="48">
        <v>120.97</v>
      </c>
      <c r="K83" s="48">
        <v>101.35</v>
      </c>
      <c r="L83" s="48">
        <v>198.24</v>
      </c>
      <c r="M83" s="48">
        <v>95.99</v>
      </c>
      <c r="N83" s="48">
        <v>484.24</v>
      </c>
      <c r="O83" s="48">
        <v>93.91</v>
      </c>
      <c r="P83" s="48"/>
      <c r="Q83" s="48">
        <v>58.35</v>
      </c>
      <c r="R83" s="48">
        <v>57.57</v>
      </c>
      <c r="S83" s="48">
        <v>99.91</v>
      </c>
      <c r="T83" s="48">
        <v>35.49</v>
      </c>
      <c r="U83" s="48"/>
    </row>
    <row r="84" spans="1:21" ht="15" customHeight="1" x14ac:dyDescent="0.2">
      <c r="A84" s="47">
        <v>45716</v>
      </c>
      <c r="B84" s="48">
        <v>438.56</v>
      </c>
      <c r="C84" s="48">
        <v>93.05</v>
      </c>
      <c r="D84" s="48">
        <v>709.08</v>
      </c>
      <c r="E84" s="48">
        <v>199.43</v>
      </c>
      <c r="F84" s="48">
        <v>97.42</v>
      </c>
      <c r="G84" s="48">
        <v>70.88</v>
      </c>
      <c r="H84" s="48">
        <v>93.63</v>
      </c>
      <c r="I84" s="48">
        <v>124.92</v>
      </c>
      <c r="J84" s="48">
        <v>123.92</v>
      </c>
      <c r="K84" s="48">
        <v>84.92</v>
      </c>
      <c r="L84" s="48">
        <v>180.53</v>
      </c>
      <c r="M84" s="48">
        <v>95.17</v>
      </c>
      <c r="N84" s="48">
        <v>479.79</v>
      </c>
      <c r="O84" s="48">
        <v>92.85</v>
      </c>
      <c r="P84" s="48"/>
      <c r="Q84" s="48">
        <v>58</v>
      </c>
      <c r="R84" s="48">
        <v>55.98</v>
      </c>
      <c r="S84" s="48">
        <v>99.8</v>
      </c>
      <c r="T84" s="48">
        <v>35.32</v>
      </c>
      <c r="U84" s="48"/>
    </row>
    <row r="85" spans="1:21" ht="15" customHeight="1" x14ac:dyDescent="0.2">
      <c r="A85" s="47">
        <v>45723</v>
      </c>
      <c r="B85" s="48">
        <v>449.4</v>
      </c>
      <c r="C85" s="48">
        <v>83.36</v>
      </c>
      <c r="D85" s="48">
        <v>732.22</v>
      </c>
      <c r="E85" s="48">
        <v>194.96</v>
      </c>
      <c r="F85" s="48">
        <v>83.38</v>
      </c>
      <c r="G85" s="48">
        <v>71.13</v>
      </c>
      <c r="H85" s="48">
        <v>92.96</v>
      </c>
      <c r="I85" s="48">
        <v>112.69</v>
      </c>
      <c r="J85" s="48">
        <v>119.91</v>
      </c>
      <c r="K85" s="48">
        <v>84.91</v>
      </c>
      <c r="L85" s="48">
        <v>177.1</v>
      </c>
      <c r="M85" s="48">
        <v>85.04</v>
      </c>
      <c r="N85" s="48">
        <v>488.29</v>
      </c>
      <c r="O85" s="48">
        <v>88.68</v>
      </c>
      <c r="P85" s="48"/>
      <c r="Q85" s="48">
        <v>59.03</v>
      </c>
      <c r="R85" s="48">
        <v>53.76</v>
      </c>
      <c r="S85" s="48">
        <v>94.54</v>
      </c>
      <c r="T85" s="48">
        <v>34.81</v>
      </c>
      <c r="U85" s="48"/>
    </row>
    <row r="86" spans="1:21" ht="15" customHeight="1" x14ac:dyDescent="0.2">
      <c r="A86" s="47">
        <v>45730</v>
      </c>
      <c r="B86" s="48">
        <v>394.74</v>
      </c>
      <c r="C86" s="48">
        <v>83.51</v>
      </c>
      <c r="D86" s="48">
        <v>714</v>
      </c>
      <c r="E86" s="48">
        <v>195.54</v>
      </c>
      <c r="F86" s="48">
        <v>88.43</v>
      </c>
      <c r="G86" s="48">
        <v>71.3</v>
      </c>
      <c r="H86" s="48">
        <v>100.79</v>
      </c>
      <c r="I86" s="48">
        <v>121.67</v>
      </c>
      <c r="J86" s="48">
        <v>111.89</v>
      </c>
      <c r="K86" s="48">
        <v>86.24</v>
      </c>
      <c r="L86" s="48">
        <v>174.09</v>
      </c>
      <c r="M86" s="48">
        <v>87.45</v>
      </c>
      <c r="N86" s="48">
        <v>504.77</v>
      </c>
      <c r="O86" s="48">
        <v>87.02</v>
      </c>
      <c r="P86" s="48"/>
      <c r="Q86" s="48">
        <v>59.99</v>
      </c>
      <c r="R86" s="48">
        <v>52.61</v>
      </c>
      <c r="S86" s="48">
        <v>93.86</v>
      </c>
      <c r="T86" s="48">
        <v>34.090000000000003</v>
      </c>
      <c r="U86" s="48"/>
    </row>
    <row r="87" spans="1:21" ht="15" customHeight="1" x14ac:dyDescent="0.2">
      <c r="A87" s="47">
        <v>45737</v>
      </c>
      <c r="B87" s="48">
        <v>387.26</v>
      </c>
      <c r="C87" s="48">
        <v>83.13</v>
      </c>
      <c r="D87" s="48">
        <v>716.22</v>
      </c>
      <c r="E87" s="48">
        <v>191.66</v>
      </c>
      <c r="F87" s="48">
        <v>90.56</v>
      </c>
      <c r="G87" s="48">
        <v>70.650000000000006</v>
      </c>
      <c r="H87" s="48">
        <v>94.72</v>
      </c>
      <c r="I87" s="48">
        <v>117.7</v>
      </c>
      <c r="J87" s="48">
        <v>108.42</v>
      </c>
      <c r="K87" s="48">
        <v>90.96</v>
      </c>
      <c r="L87" s="48">
        <v>176.73</v>
      </c>
      <c r="M87" s="48">
        <v>88.63</v>
      </c>
      <c r="N87" s="48">
        <v>503.2</v>
      </c>
      <c r="O87" s="48">
        <v>87.86</v>
      </c>
      <c r="P87" s="48"/>
      <c r="Q87" s="48">
        <v>59.84</v>
      </c>
      <c r="R87" s="48">
        <v>52.8</v>
      </c>
      <c r="S87" s="48">
        <v>94.22</v>
      </c>
      <c r="T87" s="48">
        <v>34.67</v>
      </c>
      <c r="U87" s="48"/>
    </row>
    <row r="88" spans="1:21" ht="15" customHeight="1" x14ac:dyDescent="0.2">
      <c r="A88" s="47">
        <v>45744</v>
      </c>
      <c r="B88" s="48">
        <v>385.71</v>
      </c>
      <c r="C88" s="48">
        <v>77.94</v>
      </c>
      <c r="D88" s="48">
        <v>674.58</v>
      </c>
      <c r="E88" s="48">
        <v>169.12</v>
      </c>
      <c r="F88" s="48">
        <v>89.28</v>
      </c>
      <c r="G88" s="48">
        <v>67.36</v>
      </c>
      <c r="H88" s="48">
        <v>88.44</v>
      </c>
      <c r="I88" s="48">
        <v>109.67</v>
      </c>
      <c r="J88" s="48">
        <v>110.45</v>
      </c>
      <c r="K88" s="48">
        <v>85.85</v>
      </c>
      <c r="L88" s="48">
        <v>165.25</v>
      </c>
      <c r="M88" s="48">
        <v>74.25</v>
      </c>
      <c r="N88" s="48">
        <v>492.69</v>
      </c>
      <c r="O88" s="48">
        <v>87.12</v>
      </c>
      <c r="P88" s="48"/>
      <c r="Q88" s="48">
        <v>61.6</v>
      </c>
      <c r="R88" s="48">
        <v>51.81</v>
      </c>
      <c r="S88" s="48">
        <v>92.19</v>
      </c>
      <c r="T88" s="48">
        <v>34.1</v>
      </c>
      <c r="U88" s="48"/>
    </row>
    <row r="89" spans="1:21" ht="15" customHeight="1" x14ac:dyDescent="0.2">
      <c r="A89" s="47">
        <v>45751</v>
      </c>
      <c r="B89" s="48">
        <v>349.07</v>
      </c>
      <c r="C89" s="48">
        <v>64.37</v>
      </c>
      <c r="D89" s="48">
        <v>605.54999999999995</v>
      </c>
      <c r="E89" s="48">
        <v>146.29</v>
      </c>
      <c r="F89" s="48">
        <v>80.41</v>
      </c>
      <c r="G89" s="48">
        <v>57.65</v>
      </c>
      <c r="H89" s="48">
        <v>64.72</v>
      </c>
      <c r="I89" s="48">
        <v>94.31</v>
      </c>
      <c r="J89" s="48">
        <v>98.23</v>
      </c>
      <c r="K89" s="48">
        <v>74.010000000000005</v>
      </c>
      <c r="L89" s="48">
        <v>146.80000000000001</v>
      </c>
      <c r="M89" s="48">
        <v>59.41</v>
      </c>
      <c r="N89" s="48">
        <v>474.62</v>
      </c>
      <c r="O89" s="48">
        <v>78</v>
      </c>
      <c r="P89" s="48"/>
      <c r="Q89" s="48">
        <v>60.58</v>
      </c>
      <c r="R89" s="48">
        <v>46.6</v>
      </c>
      <c r="S89" s="48">
        <v>82.32</v>
      </c>
      <c r="T89" s="48">
        <v>30.95</v>
      </c>
      <c r="U89" s="48"/>
    </row>
    <row r="90" spans="1:21" ht="15" customHeight="1" x14ac:dyDescent="0.2">
      <c r="A90" s="47">
        <v>45758</v>
      </c>
      <c r="B90" s="48">
        <v>352.47</v>
      </c>
      <c r="C90" s="48">
        <v>72.67</v>
      </c>
      <c r="D90" s="48">
        <v>668.81</v>
      </c>
      <c r="E90" s="48">
        <v>181.94</v>
      </c>
      <c r="F90" s="48">
        <v>94.48</v>
      </c>
      <c r="G90" s="48">
        <v>67.02</v>
      </c>
      <c r="H90" s="48">
        <v>69.55</v>
      </c>
      <c r="I90" s="48">
        <v>110.93</v>
      </c>
      <c r="J90" s="48">
        <v>96.23</v>
      </c>
      <c r="K90" s="48">
        <v>88.55</v>
      </c>
      <c r="L90" s="48">
        <v>157.08000000000001</v>
      </c>
      <c r="M90" s="48">
        <v>69.61</v>
      </c>
      <c r="N90" s="48">
        <v>484.22</v>
      </c>
      <c r="O90" s="48">
        <v>78.98</v>
      </c>
      <c r="P90" s="48"/>
      <c r="Q90" s="48">
        <v>61.24</v>
      </c>
      <c r="R90" s="48">
        <v>49.54</v>
      </c>
      <c r="S90" s="48">
        <v>89.82</v>
      </c>
      <c r="T90" s="48">
        <v>31.56</v>
      </c>
      <c r="U90" s="48"/>
    </row>
    <row r="91" spans="1:21" ht="15" customHeight="1" x14ac:dyDescent="0.2">
      <c r="A91" s="47">
        <v>45764</v>
      </c>
      <c r="B91" s="48">
        <v>348.8</v>
      </c>
      <c r="C91" s="48">
        <v>71.2</v>
      </c>
      <c r="D91" s="48">
        <v>640.16</v>
      </c>
      <c r="E91" s="48">
        <v>170.99</v>
      </c>
      <c r="F91" s="48">
        <v>93.91</v>
      </c>
      <c r="G91" s="48">
        <v>63.44</v>
      </c>
      <c r="H91" s="48">
        <v>68.8</v>
      </c>
      <c r="I91" s="48">
        <v>101.49</v>
      </c>
      <c r="J91" s="48">
        <v>102.1</v>
      </c>
      <c r="K91" s="48">
        <v>93.78</v>
      </c>
      <c r="L91" s="48">
        <v>151.74</v>
      </c>
      <c r="M91" s="48">
        <v>73.209999999999994</v>
      </c>
      <c r="N91" s="48">
        <v>489.1</v>
      </c>
      <c r="O91" s="48">
        <v>80.45</v>
      </c>
      <c r="P91" s="48"/>
      <c r="Q91" s="48">
        <v>61.83</v>
      </c>
      <c r="R91" s="48">
        <v>48.74</v>
      </c>
      <c r="S91" s="48">
        <v>88.26</v>
      </c>
      <c r="T91" s="48">
        <v>31.78</v>
      </c>
      <c r="U91" s="48"/>
    </row>
    <row r="92" spans="1:21" ht="15" customHeight="1" x14ac:dyDescent="0.2">
      <c r="A92" s="47">
        <v>45772</v>
      </c>
      <c r="B92" s="48">
        <v>367.72</v>
      </c>
      <c r="C92" s="48">
        <v>77.91</v>
      </c>
      <c r="D92" s="48">
        <v>677.27</v>
      </c>
      <c r="E92" s="48">
        <v>192.31</v>
      </c>
      <c r="F92" s="48">
        <v>106.22</v>
      </c>
      <c r="G92" s="48">
        <v>69.459999999999994</v>
      </c>
      <c r="H92" s="48">
        <v>79.78</v>
      </c>
      <c r="I92" s="48">
        <v>111.01</v>
      </c>
      <c r="J92" s="48">
        <v>102.24</v>
      </c>
      <c r="K92" s="48">
        <v>112.78</v>
      </c>
      <c r="L92" s="48">
        <v>165.1</v>
      </c>
      <c r="M92" s="48">
        <v>86.95</v>
      </c>
      <c r="N92" s="48">
        <v>493.84</v>
      </c>
      <c r="O92" s="48">
        <v>82.71</v>
      </c>
      <c r="P92" s="48"/>
      <c r="Q92" s="48">
        <v>61.82</v>
      </c>
      <c r="R92" s="48">
        <v>51.09</v>
      </c>
      <c r="S92" s="48">
        <v>94.02</v>
      </c>
      <c r="T92" s="48">
        <v>32.83</v>
      </c>
      <c r="U92" s="48"/>
    </row>
    <row r="93" spans="1:21" ht="15" customHeight="1" x14ac:dyDescent="0.2">
      <c r="A93" s="47">
        <v>45779</v>
      </c>
      <c r="B93" s="48">
        <v>380.87</v>
      </c>
      <c r="C93" s="48">
        <v>91.02</v>
      </c>
      <c r="D93" s="48">
        <v>690.33</v>
      </c>
      <c r="E93" s="48">
        <v>203.64</v>
      </c>
      <c r="F93" s="48">
        <v>110.15</v>
      </c>
      <c r="G93" s="48">
        <v>69.819999999999993</v>
      </c>
      <c r="H93" s="48">
        <v>80.72</v>
      </c>
      <c r="I93" s="48">
        <v>114.5</v>
      </c>
      <c r="J93" s="48">
        <v>105.41</v>
      </c>
      <c r="K93" s="48">
        <v>124.28</v>
      </c>
      <c r="L93" s="48">
        <v>179.28</v>
      </c>
      <c r="M93" s="48">
        <v>95</v>
      </c>
      <c r="N93" s="48">
        <v>501.15</v>
      </c>
      <c r="O93" s="48">
        <v>85.52</v>
      </c>
      <c r="P93" s="48"/>
      <c r="Q93" s="48">
        <v>61.87</v>
      </c>
      <c r="R93" s="48">
        <v>51.49</v>
      </c>
      <c r="S93" s="48">
        <v>97.8</v>
      </c>
      <c r="T93" s="48">
        <v>33.46</v>
      </c>
      <c r="U93" s="48"/>
    </row>
    <row r="94" spans="1:21" ht="15" customHeight="1" x14ac:dyDescent="0.2">
      <c r="A94" s="47">
        <v>45786</v>
      </c>
      <c r="B94" s="48">
        <v>383.28</v>
      </c>
      <c r="C94" s="48">
        <v>86.52</v>
      </c>
      <c r="D94" s="48">
        <v>706.21</v>
      </c>
      <c r="E94" s="48">
        <v>208.2</v>
      </c>
      <c r="F94" s="48">
        <v>102.64</v>
      </c>
      <c r="G94" s="48">
        <v>70.12</v>
      </c>
      <c r="H94" s="48">
        <v>85.86</v>
      </c>
      <c r="I94" s="48">
        <v>116.65</v>
      </c>
      <c r="J94" s="48">
        <v>106.91</v>
      </c>
      <c r="K94" s="48">
        <v>117.3</v>
      </c>
      <c r="L94" s="48">
        <v>176.52</v>
      </c>
      <c r="M94" s="48">
        <v>94.06</v>
      </c>
      <c r="N94" s="48">
        <v>424.99</v>
      </c>
      <c r="O94" s="48">
        <v>86.51</v>
      </c>
      <c r="P94" s="48"/>
      <c r="Q94" s="48">
        <v>62.54</v>
      </c>
      <c r="R94" s="48">
        <v>51.63</v>
      </c>
      <c r="S94" s="48">
        <v>98.48</v>
      </c>
      <c r="T94" s="48">
        <v>33.4</v>
      </c>
      <c r="U94" s="48"/>
    </row>
    <row r="95" spans="1:21" ht="15" customHeight="1" x14ac:dyDescent="0.2">
      <c r="A95" s="47">
        <v>45793</v>
      </c>
      <c r="B95" s="48">
        <v>417.13</v>
      </c>
      <c r="C95" s="48">
        <v>96.42</v>
      </c>
      <c r="D95" s="48">
        <v>748.1</v>
      </c>
      <c r="E95" s="48">
        <v>228.61</v>
      </c>
      <c r="F95" s="48">
        <v>109.82</v>
      </c>
      <c r="G95" s="48">
        <v>79.12</v>
      </c>
      <c r="H95" s="48">
        <v>98</v>
      </c>
      <c r="I95" s="48">
        <v>135.4</v>
      </c>
      <c r="J95" s="48">
        <v>110.55</v>
      </c>
      <c r="K95" s="48">
        <v>129.52000000000001</v>
      </c>
      <c r="L95" s="48">
        <v>194.22</v>
      </c>
      <c r="M95" s="48">
        <v>106.04</v>
      </c>
      <c r="N95" s="48">
        <v>438.65</v>
      </c>
      <c r="O95" s="48">
        <v>90.74</v>
      </c>
      <c r="P95" s="48"/>
      <c r="Q95" s="48">
        <v>62.95</v>
      </c>
      <c r="R95" s="48">
        <v>52.52</v>
      </c>
      <c r="S95" s="48">
        <v>105.2</v>
      </c>
      <c r="T95" s="48">
        <v>34.840000000000003</v>
      </c>
      <c r="U95" s="48"/>
    </row>
    <row r="96" spans="1:21" ht="15" customHeight="1" x14ac:dyDescent="0.2">
      <c r="A96" s="47">
        <v>45800</v>
      </c>
      <c r="B96" s="48">
        <v>407.69</v>
      </c>
      <c r="C96" s="48">
        <v>91.2</v>
      </c>
      <c r="D96" s="48">
        <v>732.49</v>
      </c>
      <c r="E96" s="48">
        <v>228.72</v>
      </c>
      <c r="F96" s="48">
        <v>113.9</v>
      </c>
      <c r="G96" s="48">
        <v>75.72</v>
      </c>
      <c r="H96" s="48">
        <v>93.37</v>
      </c>
      <c r="I96" s="48">
        <v>131.29</v>
      </c>
      <c r="J96" s="48">
        <v>104.04</v>
      </c>
      <c r="K96" s="48">
        <v>123.31</v>
      </c>
      <c r="L96" s="48">
        <v>191.98</v>
      </c>
      <c r="M96" s="48">
        <v>104.14</v>
      </c>
      <c r="N96" s="48">
        <v>436</v>
      </c>
      <c r="O96" s="48">
        <v>87.11</v>
      </c>
      <c r="P96" s="48"/>
      <c r="Q96" s="48">
        <v>63.05</v>
      </c>
      <c r="R96" s="48">
        <v>52.04</v>
      </c>
      <c r="S96" s="48">
        <v>102.85</v>
      </c>
      <c r="T96" s="48">
        <v>33.630000000000003</v>
      </c>
      <c r="U96" s="48"/>
    </row>
    <row r="97" spans="1:21" ht="15" customHeight="1" x14ac:dyDescent="0.2">
      <c r="A97" s="47">
        <v>45807</v>
      </c>
      <c r="B97" s="48">
        <v>415.09</v>
      </c>
      <c r="C97" s="48">
        <v>86.64</v>
      </c>
      <c r="D97" s="48">
        <v>736.77</v>
      </c>
      <c r="E97" s="48">
        <v>242.07</v>
      </c>
      <c r="F97" s="48">
        <v>117.84</v>
      </c>
      <c r="G97" s="48">
        <v>75.69</v>
      </c>
      <c r="H97" s="48">
        <v>94.46</v>
      </c>
      <c r="I97" s="48">
        <v>135.13</v>
      </c>
      <c r="J97" s="48">
        <v>108.6</v>
      </c>
      <c r="K97" s="48">
        <v>131.78</v>
      </c>
      <c r="L97" s="48">
        <v>193.32</v>
      </c>
      <c r="M97" s="48">
        <v>107.93</v>
      </c>
      <c r="N97" s="48">
        <v>442.05</v>
      </c>
      <c r="O97" s="48">
        <v>88.13</v>
      </c>
      <c r="P97" s="48"/>
      <c r="Q97" s="48">
        <v>63.27</v>
      </c>
      <c r="R97" s="48">
        <v>52.63</v>
      </c>
      <c r="S97" s="48">
        <v>105.35</v>
      </c>
      <c r="T97" s="48">
        <v>33.89</v>
      </c>
      <c r="U97" s="48"/>
    </row>
    <row r="98" spans="1:21" ht="15" customHeight="1" x14ac:dyDescent="0.2">
      <c r="A98" s="47">
        <v>45814</v>
      </c>
      <c r="B98" s="48">
        <v>416.92</v>
      </c>
      <c r="C98" s="48">
        <v>97.25</v>
      </c>
      <c r="D98" s="48">
        <v>753.02</v>
      </c>
      <c r="E98" s="48">
        <v>246.93</v>
      </c>
      <c r="F98" s="48">
        <v>117.1</v>
      </c>
      <c r="G98" s="48">
        <v>80.8</v>
      </c>
      <c r="H98" s="48">
        <v>108.56</v>
      </c>
      <c r="I98" s="48">
        <v>141.72</v>
      </c>
      <c r="J98" s="48">
        <v>108.79</v>
      </c>
      <c r="K98" s="48">
        <v>127.72</v>
      </c>
      <c r="L98" s="48">
        <v>205.18</v>
      </c>
      <c r="M98" s="48">
        <v>115.36</v>
      </c>
      <c r="N98" s="48">
        <v>450.5</v>
      </c>
      <c r="O98" s="48">
        <v>89.76</v>
      </c>
      <c r="P98" s="48"/>
      <c r="Q98" s="48">
        <v>63.41</v>
      </c>
      <c r="R98" s="48">
        <v>52.7</v>
      </c>
      <c r="S98" s="48">
        <v>106.92</v>
      </c>
      <c r="T98" s="48">
        <v>34.69</v>
      </c>
      <c r="U98" s="48"/>
    </row>
    <row r="99" spans="1:21" ht="15" customHeight="1" x14ac:dyDescent="0.2">
      <c r="A99" s="47">
        <v>45821</v>
      </c>
      <c r="B99" s="48">
        <v>391.68</v>
      </c>
      <c r="C99" s="48">
        <v>92.35</v>
      </c>
      <c r="D99" s="48">
        <v>761</v>
      </c>
      <c r="E99" s="48">
        <v>248.7</v>
      </c>
      <c r="F99" s="48">
        <v>120.16</v>
      </c>
      <c r="G99" s="48">
        <v>86.77</v>
      </c>
      <c r="H99" s="48">
        <v>115.6</v>
      </c>
      <c r="I99" s="48">
        <v>141.97</v>
      </c>
      <c r="J99" s="48">
        <v>107.28</v>
      </c>
      <c r="K99" s="48">
        <v>137.4</v>
      </c>
      <c r="L99" s="48">
        <v>211.1</v>
      </c>
      <c r="M99" s="48">
        <v>110.97</v>
      </c>
      <c r="N99" s="48">
        <v>455.45</v>
      </c>
      <c r="O99" s="48">
        <v>89.22</v>
      </c>
      <c r="P99" s="48"/>
      <c r="Q99" s="48">
        <v>62.75</v>
      </c>
      <c r="R99" s="48">
        <v>52.59</v>
      </c>
      <c r="S99" s="48">
        <v>106.16</v>
      </c>
      <c r="T99" s="48">
        <v>35.07</v>
      </c>
      <c r="U99" s="48"/>
    </row>
    <row r="100" spans="1:21" ht="15" customHeight="1" x14ac:dyDescent="0.2">
      <c r="A100" s="47">
        <v>45828</v>
      </c>
      <c r="B100" s="48">
        <v>376.92</v>
      </c>
      <c r="C100" s="48">
        <v>86.25</v>
      </c>
      <c r="D100" s="48">
        <v>756.53</v>
      </c>
      <c r="E100" s="48">
        <v>249.99</v>
      </c>
      <c r="F100" s="48">
        <v>119.08</v>
      </c>
      <c r="G100" s="48">
        <v>85</v>
      </c>
      <c r="H100" s="48">
        <v>123.6</v>
      </c>
      <c r="I100" s="48">
        <v>143.85</v>
      </c>
      <c r="J100" s="48">
        <v>105.69</v>
      </c>
      <c r="K100" s="48">
        <v>137.30000000000001</v>
      </c>
      <c r="L100" s="48">
        <v>209.51</v>
      </c>
      <c r="M100" s="48">
        <v>118.54</v>
      </c>
      <c r="N100" s="48">
        <v>440.87</v>
      </c>
      <c r="O100" s="48">
        <v>89.37</v>
      </c>
      <c r="P100" s="48"/>
      <c r="Q100" s="48">
        <v>63.47</v>
      </c>
      <c r="R100" s="48">
        <v>52.75</v>
      </c>
      <c r="S100" s="48">
        <v>106.91</v>
      </c>
      <c r="T100" s="48">
        <v>35.03</v>
      </c>
      <c r="U100" s="48"/>
    </row>
    <row r="101" spans="1:21" ht="15" customHeight="1" x14ac:dyDescent="0.2">
      <c r="A101" s="47">
        <v>45835</v>
      </c>
      <c r="B101" s="48">
        <v>385.83</v>
      </c>
      <c r="C101" s="48">
        <v>99.39</v>
      </c>
      <c r="D101" s="48">
        <v>795.95</v>
      </c>
      <c r="E101" s="48">
        <v>269.35000000000002</v>
      </c>
      <c r="F101" s="48">
        <v>124.83</v>
      </c>
      <c r="G101" s="48">
        <v>88.99</v>
      </c>
      <c r="H101" s="48">
        <v>124.76</v>
      </c>
      <c r="I101" s="48">
        <v>157.75</v>
      </c>
      <c r="J101" s="48">
        <v>105.62</v>
      </c>
      <c r="K101" s="48">
        <v>130.74</v>
      </c>
      <c r="L101" s="48">
        <v>228.57</v>
      </c>
      <c r="M101" s="48">
        <v>127.16</v>
      </c>
      <c r="N101" s="48">
        <v>441.3</v>
      </c>
      <c r="O101" s="48">
        <v>91.21</v>
      </c>
      <c r="P101" s="48"/>
      <c r="Q101" s="48">
        <v>63.94</v>
      </c>
      <c r="R101" s="48">
        <v>54.27</v>
      </c>
      <c r="S101" s="48">
        <v>111.84</v>
      </c>
      <c r="T101" s="48">
        <v>35.33</v>
      </c>
      <c r="U101" s="48"/>
    </row>
    <row r="102" spans="1:21" ht="15" customHeight="1" x14ac:dyDescent="0.2">
      <c r="A102" s="47">
        <v>45841</v>
      </c>
      <c r="B102" s="48">
        <v>379.31</v>
      </c>
      <c r="C102" s="48">
        <v>102.52</v>
      </c>
      <c r="D102" s="48">
        <v>794.5</v>
      </c>
      <c r="E102" s="48">
        <v>275.18</v>
      </c>
      <c r="F102" s="48">
        <v>128.53</v>
      </c>
      <c r="G102" s="48">
        <v>92.46</v>
      </c>
      <c r="H102" s="48">
        <v>122.29</v>
      </c>
      <c r="I102" s="48">
        <v>159.34</v>
      </c>
      <c r="J102" s="48">
        <v>108.02</v>
      </c>
      <c r="K102" s="48">
        <v>134.36000000000001</v>
      </c>
      <c r="L102" s="48">
        <v>234.8</v>
      </c>
      <c r="M102" s="48">
        <v>127.84</v>
      </c>
      <c r="N102" s="48">
        <v>459.62</v>
      </c>
      <c r="O102" s="48">
        <v>95.01</v>
      </c>
      <c r="P102" s="48"/>
      <c r="Q102" s="48">
        <v>64.17</v>
      </c>
      <c r="R102" s="48">
        <v>54.16</v>
      </c>
      <c r="S102" s="48">
        <v>112.51</v>
      </c>
      <c r="T102" s="48">
        <v>35.770000000000003</v>
      </c>
      <c r="U102" s="48"/>
    </row>
    <row r="103" spans="1:21" ht="15" customHeight="1" x14ac:dyDescent="0.2">
      <c r="A103" s="47">
        <v>45849</v>
      </c>
      <c r="B103" s="48">
        <v>363.35</v>
      </c>
      <c r="C103" s="48">
        <v>108.57</v>
      </c>
      <c r="D103" s="48">
        <v>801.93</v>
      </c>
      <c r="E103" s="48">
        <v>274.38</v>
      </c>
      <c r="F103" s="48">
        <v>119.61</v>
      </c>
      <c r="G103" s="48">
        <v>92.46</v>
      </c>
      <c r="H103" s="48">
        <v>124.53</v>
      </c>
      <c r="I103" s="48">
        <v>164.92</v>
      </c>
      <c r="J103" s="48">
        <v>109.17</v>
      </c>
      <c r="K103" s="48">
        <v>142.1</v>
      </c>
      <c r="L103" s="48">
        <v>230.4</v>
      </c>
      <c r="M103" s="48">
        <v>123.3</v>
      </c>
      <c r="N103" s="48">
        <v>468.85</v>
      </c>
      <c r="O103" s="48">
        <v>94.88</v>
      </c>
      <c r="P103" s="48"/>
      <c r="Q103" s="48">
        <v>64.180000000000007</v>
      </c>
      <c r="R103" s="48">
        <v>54.36</v>
      </c>
      <c r="S103" s="48">
        <v>112.17</v>
      </c>
      <c r="T103" s="48">
        <v>35.840000000000003</v>
      </c>
      <c r="U103" s="48"/>
    </row>
    <row r="104" spans="1:21" ht="15" customHeight="1" x14ac:dyDescent="0.2">
      <c r="A104" s="47">
        <v>45856</v>
      </c>
      <c r="B104" s="48">
        <v>365.79</v>
      </c>
      <c r="C104" s="48">
        <v>111.78</v>
      </c>
      <c r="D104" s="48">
        <v>734.58</v>
      </c>
      <c r="E104" s="48">
        <v>283.33999999999997</v>
      </c>
      <c r="F104" s="48">
        <v>118.99</v>
      </c>
      <c r="G104" s="48">
        <v>93.11</v>
      </c>
      <c r="H104" s="48">
        <v>114.39</v>
      </c>
      <c r="I104" s="48">
        <v>172.41</v>
      </c>
      <c r="J104" s="48">
        <v>106.78</v>
      </c>
      <c r="K104" s="48">
        <v>153.52000000000001</v>
      </c>
      <c r="L104" s="48">
        <v>240.4</v>
      </c>
      <c r="M104" s="48">
        <v>129.06</v>
      </c>
      <c r="N104" s="48">
        <v>459.81</v>
      </c>
      <c r="O104" s="48">
        <v>93.77</v>
      </c>
      <c r="P104" s="48"/>
      <c r="Q104" s="48">
        <v>64.319999999999993</v>
      </c>
      <c r="R104" s="48">
        <v>54.69</v>
      </c>
      <c r="S104" s="48">
        <v>113.83</v>
      </c>
      <c r="T104" s="48">
        <v>35.08</v>
      </c>
      <c r="U104" s="48"/>
    </row>
    <row r="105" spans="1:21" ht="15" customHeight="1" x14ac:dyDescent="0.2">
      <c r="A105" s="47">
        <v>45863</v>
      </c>
      <c r="B105" s="48">
        <v>370.74</v>
      </c>
      <c r="C105" s="48">
        <v>114.28</v>
      </c>
      <c r="D105" s="48">
        <v>711.25</v>
      </c>
      <c r="E105" s="48">
        <v>290.18</v>
      </c>
      <c r="F105" s="48">
        <v>116.98</v>
      </c>
      <c r="G105" s="48">
        <v>90.21</v>
      </c>
      <c r="H105" s="48">
        <v>111.26</v>
      </c>
      <c r="I105" s="48">
        <v>173.5</v>
      </c>
      <c r="J105" s="48">
        <v>110.29</v>
      </c>
      <c r="K105" s="48">
        <v>158.80000000000001</v>
      </c>
      <c r="L105" s="48">
        <v>245.6</v>
      </c>
      <c r="M105" s="48">
        <v>137.47</v>
      </c>
      <c r="N105" s="48">
        <v>469.65</v>
      </c>
      <c r="O105" s="48">
        <v>95.15</v>
      </c>
      <c r="P105" s="48"/>
      <c r="Q105" s="48">
        <v>64.87</v>
      </c>
      <c r="R105" s="48">
        <v>55.08</v>
      </c>
      <c r="S105" s="48">
        <v>115.03</v>
      </c>
      <c r="T105" s="48">
        <v>35.85</v>
      </c>
      <c r="U105" s="48"/>
    </row>
    <row r="106" spans="1:21" ht="15" customHeight="1" x14ac:dyDescent="0.2">
      <c r="A106" s="47">
        <v>45870</v>
      </c>
      <c r="B106" s="48">
        <v>347.8</v>
      </c>
      <c r="C106" s="48">
        <v>117.57</v>
      </c>
      <c r="D106" s="48">
        <v>689.82</v>
      </c>
      <c r="E106" s="48">
        <v>288.64</v>
      </c>
      <c r="F106" s="48">
        <v>111.67</v>
      </c>
      <c r="G106" s="48">
        <v>88.66</v>
      </c>
      <c r="H106" s="48">
        <v>104.88</v>
      </c>
      <c r="I106" s="48">
        <v>173.72</v>
      </c>
      <c r="J106" s="48">
        <v>104.91</v>
      </c>
      <c r="K106" s="48">
        <v>154.27000000000001</v>
      </c>
      <c r="L106" s="48">
        <v>235.21</v>
      </c>
      <c r="M106" s="48">
        <v>141.59</v>
      </c>
      <c r="N106" s="48">
        <v>462.13</v>
      </c>
      <c r="O106" s="48">
        <v>90.37</v>
      </c>
      <c r="P106" s="48"/>
      <c r="Q106" s="48">
        <v>65</v>
      </c>
      <c r="R106" s="48">
        <v>53.81</v>
      </c>
      <c r="S106" s="48">
        <v>113.23</v>
      </c>
      <c r="T106" s="48">
        <v>34.35</v>
      </c>
      <c r="U106" s="48"/>
    </row>
    <row r="107" spans="1:21" ht="15" customHeight="1" x14ac:dyDescent="0.2">
      <c r="A107" s="47">
        <v>45877</v>
      </c>
      <c r="B107" s="48">
        <v>341.05</v>
      </c>
      <c r="C107" s="48">
        <v>139.18</v>
      </c>
      <c r="D107" s="48">
        <v>722.32</v>
      </c>
      <c r="E107" s="48">
        <v>304.97000000000003</v>
      </c>
      <c r="F107" s="48">
        <v>106.12</v>
      </c>
      <c r="G107" s="48">
        <v>91.48</v>
      </c>
      <c r="H107" s="48">
        <v>118.89</v>
      </c>
      <c r="I107" s="48">
        <v>182.7</v>
      </c>
      <c r="J107" s="48">
        <v>105.68</v>
      </c>
      <c r="K107" s="48">
        <v>186.96</v>
      </c>
      <c r="L107" s="48">
        <v>241.83</v>
      </c>
      <c r="M107" s="48">
        <v>139.93</v>
      </c>
      <c r="N107" s="48">
        <v>366.54</v>
      </c>
      <c r="O107" s="48">
        <v>92.47</v>
      </c>
      <c r="P107" s="48"/>
      <c r="Q107" s="48">
        <v>64.89</v>
      </c>
      <c r="R107" s="48">
        <v>55.32</v>
      </c>
      <c r="S107" s="48">
        <v>117.19</v>
      </c>
      <c r="T107" s="48">
        <v>34.69</v>
      </c>
      <c r="U107" s="48"/>
    </row>
    <row r="108" spans="1:21" ht="15" customHeight="1" x14ac:dyDescent="0.2">
      <c r="A108" s="47">
        <v>45884</v>
      </c>
      <c r="B108" s="48">
        <v>354.85</v>
      </c>
      <c r="C108" s="48">
        <v>137.30000000000001</v>
      </c>
      <c r="D108" s="48">
        <v>742.16</v>
      </c>
      <c r="E108" s="48">
        <v>306.33999999999997</v>
      </c>
      <c r="F108" s="48">
        <v>106.98</v>
      </c>
      <c r="G108" s="48">
        <v>87.49</v>
      </c>
      <c r="H108" s="48">
        <v>120.87</v>
      </c>
      <c r="I108" s="48">
        <v>180.45</v>
      </c>
      <c r="J108" s="48">
        <v>106.59</v>
      </c>
      <c r="K108" s="48">
        <v>177.17</v>
      </c>
      <c r="L108" s="48">
        <v>238.88</v>
      </c>
      <c r="M108" s="48">
        <v>133.07</v>
      </c>
      <c r="N108" s="48">
        <v>392.79</v>
      </c>
      <c r="O108" s="48">
        <v>95.23</v>
      </c>
      <c r="P108" s="48"/>
      <c r="Q108" s="48">
        <v>65.099999999999994</v>
      </c>
      <c r="R108" s="48">
        <v>55.8</v>
      </c>
      <c r="S108" s="48">
        <v>117.31</v>
      </c>
      <c r="T108" s="48">
        <v>36.06</v>
      </c>
      <c r="U108" s="48"/>
    </row>
    <row r="109" spans="1:21" ht="15" customHeight="1" x14ac:dyDescent="0.2">
      <c r="A109" s="47">
        <v>45891</v>
      </c>
      <c r="B109" s="48">
        <v>362.09</v>
      </c>
      <c r="C109" s="48">
        <v>133.25</v>
      </c>
      <c r="D109" s="48">
        <v>754.89</v>
      </c>
      <c r="E109" s="48">
        <v>294</v>
      </c>
      <c r="F109" s="48">
        <v>105.14</v>
      </c>
      <c r="G109" s="48">
        <v>87.03</v>
      </c>
      <c r="H109" s="48">
        <v>117.68</v>
      </c>
      <c r="I109" s="48">
        <v>177.99</v>
      </c>
      <c r="J109" s="48">
        <v>112.28</v>
      </c>
      <c r="K109" s="48">
        <v>158.74</v>
      </c>
      <c r="L109" s="48">
        <v>232.99</v>
      </c>
      <c r="M109" s="48">
        <v>125.97</v>
      </c>
      <c r="N109" s="48">
        <v>395.12</v>
      </c>
      <c r="O109" s="48">
        <v>99.02</v>
      </c>
      <c r="P109" s="48"/>
      <c r="Q109" s="48">
        <v>64.28</v>
      </c>
      <c r="R109" s="48">
        <v>55.67</v>
      </c>
      <c r="S109" s="48">
        <v>116.51</v>
      </c>
      <c r="T109" s="48">
        <v>36.99</v>
      </c>
      <c r="U109" s="48"/>
    </row>
    <row r="110" spans="1:21" ht="15" customHeight="1" x14ac:dyDescent="0.2">
      <c r="A110" s="47">
        <v>45898</v>
      </c>
      <c r="B110" s="48">
        <v>356.7</v>
      </c>
      <c r="C110" s="48">
        <v>136.55000000000001</v>
      </c>
      <c r="D110" s="48">
        <v>742.62</v>
      </c>
      <c r="E110" s="48">
        <v>297.39</v>
      </c>
      <c r="F110" s="48">
        <v>105.93</v>
      </c>
      <c r="G110" s="48">
        <v>87.2</v>
      </c>
      <c r="H110" s="48">
        <v>119.01</v>
      </c>
      <c r="I110" s="48">
        <v>174.18</v>
      </c>
      <c r="J110" s="48">
        <v>113.78</v>
      </c>
      <c r="K110" s="48">
        <v>156.71</v>
      </c>
      <c r="L110" s="48">
        <v>230.87</v>
      </c>
      <c r="M110" s="48">
        <v>127.55</v>
      </c>
      <c r="N110" s="48">
        <v>391.02</v>
      </c>
      <c r="O110" s="48">
        <v>99.85</v>
      </c>
      <c r="P110" s="48"/>
      <c r="Q110" s="48">
        <v>64.91</v>
      </c>
      <c r="R110" s="48">
        <v>55.68</v>
      </c>
      <c r="S110" s="48">
        <v>116.48</v>
      </c>
      <c r="T110" s="48">
        <v>37.33</v>
      </c>
      <c r="U110" s="48"/>
    </row>
    <row r="111" spans="1:21" ht="15" customHeight="1" x14ac:dyDescent="0.2">
      <c r="A111" s="47">
        <v>45905</v>
      </c>
      <c r="B111" s="48">
        <v>348.97</v>
      </c>
      <c r="C111" s="48">
        <v>142.85</v>
      </c>
      <c r="D111" s="48">
        <v>781.7</v>
      </c>
      <c r="E111" s="48">
        <v>334.89</v>
      </c>
      <c r="F111" s="48">
        <v>104.41</v>
      </c>
      <c r="G111" s="48">
        <v>90.51</v>
      </c>
      <c r="H111" s="48">
        <v>131.37</v>
      </c>
      <c r="I111" s="48">
        <v>167.02</v>
      </c>
      <c r="J111" s="48">
        <v>113.65</v>
      </c>
      <c r="K111" s="48">
        <v>153.11000000000001</v>
      </c>
      <c r="L111" s="48">
        <v>243.41</v>
      </c>
      <c r="M111" s="48">
        <v>124</v>
      </c>
      <c r="N111" s="48">
        <v>396.12</v>
      </c>
      <c r="O111" s="48">
        <v>100.94</v>
      </c>
      <c r="P111" s="48"/>
      <c r="Q111" s="48">
        <v>65.56</v>
      </c>
      <c r="R111" s="48">
        <v>55.78</v>
      </c>
      <c r="S111" s="48">
        <v>117.05</v>
      </c>
      <c r="T111" s="48">
        <v>37.61</v>
      </c>
      <c r="U111" s="48"/>
    </row>
    <row r="112" spans="1:21" ht="15" customHeight="1" x14ac:dyDescent="0.2">
      <c r="A112" s="47">
        <v>45912</v>
      </c>
      <c r="B112" s="48">
        <v>349.36</v>
      </c>
      <c r="C112" s="48">
        <v>139.38999999999999</v>
      </c>
      <c r="D112" s="48">
        <v>813.87</v>
      </c>
      <c r="E112" s="48">
        <v>359.87</v>
      </c>
      <c r="F112" s="48">
        <v>109.03</v>
      </c>
      <c r="G112" s="48">
        <v>96.4</v>
      </c>
      <c r="H112" s="48">
        <v>157.22999999999999</v>
      </c>
      <c r="I112" s="48">
        <v>177.82</v>
      </c>
      <c r="J112" s="48">
        <v>115.35</v>
      </c>
      <c r="K112" s="48">
        <v>171.43</v>
      </c>
      <c r="L112" s="48">
        <v>259.33</v>
      </c>
      <c r="M112" s="48">
        <v>134.84</v>
      </c>
      <c r="N112" s="48">
        <v>394.53</v>
      </c>
      <c r="O112" s="48">
        <v>100.14</v>
      </c>
      <c r="P112" s="48"/>
      <c r="Q112" s="48">
        <v>65.599999999999994</v>
      </c>
      <c r="R112" s="48">
        <v>56.54</v>
      </c>
      <c r="S112" s="48">
        <v>120.48</v>
      </c>
      <c r="T112" s="48">
        <v>37.5</v>
      </c>
      <c r="U112" s="48"/>
    </row>
    <row r="113" spans="1:21" ht="15" customHeight="1" x14ac:dyDescent="0.2">
      <c r="A113" s="47">
        <v>45919</v>
      </c>
      <c r="B113" s="48">
        <v>365.9</v>
      </c>
      <c r="C113" s="48">
        <v>149.61000000000001</v>
      </c>
      <c r="D113" s="48">
        <v>932.15</v>
      </c>
      <c r="E113" s="48">
        <v>344.94</v>
      </c>
      <c r="F113" s="48">
        <v>125.64</v>
      </c>
      <c r="G113" s="48">
        <v>104.48</v>
      </c>
      <c r="H113" s="48">
        <v>162.72999999999999</v>
      </c>
      <c r="I113" s="48">
        <v>176.67</v>
      </c>
      <c r="J113" s="48">
        <v>113.51</v>
      </c>
      <c r="K113" s="48">
        <v>182.39</v>
      </c>
      <c r="L113" s="48">
        <v>264.87</v>
      </c>
      <c r="M113" s="48">
        <v>143.6</v>
      </c>
      <c r="N113" s="48">
        <v>383.12</v>
      </c>
      <c r="O113" s="48">
        <v>100.71</v>
      </c>
      <c r="P113" s="48"/>
      <c r="Q113" s="48">
        <v>65.27</v>
      </c>
      <c r="R113" s="48">
        <v>57.16</v>
      </c>
      <c r="S113" s="48">
        <v>121.93</v>
      </c>
      <c r="T113" s="48">
        <v>37.450000000000003</v>
      </c>
      <c r="U113" s="48"/>
    </row>
    <row r="114" spans="1:21" ht="15" customHeight="1" x14ac:dyDescent="0.2">
      <c r="A114" s="47">
        <v>45926</v>
      </c>
      <c r="B114" s="48">
        <v>360.37</v>
      </c>
      <c r="C114" s="48">
        <v>142.5</v>
      </c>
      <c r="D114" s="48">
        <v>951.52</v>
      </c>
      <c r="E114" s="48">
        <v>334.53</v>
      </c>
      <c r="F114" s="48">
        <v>120.36</v>
      </c>
      <c r="G114" s="48">
        <v>106.43</v>
      </c>
      <c r="H114" s="48">
        <v>157.27000000000001</v>
      </c>
      <c r="I114" s="48">
        <v>178.19</v>
      </c>
      <c r="J114" s="48">
        <v>114.19</v>
      </c>
      <c r="K114" s="48">
        <v>177.57</v>
      </c>
      <c r="L114" s="48">
        <v>273.36</v>
      </c>
      <c r="M114" s="48">
        <v>138.62</v>
      </c>
      <c r="N114" s="48">
        <v>385.74</v>
      </c>
      <c r="O114" s="48">
        <v>100.55</v>
      </c>
      <c r="P114" s="48"/>
      <c r="Q114" s="48">
        <v>65.37</v>
      </c>
      <c r="R114" s="48">
        <v>57.25</v>
      </c>
      <c r="S114" s="48">
        <v>120.58</v>
      </c>
      <c r="T114" s="48">
        <v>37.74</v>
      </c>
      <c r="U114" s="48"/>
    </row>
    <row r="115" spans="1:21" ht="15" customHeight="1" x14ac:dyDescent="0.2">
      <c r="A115" s="47">
        <v>45933</v>
      </c>
      <c r="B115" s="48">
        <v>346.74</v>
      </c>
      <c r="C115" s="48">
        <v>145.5</v>
      </c>
      <c r="D115" s="48">
        <v>1032.22</v>
      </c>
      <c r="E115" s="48">
        <v>338.37</v>
      </c>
      <c r="F115" s="48">
        <v>122.47</v>
      </c>
      <c r="G115" s="48">
        <v>110.16</v>
      </c>
      <c r="H115" s="48">
        <v>187.83</v>
      </c>
      <c r="I115" s="48">
        <v>187.62</v>
      </c>
      <c r="J115" s="48">
        <v>117.06</v>
      </c>
      <c r="K115" s="48">
        <v>173.07</v>
      </c>
      <c r="L115" s="48">
        <v>292.19</v>
      </c>
      <c r="M115" s="48">
        <v>160.19999999999999</v>
      </c>
      <c r="N115" s="48">
        <v>403.3</v>
      </c>
      <c r="O115" s="48">
        <v>100.66</v>
      </c>
      <c r="P115" s="48"/>
      <c r="Q115" s="48">
        <v>64.790000000000006</v>
      </c>
      <c r="R115" s="48">
        <v>57.28</v>
      </c>
      <c r="S115" s="48">
        <v>120.09</v>
      </c>
      <c r="T115" s="48">
        <v>37.869999999999997</v>
      </c>
      <c r="U115" s="48"/>
    </row>
    <row r="116" spans="1:21" ht="15" customHeight="1" x14ac:dyDescent="0.2">
      <c r="A116" s="47">
        <v>45940</v>
      </c>
      <c r="B116" s="48">
        <v>337.51</v>
      </c>
      <c r="C116" s="48">
        <v>154.1</v>
      </c>
      <c r="D116" s="48">
        <v>936.19</v>
      </c>
      <c r="E116" s="48">
        <v>324.63</v>
      </c>
      <c r="F116" s="48">
        <v>123.42</v>
      </c>
      <c r="G116" s="48">
        <v>98.28</v>
      </c>
      <c r="H116" s="48">
        <v>181.6</v>
      </c>
      <c r="I116" s="48">
        <v>183.16</v>
      </c>
      <c r="J116" s="48">
        <v>111.23</v>
      </c>
      <c r="K116" s="48">
        <v>175.44</v>
      </c>
      <c r="L116" s="48">
        <v>280.66000000000003</v>
      </c>
      <c r="M116" s="48">
        <v>169.01</v>
      </c>
      <c r="N116" s="48">
        <v>407.79</v>
      </c>
      <c r="O116" s="48">
        <v>95.19</v>
      </c>
      <c r="P116" s="48"/>
      <c r="Q116" s="48">
        <v>66.2</v>
      </c>
      <c r="R116" s="48">
        <v>56.33</v>
      </c>
      <c r="S116" s="48">
        <v>118.5</v>
      </c>
      <c r="T116" s="48">
        <v>36.58</v>
      </c>
      <c r="U116" s="48"/>
    </row>
    <row r="117" spans="1:21" ht="15" customHeight="1" x14ac:dyDescent="0.2">
      <c r="A117" s="47">
        <v>45947</v>
      </c>
      <c r="B117" s="48">
        <v>333.26</v>
      </c>
      <c r="C117" s="48">
        <v>143.1</v>
      </c>
      <c r="D117" s="48">
        <v>1029.27</v>
      </c>
      <c r="E117" s="48">
        <v>349.33</v>
      </c>
      <c r="F117" s="48">
        <v>121.16</v>
      </c>
      <c r="G117" s="48">
        <v>110.67</v>
      </c>
      <c r="H117" s="48">
        <v>202.38</v>
      </c>
      <c r="I117" s="48">
        <v>183.22</v>
      </c>
      <c r="J117" s="48">
        <v>124.08</v>
      </c>
      <c r="K117" s="48">
        <v>178.15</v>
      </c>
      <c r="L117" s="48">
        <v>295.08</v>
      </c>
      <c r="M117" s="48">
        <v>174</v>
      </c>
      <c r="N117" s="48">
        <v>416.81</v>
      </c>
      <c r="O117" s="48">
        <v>97.06</v>
      </c>
      <c r="P117" s="48"/>
      <c r="Q117" s="48">
        <v>66.349999999999994</v>
      </c>
      <c r="R117" s="48">
        <v>57.48</v>
      </c>
      <c r="S117" s="48">
        <v>120.42</v>
      </c>
      <c r="T117" s="48">
        <v>37.090000000000003</v>
      </c>
      <c r="U117" s="48"/>
    </row>
    <row r="118" spans="1:21" ht="15" customHeight="1" x14ac:dyDescent="0.2">
      <c r="A118" s="47">
        <v>45954</v>
      </c>
      <c r="B118" s="48">
        <v>353.52</v>
      </c>
      <c r="C118" s="48">
        <v>153.82</v>
      </c>
      <c r="D118" s="48">
        <v>1033.0999999999999</v>
      </c>
      <c r="E118" s="48">
        <v>354.13</v>
      </c>
      <c r="F118" s="48">
        <v>131.83000000000001</v>
      </c>
      <c r="G118" s="48">
        <v>118.28</v>
      </c>
      <c r="H118" s="48">
        <v>219.02</v>
      </c>
      <c r="I118" s="48">
        <v>186.26</v>
      </c>
      <c r="J118" s="48">
        <v>126.43</v>
      </c>
      <c r="K118" s="48">
        <v>184.63</v>
      </c>
      <c r="L118" s="48">
        <v>294.95999999999998</v>
      </c>
      <c r="M118" s="48">
        <v>186.06</v>
      </c>
      <c r="N118" s="48">
        <v>421.39</v>
      </c>
      <c r="O118" s="48">
        <v>99.91</v>
      </c>
      <c r="P118" s="48"/>
      <c r="Q118" s="48">
        <v>66.27</v>
      </c>
      <c r="R118" s="48">
        <v>58.55</v>
      </c>
      <c r="S118" s="48">
        <v>121.71</v>
      </c>
      <c r="T118" s="48">
        <v>38.06</v>
      </c>
      <c r="U118" s="48"/>
    </row>
    <row r="119" spans="1:21" ht="15" customHeight="1" x14ac:dyDescent="0.2">
      <c r="A119" s="47">
        <v>45961</v>
      </c>
      <c r="B119" s="48">
        <v>340.31</v>
      </c>
      <c r="C119" s="48">
        <v>157.69</v>
      </c>
      <c r="D119" s="48">
        <v>1059.23</v>
      </c>
      <c r="E119" s="48">
        <v>369.63</v>
      </c>
      <c r="F119" s="48">
        <v>135.75</v>
      </c>
      <c r="G119" s="48">
        <v>120.87</v>
      </c>
      <c r="H119" s="48">
        <v>223.77</v>
      </c>
      <c r="I119" s="48">
        <v>202.49</v>
      </c>
      <c r="J119" s="48">
        <v>124.09</v>
      </c>
      <c r="K119" s="48">
        <v>200.47</v>
      </c>
      <c r="L119" s="48">
        <v>300.43</v>
      </c>
      <c r="M119" s="48">
        <v>192.86</v>
      </c>
      <c r="N119" s="48">
        <v>425.57</v>
      </c>
      <c r="O119" s="48">
        <v>97.8</v>
      </c>
      <c r="P119" s="48"/>
      <c r="Q119" s="48">
        <v>66.290000000000006</v>
      </c>
      <c r="R119" s="48">
        <v>59.1</v>
      </c>
      <c r="S119" s="48">
        <v>121.7</v>
      </c>
      <c r="T119" s="48">
        <v>37.82</v>
      </c>
      <c r="U119" s="48"/>
    </row>
    <row r="120" spans="1:21" ht="15" customHeight="1" x14ac:dyDescent="0.2">
      <c r="A120" s="47">
        <v>45968</v>
      </c>
      <c r="B120" s="48">
        <v>326.95</v>
      </c>
      <c r="C120" s="48">
        <v>134.65</v>
      </c>
      <c r="D120" s="48">
        <v>1016.96</v>
      </c>
      <c r="E120" s="48">
        <v>349.43</v>
      </c>
      <c r="F120" s="48">
        <v>134.94999999999999</v>
      </c>
      <c r="G120" s="48">
        <v>119.34</v>
      </c>
      <c r="H120" s="48">
        <v>237.92</v>
      </c>
      <c r="I120" s="48">
        <v>188.15</v>
      </c>
      <c r="J120" s="48">
        <v>125.6</v>
      </c>
      <c r="K120" s="48">
        <v>177.93</v>
      </c>
      <c r="L120" s="48">
        <v>286.5</v>
      </c>
      <c r="M120" s="48">
        <v>179.8</v>
      </c>
      <c r="N120" s="48">
        <v>409.47</v>
      </c>
      <c r="O120" s="48">
        <v>97.74</v>
      </c>
      <c r="P120" s="48"/>
      <c r="Q120" s="48">
        <v>67</v>
      </c>
      <c r="R120" s="48">
        <v>57.71</v>
      </c>
      <c r="S120" s="48">
        <v>118.53</v>
      </c>
      <c r="T120" s="48">
        <v>37.880000000000003</v>
      </c>
      <c r="U120" s="48"/>
    </row>
    <row r="121" spans="1:21" ht="15" customHeight="1" x14ac:dyDescent="0.2">
      <c r="A121" s="47">
        <v>45975</v>
      </c>
      <c r="B121" s="48">
        <v>331.11</v>
      </c>
      <c r="C121" s="48">
        <v>131.37</v>
      </c>
      <c r="D121" s="48">
        <v>1006.98</v>
      </c>
      <c r="E121" s="48">
        <v>342.46</v>
      </c>
      <c r="F121" s="48">
        <v>134.38999999999999</v>
      </c>
      <c r="G121" s="48">
        <v>113.43</v>
      </c>
      <c r="H121" s="48">
        <v>246.83</v>
      </c>
      <c r="I121" s="48">
        <v>190.17</v>
      </c>
      <c r="J121" s="48">
        <v>122.83</v>
      </c>
      <c r="K121" s="48">
        <v>174.01</v>
      </c>
      <c r="L121" s="48">
        <v>284.82</v>
      </c>
      <c r="M121" s="48">
        <v>170.97</v>
      </c>
      <c r="N121" s="48">
        <v>437.15</v>
      </c>
      <c r="O121" s="48">
        <v>97.59</v>
      </c>
      <c r="P121" s="48"/>
      <c r="Q121" s="48">
        <v>66.44</v>
      </c>
      <c r="R121" s="48">
        <v>57.82</v>
      </c>
      <c r="S121" s="48">
        <v>117.83</v>
      </c>
      <c r="T121" s="48">
        <v>38.299999999999997</v>
      </c>
      <c r="U121" s="48"/>
    </row>
    <row r="122" spans="1:21" ht="15" customHeight="1" x14ac:dyDescent="0.2">
      <c r="A122" s="47">
        <v>45982</v>
      </c>
      <c r="B122" s="48">
        <v>324.19</v>
      </c>
      <c r="C122" s="48">
        <v>117.43</v>
      </c>
      <c r="D122" s="48">
        <v>966.57</v>
      </c>
      <c r="E122" s="48">
        <v>340.2</v>
      </c>
      <c r="F122" s="48">
        <v>122.67</v>
      </c>
      <c r="G122" s="48">
        <v>109.71</v>
      </c>
      <c r="H122" s="48">
        <v>207.37</v>
      </c>
      <c r="I122" s="48">
        <v>178.88</v>
      </c>
      <c r="J122" s="48">
        <v>125.79</v>
      </c>
      <c r="K122" s="48">
        <v>154.85</v>
      </c>
      <c r="L122" s="48">
        <v>275.06</v>
      </c>
      <c r="M122" s="48">
        <v>159.83000000000001</v>
      </c>
      <c r="N122" s="48">
        <v>426.76</v>
      </c>
      <c r="O122" s="48">
        <v>96.83</v>
      </c>
      <c r="P122" s="48"/>
      <c r="Q122" s="48">
        <v>67.05</v>
      </c>
      <c r="R122" s="48">
        <v>56.24</v>
      </c>
      <c r="S122" s="48">
        <v>114.3</v>
      </c>
      <c r="T122" s="48">
        <v>37.53</v>
      </c>
      <c r="U122" s="48"/>
    </row>
    <row r="123" spans="1:21" ht="15" customHeight="1" x14ac:dyDescent="0.2">
      <c r="A123" s="47">
        <v>45989</v>
      </c>
      <c r="B123" s="48">
        <v>320.13</v>
      </c>
      <c r="C123" s="48">
        <v>130.68</v>
      </c>
      <c r="D123" s="48">
        <v>1060</v>
      </c>
      <c r="E123" s="48">
        <v>402.96</v>
      </c>
      <c r="F123" s="48">
        <v>127.29</v>
      </c>
      <c r="G123" s="48">
        <v>117.55</v>
      </c>
      <c r="H123" s="48">
        <v>236.48</v>
      </c>
      <c r="I123" s="48">
        <v>177</v>
      </c>
      <c r="J123" s="48">
        <v>128.53</v>
      </c>
      <c r="K123" s="48">
        <v>168.45</v>
      </c>
      <c r="L123" s="48">
        <v>291.51</v>
      </c>
      <c r="M123" s="48">
        <v>179.73</v>
      </c>
      <c r="N123" s="48">
        <v>433.61</v>
      </c>
      <c r="O123" s="48">
        <v>101.13</v>
      </c>
      <c r="P123" s="48"/>
      <c r="Q123" s="48">
        <v>66.739999999999995</v>
      </c>
      <c r="R123" s="48">
        <v>58.81</v>
      </c>
      <c r="S123" s="48">
        <v>120.12</v>
      </c>
      <c r="T123" s="48">
        <v>38.82</v>
      </c>
      <c r="U123" s="48"/>
    </row>
    <row r="124" spans="1:21" ht="15" customHeight="1" x14ac:dyDescent="0.2">
      <c r="A124" s="47">
        <v>45996</v>
      </c>
      <c r="B124" s="48">
        <v>346.26</v>
      </c>
      <c r="C124" s="48">
        <v>128.59</v>
      </c>
      <c r="D124" s="48">
        <v>1099.47</v>
      </c>
      <c r="E124" s="48">
        <v>390.24</v>
      </c>
      <c r="F124" s="48">
        <v>128.01</v>
      </c>
      <c r="G124" s="48">
        <v>121.45</v>
      </c>
      <c r="H124" s="48">
        <v>237.22</v>
      </c>
      <c r="I124" s="48">
        <v>182.41</v>
      </c>
      <c r="J124" s="48">
        <v>127.98</v>
      </c>
      <c r="K124" s="48">
        <v>181.76</v>
      </c>
      <c r="L124" s="48">
        <v>294.72000000000003</v>
      </c>
      <c r="M124" s="48">
        <v>189.02</v>
      </c>
      <c r="N124" s="48">
        <v>455.48</v>
      </c>
      <c r="O124" s="48">
        <v>102.9</v>
      </c>
      <c r="P124" s="48"/>
      <c r="Q124" s="48">
        <v>66.72</v>
      </c>
      <c r="R124" s="48">
        <v>58.82</v>
      </c>
      <c r="S124" s="48">
        <v>120.85</v>
      </c>
      <c r="T124" s="48">
        <v>39.42</v>
      </c>
      <c r="U124" s="48"/>
    </row>
    <row r="125" spans="1:21" ht="15" customHeight="1" x14ac:dyDescent="0.2">
      <c r="A125" s="47">
        <v>46003</v>
      </c>
      <c r="B125" s="48">
        <v>356.43</v>
      </c>
      <c r="C125" s="48">
        <v>124.76</v>
      </c>
      <c r="D125" s="48">
        <v>1080.8499999999999</v>
      </c>
      <c r="E125" s="48">
        <v>359.93</v>
      </c>
      <c r="F125" s="48">
        <v>126.2</v>
      </c>
      <c r="G125" s="48">
        <v>119.39</v>
      </c>
      <c r="H125" s="48">
        <v>241.14</v>
      </c>
      <c r="I125" s="48">
        <v>175.02</v>
      </c>
      <c r="J125" s="48">
        <v>130.18</v>
      </c>
      <c r="K125" s="48">
        <v>183.57</v>
      </c>
      <c r="L125" s="48">
        <v>292.04000000000002</v>
      </c>
      <c r="M125" s="48">
        <v>161.27000000000001</v>
      </c>
      <c r="N125" s="48">
        <v>452.04</v>
      </c>
      <c r="O125" s="48">
        <v>105.11</v>
      </c>
      <c r="P125" s="48"/>
      <c r="Q125" s="48">
        <v>66.97</v>
      </c>
      <c r="R125" s="48">
        <v>58.18</v>
      </c>
      <c r="S125" s="48">
        <v>119.1</v>
      </c>
      <c r="T125" s="48">
        <v>39.700000000000003</v>
      </c>
      <c r="U125" s="48"/>
    </row>
    <row r="126" spans="1:21" ht="15" customHeight="1" x14ac:dyDescent="0.2">
      <c r="A126" s="47">
        <v>46010</v>
      </c>
      <c r="B126" s="48">
        <v>355.86</v>
      </c>
      <c r="C126" s="48">
        <v>131.12</v>
      </c>
      <c r="D126" s="48">
        <v>1056.02</v>
      </c>
      <c r="E126" s="48">
        <v>340.36</v>
      </c>
      <c r="F126" s="48">
        <v>120.32</v>
      </c>
      <c r="G126" s="48">
        <v>124.57</v>
      </c>
      <c r="H126" s="48">
        <v>265.92</v>
      </c>
      <c r="I126" s="48">
        <v>180.99</v>
      </c>
      <c r="J126" s="48">
        <v>127.23</v>
      </c>
      <c r="K126" s="48">
        <v>193.38</v>
      </c>
      <c r="L126" s="48">
        <v>288.95</v>
      </c>
      <c r="M126" s="48">
        <v>159.82</v>
      </c>
      <c r="N126" s="48">
        <v>456.2</v>
      </c>
      <c r="O126" s="48">
        <v>103.78</v>
      </c>
      <c r="P126" s="48"/>
      <c r="Q126" s="48">
        <v>67.16</v>
      </c>
      <c r="R126" s="48">
        <v>58.62</v>
      </c>
      <c r="S126" s="48">
        <v>119.53</v>
      </c>
      <c r="T126" s="48">
        <v>39.53</v>
      </c>
      <c r="U126" s="48"/>
    </row>
    <row r="127" spans="1:21" ht="15" customHeight="1" x14ac:dyDescent="0.2">
      <c r="A127" s="47">
        <v>46017</v>
      </c>
      <c r="B127" s="48">
        <v>353.8</v>
      </c>
      <c r="C127" s="48">
        <v>131.84</v>
      </c>
      <c r="D127" s="48">
        <v>1072.75</v>
      </c>
      <c r="E127" s="48">
        <v>352.13</v>
      </c>
      <c r="F127" s="48">
        <v>120.3</v>
      </c>
      <c r="G127" s="48">
        <v>127.96</v>
      </c>
      <c r="H127" s="48">
        <v>284.79000000000002</v>
      </c>
      <c r="I127" s="48">
        <v>190.53</v>
      </c>
      <c r="J127" s="48">
        <v>128.71</v>
      </c>
      <c r="K127" s="48">
        <v>188.71</v>
      </c>
      <c r="L127" s="48">
        <v>302.83999999999997</v>
      </c>
      <c r="M127" s="48">
        <v>167.58</v>
      </c>
      <c r="N127" s="48">
        <v>462.9</v>
      </c>
      <c r="O127" s="48">
        <v>103.69</v>
      </c>
      <c r="P127" s="48"/>
      <c r="Q127" s="48">
        <v>66.569999999999993</v>
      </c>
      <c r="R127" s="48">
        <v>59.34</v>
      </c>
      <c r="S127" s="48">
        <v>121.38</v>
      </c>
      <c r="T127" s="48">
        <v>39.79</v>
      </c>
      <c r="U127" s="48"/>
    </row>
    <row r="128" spans="1:21" ht="15" customHeight="1" x14ac:dyDescent="0.2">
      <c r="A128" s="47">
        <v>46024</v>
      </c>
      <c r="B128" s="48">
        <v>333.3</v>
      </c>
      <c r="C128" s="48">
        <v>133.6</v>
      </c>
      <c r="D128" s="48">
        <v>1163.78</v>
      </c>
      <c r="E128" s="48">
        <v>347.62</v>
      </c>
      <c r="F128" s="48">
        <v>113.4</v>
      </c>
      <c r="G128" s="48">
        <v>127.45</v>
      </c>
      <c r="H128" s="48">
        <v>315.42</v>
      </c>
      <c r="I128" s="48">
        <v>188.85</v>
      </c>
      <c r="J128" s="48">
        <v>129.05000000000001</v>
      </c>
      <c r="K128" s="48">
        <v>167.86</v>
      </c>
      <c r="L128" s="48">
        <v>319.61</v>
      </c>
      <c r="M128" s="48">
        <v>175.61</v>
      </c>
      <c r="N128" s="48">
        <v>452.13</v>
      </c>
      <c r="O128" s="48">
        <v>103.12</v>
      </c>
      <c r="P128" s="48"/>
      <c r="Q128" s="48">
        <v>67.03</v>
      </c>
      <c r="R128" s="48">
        <v>58.09</v>
      </c>
      <c r="S128" s="48">
        <v>119.67</v>
      </c>
      <c r="T128" s="48">
        <v>39.42</v>
      </c>
      <c r="U128" s="48"/>
    </row>
    <row r="129" spans="1:21" ht="15" customHeight="1" x14ac:dyDescent="0.2">
      <c r="A129" s="47">
        <v>46031</v>
      </c>
      <c r="B129" s="48">
        <v>333.95</v>
      </c>
      <c r="C129" s="48">
        <v>122.89</v>
      </c>
      <c r="D129" s="48">
        <v>1273.8800000000001</v>
      </c>
      <c r="E129" s="48">
        <v>344.97</v>
      </c>
      <c r="F129" s="48">
        <v>117.65</v>
      </c>
      <c r="G129" s="48">
        <v>140</v>
      </c>
      <c r="H129" s="48">
        <v>345.09</v>
      </c>
      <c r="I129" s="48">
        <v>184.86</v>
      </c>
      <c r="J129" s="48">
        <v>129.4</v>
      </c>
      <c r="K129" s="48">
        <v>177.49</v>
      </c>
      <c r="L129" s="48">
        <v>323.63</v>
      </c>
      <c r="M129" s="48">
        <v>163.58000000000001</v>
      </c>
      <c r="N129" s="48">
        <v>463.86</v>
      </c>
      <c r="O129" s="48">
        <v>107.33</v>
      </c>
      <c r="P129" s="48"/>
      <c r="Q129" s="48">
        <v>66.64</v>
      </c>
      <c r="R129" s="48">
        <v>59.16</v>
      </c>
      <c r="S129" s="48">
        <v>120.03</v>
      </c>
      <c r="T129" s="48">
        <v>40.43</v>
      </c>
      <c r="U129" s="48"/>
    </row>
    <row r="130" spans="1:21" ht="15" customHeight="1" x14ac:dyDescent="0.2">
      <c r="A130" s="47">
        <v>46038</v>
      </c>
      <c r="B130" s="48">
        <v>296.12</v>
      </c>
      <c r="C130" s="48">
        <v>129.83000000000001</v>
      </c>
      <c r="D130" s="48">
        <v>1358.57</v>
      </c>
      <c r="E130" s="48">
        <v>351.71</v>
      </c>
      <c r="F130" s="48">
        <v>113.47</v>
      </c>
      <c r="G130" s="48">
        <v>156.78</v>
      </c>
      <c r="H130" s="48">
        <v>362.75</v>
      </c>
      <c r="I130" s="48">
        <v>186.23</v>
      </c>
      <c r="J130" s="48">
        <v>133.21</v>
      </c>
      <c r="K130" s="48">
        <v>170.96</v>
      </c>
      <c r="L130" s="48">
        <v>342.4</v>
      </c>
      <c r="M130" s="48">
        <v>176.93</v>
      </c>
      <c r="N130" s="48">
        <v>441.36</v>
      </c>
      <c r="O130" s="48">
        <v>108.51</v>
      </c>
      <c r="P130" s="48"/>
      <c r="Q130" s="48">
        <v>65.89</v>
      </c>
      <c r="R130" s="48">
        <v>58.92</v>
      </c>
      <c r="S130" s="48">
        <v>120</v>
      </c>
      <c r="T130" s="48">
        <v>39.61</v>
      </c>
      <c r="U130" s="48"/>
    </row>
    <row r="131" spans="1:21" ht="15" customHeight="1" x14ac:dyDescent="0.2">
      <c r="A131" s="47">
        <v>46045</v>
      </c>
      <c r="B131" s="48">
        <v>301.07</v>
      </c>
      <c r="C131" s="48">
        <v>136.34</v>
      </c>
      <c r="D131" s="48">
        <v>1389.04</v>
      </c>
      <c r="E131" s="48">
        <v>320.05</v>
      </c>
      <c r="F131" s="48">
        <v>113.12</v>
      </c>
      <c r="G131" s="48">
        <v>151.28</v>
      </c>
      <c r="H131" s="48">
        <v>399.65</v>
      </c>
      <c r="I131" s="48">
        <v>187.67</v>
      </c>
      <c r="J131" s="48">
        <v>127.15</v>
      </c>
      <c r="K131" s="48">
        <v>169.6</v>
      </c>
      <c r="L131" s="48">
        <v>334.87</v>
      </c>
      <c r="M131" s="48">
        <v>182.49</v>
      </c>
      <c r="N131" s="48">
        <v>468.41</v>
      </c>
      <c r="O131" s="48">
        <v>108.49</v>
      </c>
      <c r="P131" s="48"/>
      <c r="Q131" s="48">
        <v>65.010000000000005</v>
      </c>
      <c r="R131" s="48">
        <v>59.22</v>
      </c>
      <c r="S131" s="48">
        <v>117.92</v>
      </c>
      <c r="T131" s="48">
        <v>39.86</v>
      </c>
      <c r="U131" s="48"/>
    </row>
    <row r="132" spans="1:21" ht="15" customHeight="1" x14ac:dyDescent="0.2">
      <c r="A132" s="47">
        <v>46052</v>
      </c>
      <c r="B132" s="48">
        <v>293.25</v>
      </c>
      <c r="C132" s="48">
        <v>141.74</v>
      </c>
      <c r="D132" s="48">
        <v>1423</v>
      </c>
      <c r="E132" s="48">
        <v>331.3</v>
      </c>
      <c r="F132" s="48">
        <v>110.35</v>
      </c>
      <c r="G132" s="48">
        <v>142.79</v>
      </c>
      <c r="H132" s="48">
        <v>414.88</v>
      </c>
      <c r="I132" s="48">
        <v>191.13</v>
      </c>
      <c r="J132" s="48">
        <v>130.56</v>
      </c>
      <c r="K132" s="48">
        <v>146.59</v>
      </c>
      <c r="L132" s="48">
        <v>330.56</v>
      </c>
      <c r="M132" s="48">
        <v>186.18</v>
      </c>
      <c r="N132" s="48">
        <v>469.9</v>
      </c>
      <c r="O132" s="48">
        <v>109.27</v>
      </c>
      <c r="P132" s="48"/>
      <c r="Q132" s="48">
        <v>64.28</v>
      </c>
      <c r="R132" s="48">
        <v>59.43</v>
      </c>
      <c r="S132" s="48">
        <v>119.87</v>
      </c>
      <c r="T132" s="48">
        <v>39.47</v>
      </c>
      <c r="U132" s="48"/>
    </row>
    <row r="133" spans="1:21" ht="15" customHeight="1" x14ac:dyDescent="0.2">
      <c r="A133" s="47">
        <v>46059</v>
      </c>
      <c r="B133" s="48">
        <v>268.38</v>
      </c>
      <c r="C133" s="48">
        <v>137.49</v>
      </c>
      <c r="D133" s="48">
        <v>1413.01</v>
      </c>
      <c r="E133" s="48">
        <v>332.92</v>
      </c>
      <c r="F133" s="48">
        <v>98.88</v>
      </c>
      <c r="G133" s="48">
        <v>144.29</v>
      </c>
      <c r="H133" s="48">
        <v>394.69</v>
      </c>
      <c r="I133" s="48">
        <v>185.41</v>
      </c>
      <c r="J133" s="48">
        <v>136.94999999999999</v>
      </c>
      <c r="K133" s="48">
        <v>135.9</v>
      </c>
      <c r="L133" s="48">
        <v>348.85</v>
      </c>
      <c r="M133" s="48">
        <v>195.58</v>
      </c>
      <c r="N133" s="48">
        <v>477.92</v>
      </c>
      <c r="O133" s="48">
        <v>115.19</v>
      </c>
      <c r="P133" s="48"/>
      <c r="Q133" s="48">
        <v>63.39</v>
      </c>
      <c r="R133" s="48">
        <v>58.05</v>
      </c>
      <c r="S133" s="48">
        <v>119.84</v>
      </c>
      <c r="T133" s="48">
        <v>40.43</v>
      </c>
      <c r="U133" s="48"/>
    </row>
    <row r="134" spans="1:21" ht="15" customHeight="1" x14ac:dyDescent="0.2">
      <c r="A134" s="47">
        <v>46066</v>
      </c>
      <c r="B134" s="48">
        <v>263.97000000000003</v>
      </c>
      <c r="C134" s="48">
        <v>141.59</v>
      </c>
      <c r="D134" s="48">
        <v>1406.61</v>
      </c>
      <c r="E134" s="48">
        <v>325.17</v>
      </c>
      <c r="F134" s="48">
        <v>107.41</v>
      </c>
      <c r="G134" s="48">
        <v>146.41</v>
      </c>
      <c r="H134" s="48">
        <v>411.66</v>
      </c>
      <c r="I134" s="48">
        <v>182.81</v>
      </c>
      <c r="J134" s="48">
        <v>138.97</v>
      </c>
      <c r="K134" s="48">
        <v>131.41</v>
      </c>
      <c r="L134" s="48">
        <v>366.36</v>
      </c>
      <c r="M134" s="48">
        <v>234.53</v>
      </c>
      <c r="N134" s="48">
        <v>491.47</v>
      </c>
      <c r="O134" s="48">
        <v>114.9</v>
      </c>
      <c r="P134" s="48"/>
      <c r="Q134" s="48">
        <v>64.13</v>
      </c>
      <c r="R134" s="48">
        <v>57.51</v>
      </c>
      <c r="S134" s="48">
        <v>118.25</v>
      </c>
      <c r="T134" s="48">
        <v>40.26</v>
      </c>
      <c r="U134" s="48"/>
    </row>
    <row r="135" spans="1:21" ht="15" customHeight="1" x14ac:dyDescent="0.2">
      <c r="A135" s="47">
        <v>46073</v>
      </c>
      <c r="B135" s="48">
        <v>258.61</v>
      </c>
      <c r="C135" s="48">
        <v>132.79</v>
      </c>
      <c r="D135" s="48">
        <v>1469.59</v>
      </c>
      <c r="E135" s="48">
        <v>332.65</v>
      </c>
      <c r="F135" s="48">
        <v>97.15</v>
      </c>
      <c r="G135" s="48">
        <v>149.6</v>
      </c>
      <c r="H135" s="48">
        <v>428.17</v>
      </c>
      <c r="I135" s="48">
        <v>189.82</v>
      </c>
      <c r="J135" s="48">
        <v>141.51</v>
      </c>
      <c r="K135" s="48">
        <v>135.24</v>
      </c>
      <c r="L135" s="48">
        <v>370.54</v>
      </c>
      <c r="M135" s="48">
        <v>243.75</v>
      </c>
      <c r="N135" s="48">
        <v>476.9</v>
      </c>
      <c r="O135" s="48">
        <v>115.54</v>
      </c>
      <c r="P135" s="48"/>
      <c r="Q135" s="48">
        <v>65.44</v>
      </c>
      <c r="R135" s="48">
        <v>58.15</v>
      </c>
      <c r="S135" s="48">
        <v>119.96</v>
      </c>
      <c r="T135" s="48">
        <v>40.340000000000003</v>
      </c>
      <c r="U135" s="48"/>
    </row>
    <row r="136" spans="1:21" ht="15" customHeight="1" x14ac:dyDescent="0.2">
      <c r="A136" s="47">
        <v>46080</v>
      </c>
      <c r="B136" s="48">
        <v>262.41000000000003</v>
      </c>
      <c r="C136" s="48">
        <v>133.5</v>
      </c>
      <c r="D136" s="48">
        <v>1450.56</v>
      </c>
      <c r="E136" s="48">
        <v>319.55</v>
      </c>
      <c r="F136" s="48">
        <v>93</v>
      </c>
      <c r="G136" s="48">
        <v>152.46</v>
      </c>
      <c r="H136" s="48">
        <v>412.37</v>
      </c>
      <c r="I136" s="48">
        <v>177.19</v>
      </c>
      <c r="J136" s="48">
        <v>142.57</v>
      </c>
      <c r="K136" s="48">
        <v>137.19</v>
      </c>
      <c r="L136" s="48">
        <v>374.58</v>
      </c>
      <c r="M136" s="48">
        <v>254.89</v>
      </c>
      <c r="N136" s="48">
        <v>496.83</v>
      </c>
      <c r="O136" s="48">
        <v>112.98</v>
      </c>
      <c r="P136" s="48"/>
      <c r="Q136" s="48">
        <v>67.12</v>
      </c>
      <c r="R136" s="48">
        <v>58.04</v>
      </c>
      <c r="S136" s="48">
        <v>119.47</v>
      </c>
      <c r="T136" s="48">
        <v>40.479999999999997</v>
      </c>
      <c r="U136" s="48"/>
    </row>
    <row r="137" spans="1:21" ht="15" customHeight="1" x14ac:dyDescent="0.2">
      <c r="A137" s="47">
        <v>46087</v>
      </c>
      <c r="B137" s="48">
        <v>283.62</v>
      </c>
      <c r="C137" s="48">
        <v>132.88999999999999</v>
      </c>
      <c r="D137" s="48">
        <v>1292.8</v>
      </c>
      <c r="E137" s="48">
        <v>330.48</v>
      </c>
      <c r="F137" s="48">
        <v>107.25</v>
      </c>
      <c r="G137" s="48">
        <v>134.46</v>
      </c>
      <c r="H137" s="48">
        <v>370.3</v>
      </c>
      <c r="I137" s="48">
        <v>177.82</v>
      </c>
      <c r="J137" s="48">
        <v>134.54</v>
      </c>
      <c r="K137" s="48">
        <v>157.16</v>
      </c>
      <c r="L137" s="48">
        <v>338.89</v>
      </c>
      <c r="M137" s="48">
        <v>241.78</v>
      </c>
      <c r="N137" s="48">
        <v>456.69</v>
      </c>
      <c r="O137" s="48">
        <v>108.65</v>
      </c>
      <c r="P137" s="48"/>
      <c r="Q137" s="48">
        <v>67.27</v>
      </c>
      <c r="R137" s="48">
        <v>56.85</v>
      </c>
      <c r="S137" s="48">
        <v>118.24</v>
      </c>
      <c r="T137" s="48">
        <v>40.11</v>
      </c>
      <c r="U137" s="48"/>
    </row>
    <row r="138" spans="1:21" ht="15" customHeight="1" x14ac:dyDescent="0.2">
      <c r="A138" s="47">
        <v>46094</v>
      </c>
      <c r="B138" s="48">
        <v>249.32</v>
      </c>
      <c r="C138" s="48">
        <v>133.57</v>
      </c>
      <c r="D138" s="48">
        <v>1345.69</v>
      </c>
      <c r="E138" s="48">
        <v>322.16000000000003</v>
      </c>
      <c r="F138" s="48">
        <v>110.45</v>
      </c>
      <c r="G138" s="48">
        <v>141.86000000000001</v>
      </c>
      <c r="H138" s="48">
        <v>426.13</v>
      </c>
      <c r="I138" s="48">
        <v>180.25</v>
      </c>
      <c r="J138" s="48">
        <v>131.75</v>
      </c>
      <c r="K138" s="48">
        <v>150.94999999999999</v>
      </c>
      <c r="L138" s="48">
        <v>338.31</v>
      </c>
      <c r="M138" s="48">
        <v>258.88</v>
      </c>
      <c r="N138" s="48">
        <v>469.34</v>
      </c>
      <c r="O138" s="48">
        <v>106.29</v>
      </c>
      <c r="P138" s="48"/>
      <c r="Q138" s="48">
        <v>67.540000000000006</v>
      </c>
      <c r="R138" s="48">
        <v>56.56</v>
      </c>
      <c r="S138" s="48">
        <v>116.18</v>
      </c>
      <c r="T138" s="48">
        <v>39.200000000000003</v>
      </c>
      <c r="U138" s="48"/>
    </row>
    <row r="139" spans="1:21" ht="15" customHeight="1" x14ac:dyDescent="0.2">
      <c r="A139" s="47">
        <v>46101</v>
      </c>
      <c r="B139" s="48">
        <v>248.15</v>
      </c>
      <c r="C139" s="48">
        <v>131.22</v>
      </c>
      <c r="D139" s="48">
        <v>1317.25</v>
      </c>
      <c r="E139" s="48">
        <v>310.51</v>
      </c>
      <c r="F139" s="48">
        <v>102.25</v>
      </c>
      <c r="G139" s="48">
        <v>149.87</v>
      </c>
      <c r="H139" s="48">
        <v>422.9</v>
      </c>
      <c r="I139" s="48">
        <v>172.7</v>
      </c>
      <c r="J139" s="48">
        <v>128.01</v>
      </c>
      <c r="K139" s="48">
        <v>150.68</v>
      </c>
      <c r="L139" s="48">
        <v>329.24</v>
      </c>
      <c r="M139" s="48">
        <v>255.88</v>
      </c>
      <c r="N139" s="48">
        <v>454</v>
      </c>
      <c r="O139" s="48">
        <v>106.08</v>
      </c>
      <c r="P139" s="48"/>
      <c r="Q139" s="48">
        <v>67.680000000000007</v>
      </c>
      <c r="R139" s="48">
        <v>55.76</v>
      </c>
      <c r="S139" s="48">
        <v>113.78</v>
      </c>
      <c r="T139" s="48">
        <v>39.24</v>
      </c>
      <c r="U139" s="48"/>
    </row>
    <row r="140" spans="1:21" ht="15" customHeight="1" x14ac:dyDescent="0.2">
      <c r="A140" s="47">
        <v>46108</v>
      </c>
      <c r="B140" s="48">
        <v>234.84</v>
      </c>
      <c r="C140" s="48">
        <v>120.77</v>
      </c>
      <c r="D140" s="48">
        <v>1302.47</v>
      </c>
      <c r="E140" s="48">
        <v>300.68</v>
      </c>
      <c r="F140" s="48">
        <v>92.4</v>
      </c>
      <c r="G140" s="48">
        <v>144.32</v>
      </c>
      <c r="H140" s="48">
        <v>357.22</v>
      </c>
      <c r="I140" s="48">
        <v>167.52</v>
      </c>
      <c r="J140" s="48">
        <v>128.9</v>
      </c>
      <c r="K140" s="48">
        <v>143.06</v>
      </c>
      <c r="L140" s="48">
        <v>326.74</v>
      </c>
      <c r="M140" s="48">
        <v>251.07</v>
      </c>
      <c r="N140" s="48">
        <v>433.07</v>
      </c>
      <c r="O140" s="48">
        <v>109.23</v>
      </c>
      <c r="P140" s="48"/>
      <c r="Q140" s="48">
        <v>67.7</v>
      </c>
      <c r="R140" s="48">
        <v>54.13</v>
      </c>
      <c r="S140" s="48">
        <v>110.31</v>
      </c>
      <c r="T140" s="48">
        <v>38.75</v>
      </c>
      <c r="U140" s="48"/>
    </row>
    <row r="141" spans="1:21" ht="15" customHeight="1" x14ac:dyDescent="0.2">
      <c r="A141" s="47">
        <v>46114</v>
      </c>
      <c r="B141" s="48">
        <v>242.92</v>
      </c>
      <c r="C141" s="48">
        <v>126.68</v>
      </c>
      <c r="D141" s="48">
        <v>1317.23</v>
      </c>
      <c r="E141" s="48">
        <v>314.55</v>
      </c>
      <c r="F141" s="48">
        <v>99.78</v>
      </c>
      <c r="G141" s="48">
        <v>151.68</v>
      </c>
      <c r="H141" s="48">
        <v>366.24</v>
      </c>
      <c r="I141" s="48">
        <v>177.39</v>
      </c>
      <c r="J141" s="48">
        <v>133.77000000000001</v>
      </c>
      <c r="K141" s="48">
        <v>148.46</v>
      </c>
      <c r="L141" s="48">
        <v>339.04</v>
      </c>
      <c r="M141" s="48">
        <v>261.29000000000002</v>
      </c>
      <c r="N141" s="48">
        <v>438.71</v>
      </c>
      <c r="O141" s="48">
        <v>111.42</v>
      </c>
      <c r="P141" s="48"/>
      <c r="Q141" s="48">
        <v>67.75</v>
      </c>
      <c r="R141" s="48">
        <v>55.59</v>
      </c>
      <c r="S141" s="48">
        <v>114.74</v>
      </c>
      <c r="T141" s="48">
        <v>39.840000000000003</v>
      </c>
      <c r="U141" s="48"/>
    </row>
    <row r="142" spans="1:21" ht="15" customHeight="1" x14ac:dyDescent="0.2">
      <c r="A142" s="47">
        <v>46122</v>
      </c>
      <c r="B142" s="48">
        <v>225.35</v>
      </c>
      <c r="C142" s="48">
        <v>147.35</v>
      </c>
      <c r="D142" s="48">
        <v>1478.28</v>
      </c>
      <c r="E142" s="48">
        <v>371.55</v>
      </c>
      <c r="F142" s="48">
        <v>94.76</v>
      </c>
      <c r="G142" s="48">
        <v>173.73</v>
      </c>
      <c r="H142" s="48">
        <v>420.59</v>
      </c>
      <c r="I142" s="48">
        <v>188.63</v>
      </c>
      <c r="J142" s="48">
        <v>137.19</v>
      </c>
      <c r="K142" s="48">
        <v>128.06</v>
      </c>
      <c r="L142" s="48">
        <v>370.6</v>
      </c>
      <c r="M142" s="48">
        <v>295.11</v>
      </c>
      <c r="N142" s="48">
        <v>436.27</v>
      </c>
      <c r="O142" s="48">
        <v>114.73</v>
      </c>
      <c r="P142" s="48"/>
      <c r="Q142" s="48">
        <v>68.040000000000006</v>
      </c>
      <c r="R142" s="48">
        <v>57.62</v>
      </c>
      <c r="S142" s="48">
        <v>123.34</v>
      </c>
      <c r="T142" s="48">
        <v>39.64</v>
      </c>
      <c r="U142" s="48"/>
    </row>
    <row r="143" spans="1:21" ht="15" customHeight="1" x14ac:dyDescent="0.2">
      <c r="A143" s="47">
        <v>46129</v>
      </c>
      <c r="B143" s="48">
        <v>244.45</v>
      </c>
      <c r="C143" s="48">
        <v>164.23</v>
      </c>
      <c r="D143" s="48">
        <v>1459.8</v>
      </c>
      <c r="E143" s="48">
        <v>406.54</v>
      </c>
      <c r="F143" s="48">
        <v>105.99</v>
      </c>
      <c r="G143" s="48">
        <v>179.14</v>
      </c>
      <c r="H143" s="48">
        <v>455.07</v>
      </c>
      <c r="I143" s="48">
        <v>201.68</v>
      </c>
      <c r="J143" s="48">
        <v>145.1</v>
      </c>
      <c r="K143" s="48">
        <v>146.38999999999999</v>
      </c>
      <c r="L143" s="48">
        <v>370.5</v>
      </c>
      <c r="M143" s="48">
        <v>307.33999999999997</v>
      </c>
      <c r="N143" s="48">
        <v>441.2</v>
      </c>
      <c r="O143" s="48">
        <v>117.52</v>
      </c>
      <c r="P143" s="48"/>
      <c r="Q143" s="48">
        <v>67.319999999999993</v>
      </c>
      <c r="R143" s="48">
        <v>58.66</v>
      </c>
      <c r="S143" s="48">
        <v>128.30000000000001</v>
      </c>
      <c r="T143" s="48">
        <v>41.76</v>
      </c>
      <c r="U143" s="48"/>
    </row>
    <row r="144" spans="1:21" ht="15" customHeight="1" x14ac:dyDescent="0.2">
      <c r="A144" s="47">
        <v>46136</v>
      </c>
      <c r="B144" s="48">
        <v>245.44</v>
      </c>
      <c r="C144" s="48">
        <v>176.91</v>
      </c>
      <c r="D144" s="48">
        <v>1457.7</v>
      </c>
      <c r="E144" s="48">
        <v>422.76</v>
      </c>
      <c r="F144" s="48">
        <v>112.03</v>
      </c>
      <c r="G144" s="48">
        <v>193.5</v>
      </c>
      <c r="H144" s="48">
        <v>496.72</v>
      </c>
      <c r="I144" s="48">
        <v>208.27</v>
      </c>
      <c r="J144" s="48">
        <v>142.1</v>
      </c>
      <c r="K144" s="48">
        <v>143.09</v>
      </c>
      <c r="L144" s="48">
        <v>402.46</v>
      </c>
      <c r="M144" s="48">
        <v>323.45999999999998</v>
      </c>
      <c r="N144" s="48">
        <v>430.29</v>
      </c>
      <c r="O144" s="48">
        <v>118.96</v>
      </c>
      <c r="P144" s="48"/>
      <c r="Q144" s="48">
        <v>67.349999999999994</v>
      </c>
      <c r="R144" s="48">
        <v>58.99</v>
      </c>
      <c r="S144" s="48">
        <v>131.52000000000001</v>
      </c>
      <c r="T144" s="48">
        <v>41.52</v>
      </c>
      <c r="U144" s="48"/>
    </row>
    <row r="145" spans="1:21" ht="15" customHeight="1" x14ac:dyDescent="0.2">
      <c r="A145" s="47">
        <v>46143</v>
      </c>
      <c r="B145" s="48">
        <v>250.71</v>
      </c>
      <c r="C145" s="48">
        <v>172.7</v>
      </c>
      <c r="D145" s="48">
        <v>1427.02</v>
      </c>
      <c r="E145" s="48">
        <v>421.28</v>
      </c>
      <c r="F145" s="48">
        <v>113.91</v>
      </c>
      <c r="G145" s="48">
        <v>172.63</v>
      </c>
      <c r="H145" s="48">
        <v>542.21</v>
      </c>
      <c r="I145" s="48">
        <v>198.45</v>
      </c>
      <c r="J145" s="48">
        <v>141.41</v>
      </c>
      <c r="K145" s="48">
        <v>144.07</v>
      </c>
      <c r="L145" s="48">
        <v>397.67</v>
      </c>
      <c r="M145" s="48">
        <v>328.31</v>
      </c>
      <c r="N145" s="48">
        <v>423.92</v>
      </c>
      <c r="O145" s="48">
        <v>119.96</v>
      </c>
      <c r="P145" s="48"/>
      <c r="Q145" s="48">
        <v>67.92</v>
      </c>
      <c r="R145" s="48">
        <v>58.86</v>
      </c>
      <c r="S145" s="48">
        <v>134.41999999999999</v>
      </c>
      <c r="T145" s="48">
        <v>42.59</v>
      </c>
      <c r="U145" s="48"/>
    </row>
    <row r="146" spans="1:21" ht="15" customHeight="1" x14ac:dyDescent="0.2">
      <c r="A146" s="47">
        <v>46150</v>
      </c>
      <c r="B146" s="48">
        <v>253.04</v>
      </c>
      <c r="C146" s="48">
        <v>141.77000000000001</v>
      </c>
      <c r="D146" s="48">
        <v>1592.02</v>
      </c>
      <c r="E146" s="48">
        <v>430</v>
      </c>
      <c r="F146" s="48">
        <v>131.94</v>
      </c>
      <c r="G146" s="48">
        <v>186.92</v>
      </c>
      <c r="H146" s="48">
        <v>746.81</v>
      </c>
      <c r="I146" s="48">
        <v>215.2</v>
      </c>
      <c r="J146" s="48">
        <v>144.09</v>
      </c>
      <c r="K146" s="48">
        <v>137.80000000000001</v>
      </c>
      <c r="L146" s="48">
        <v>411.68</v>
      </c>
      <c r="M146" s="48">
        <v>339.97</v>
      </c>
      <c r="N146" s="48">
        <v>429.82</v>
      </c>
      <c r="O146" s="48">
        <v>119.84</v>
      </c>
      <c r="P146" s="48"/>
      <c r="Q146" s="48">
        <v>67.08</v>
      </c>
      <c r="R146" s="48">
        <v>59.61</v>
      </c>
      <c r="S146" s="48">
        <v>143.81</v>
      </c>
      <c r="T146" s="48">
        <v>43.62</v>
      </c>
      <c r="U146" s="48"/>
    </row>
    <row r="147" spans="1:21" ht="15" customHeight="1" x14ac:dyDescent="0.2">
      <c r="A147" s="47">
        <v>46157</v>
      </c>
      <c r="B147" s="48">
        <v>247.6</v>
      </c>
      <c r="C147" s="48">
        <v>141.97</v>
      </c>
      <c r="D147" s="48">
        <v>1501.81</v>
      </c>
      <c r="E147" s="48">
        <v>425.19</v>
      </c>
      <c r="F147" s="48">
        <v>148.52000000000001</v>
      </c>
      <c r="G147" s="48">
        <v>180.43</v>
      </c>
      <c r="H147" s="48">
        <v>724.66</v>
      </c>
      <c r="I147" s="48">
        <v>225.32</v>
      </c>
      <c r="J147" s="48">
        <v>140.53</v>
      </c>
      <c r="K147" s="48">
        <v>133.99</v>
      </c>
      <c r="L147" s="48">
        <v>404.35</v>
      </c>
      <c r="M147" s="48">
        <v>370.94</v>
      </c>
      <c r="N147" s="48">
        <v>436.95</v>
      </c>
      <c r="O147" s="48">
        <v>117.25</v>
      </c>
      <c r="P147" s="48"/>
      <c r="Q147" s="48">
        <v>67.59</v>
      </c>
      <c r="R147" s="48">
        <v>59.77</v>
      </c>
      <c r="S147" s="48">
        <v>143.47999999999999</v>
      </c>
      <c r="T147" s="48">
        <v>42.5</v>
      </c>
      <c r="U147" s="48"/>
    </row>
    <row r="148" spans="1:21" ht="15" customHeight="1" x14ac:dyDescent="0.2">
      <c r="A148" s="47">
        <v>46164</v>
      </c>
      <c r="B148" s="48">
        <v>244.76</v>
      </c>
      <c r="C148" s="48">
        <v>154.03</v>
      </c>
      <c r="D148" s="48">
        <v>1632.9</v>
      </c>
      <c r="E148" s="48">
        <v>414.14</v>
      </c>
      <c r="F148" s="48">
        <v>165.87</v>
      </c>
      <c r="G148" s="48">
        <v>188.84</v>
      </c>
      <c r="H148" s="48">
        <v>751</v>
      </c>
      <c r="I148" s="48">
        <v>215.33</v>
      </c>
      <c r="J148" s="48">
        <v>145.9</v>
      </c>
      <c r="K148" s="48">
        <v>136.88</v>
      </c>
      <c r="L148" s="48">
        <v>404.52</v>
      </c>
      <c r="M148" s="48">
        <v>327.45999999999998</v>
      </c>
      <c r="N148" s="48">
        <v>434.52</v>
      </c>
      <c r="O148" s="48">
        <v>120.03</v>
      </c>
      <c r="P148" s="48"/>
      <c r="Q148" s="48">
        <v>68.33</v>
      </c>
      <c r="R148" s="48">
        <v>60.21</v>
      </c>
      <c r="S148" s="48">
        <v>144.94</v>
      </c>
      <c r="T148" s="48">
        <v>44.18</v>
      </c>
      <c r="U148" s="48"/>
    </row>
    <row r="149" spans="1:21" ht="15" customHeight="1" x14ac:dyDescent="0.2">
      <c r="A149" s="47">
        <v>46171</v>
      </c>
      <c r="B149" s="48">
        <v>259.20999999999998</v>
      </c>
      <c r="C149" s="48">
        <v>159.47</v>
      </c>
      <c r="D149" s="48">
        <v>1612.76</v>
      </c>
      <c r="E149" s="48">
        <v>446.77</v>
      </c>
      <c r="F149" s="48">
        <v>182.75</v>
      </c>
      <c r="G149" s="48">
        <v>192.17</v>
      </c>
      <c r="H149" s="48">
        <v>971</v>
      </c>
      <c r="I149" s="48">
        <v>211.14</v>
      </c>
      <c r="J149" s="48">
        <v>143.47</v>
      </c>
      <c r="K149" s="48">
        <v>156.54</v>
      </c>
      <c r="L149" s="48">
        <v>418.45</v>
      </c>
      <c r="M149" s="48">
        <v>315.70999999999998</v>
      </c>
      <c r="N149" s="48">
        <v>447.54</v>
      </c>
      <c r="O149" s="48">
        <v>120.05</v>
      </c>
      <c r="P149" s="48"/>
      <c r="Q149" s="48">
        <v>67.7</v>
      </c>
      <c r="R149" s="48">
        <v>61.15</v>
      </c>
      <c r="S149" s="48">
        <v>150.59</v>
      </c>
      <c r="T149" s="48">
        <v>46.57</v>
      </c>
      <c r="U149" s="48"/>
    </row>
    <row r="150" spans="1:21" ht="15" customHeight="1" x14ac:dyDescent="0.2">
      <c r="A150" s="47">
        <v>46178</v>
      </c>
      <c r="B150" s="48">
        <v>251.44</v>
      </c>
      <c r="C150" s="48">
        <v>154.27000000000001</v>
      </c>
      <c r="D150" s="48">
        <v>1641.74</v>
      </c>
      <c r="E150" s="48">
        <v>385.73</v>
      </c>
      <c r="F150" s="48">
        <v>167.76</v>
      </c>
      <c r="G150" s="48">
        <v>192.92</v>
      </c>
      <c r="H150" s="48">
        <v>864.01</v>
      </c>
      <c r="I150" s="48">
        <v>205.1</v>
      </c>
      <c r="J150" s="48">
        <v>144.54</v>
      </c>
      <c r="K150" s="48">
        <v>135.53</v>
      </c>
      <c r="L150" s="48">
        <v>415.17</v>
      </c>
      <c r="M150" s="48">
        <v>300.51</v>
      </c>
      <c r="N150" s="48">
        <v>446.83</v>
      </c>
      <c r="O150" s="48">
        <v>119.7</v>
      </c>
      <c r="P150" s="48"/>
      <c r="Q150" s="48">
        <v>67.58</v>
      </c>
      <c r="R150" s="48">
        <v>58.9</v>
      </c>
      <c r="S150" s="48">
        <v>144.28</v>
      </c>
      <c r="T150" s="48">
        <v>46.05</v>
      </c>
      <c r="U150" s="48"/>
    </row>
    <row r="151" spans="1:21" ht="15" customHeight="1" x14ac:dyDescent="0.2">
      <c r="A151" s="47">
        <v>46185</v>
      </c>
      <c r="B151" s="48">
        <v>204.02</v>
      </c>
      <c r="C151" s="48">
        <v>163.24</v>
      </c>
      <c r="D151" s="48">
        <v>1863.55</v>
      </c>
      <c r="E151" s="48">
        <v>382.07</v>
      </c>
      <c r="F151" s="48">
        <v>170.7</v>
      </c>
      <c r="G151" s="48">
        <v>254.54</v>
      </c>
      <c r="H151" s="48">
        <v>981.61</v>
      </c>
      <c r="I151" s="48">
        <v>205.19</v>
      </c>
      <c r="J151" s="48">
        <v>148.74</v>
      </c>
      <c r="K151" s="48">
        <v>127.99</v>
      </c>
      <c r="L151" s="48">
        <v>423.93</v>
      </c>
      <c r="M151" s="48">
        <v>302.87</v>
      </c>
      <c r="N151" s="48">
        <v>444.93</v>
      </c>
      <c r="O151" s="48">
        <v>124.38</v>
      </c>
      <c r="P151" s="48"/>
      <c r="Q151" s="48">
        <v>68.45</v>
      </c>
      <c r="R151" s="48">
        <v>59.86</v>
      </c>
      <c r="S151" s="48">
        <v>152.47999999999999</v>
      </c>
      <c r="T151" s="48">
        <v>46.29</v>
      </c>
      <c r="U151" s="48"/>
    </row>
    <row r="152" spans="1:21" ht="15" customHeight="1" x14ac:dyDescent="0.2">
      <c r="A152" s="47">
        <v>46191</v>
      </c>
      <c r="B152" s="48">
        <v>195.16</v>
      </c>
      <c r="C152" s="48">
        <v>169.67</v>
      </c>
      <c r="D152" s="48">
        <v>1929.68</v>
      </c>
      <c r="E152" s="48">
        <v>411.35</v>
      </c>
      <c r="F152" s="48">
        <v>171.22</v>
      </c>
      <c r="G152" s="48">
        <v>259.56</v>
      </c>
      <c r="H152" s="48">
        <v>1133.99</v>
      </c>
      <c r="I152" s="48">
        <v>210.69</v>
      </c>
      <c r="J152" s="48">
        <v>140.54</v>
      </c>
      <c r="K152" s="48">
        <v>128.47</v>
      </c>
      <c r="L152" s="48">
        <v>462.12</v>
      </c>
      <c r="M152" s="48">
        <v>333.05</v>
      </c>
      <c r="N152" s="48">
        <v>451.63</v>
      </c>
      <c r="O152" s="48">
        <v>122</v>
      </c>
      <c r="P152" s="48"/>
      <c r="Q152" s="48"/>
      <c r="R152" s="48">
        <v>61.34</v>
      </c>
      <c r="S152" s="48">
        <v>159.9</v>
      </c>
      <c r="T152" s="48">
        <v>45.25</v>
      </c>
      <c r="U152" s="48"/>
    </row>
    <row r="153" spans="1:21" ht="15" customHeight="1" x14ac:dyDescent="0.2">
      <c r="A153" s="47">
        <v>46199</v>
      </c>
      <c r="B153" s="48">
        <v>202.73</v>
      </c>
      <c r="C153" s="48">
        <v>157.6</v>
      </c>
      <c r="D153" s="48">
        <v>1794.62</v>
      </c>
      <c r="E153" s="48">
        <v>365.02</v>
      </c>
      <c r="F153" s="48">
        <v>175.27</v>
      </c>
      <c r="G153" s="48">
        <v>248.64</v>
      </c>
      <c r="H153" s="48">
        <v>1132.33</v>
      </c>
      <c r="I153" s="48">
        <v>192.53</v>
      </c>
      <c r="J153" s="48">
        <v>139.97</v>
      </c>
      <c r="K153" s="48">
        <v>112.93</v>
      </c>
      <c r="L153" s="48">
        <v>432.35</v>
      </c>
      <c r="M153" s="48">
        <v>303.95</v>
      </c>
      <c r="N153" s="48">
        <v>491.34</v>
      </c>
      <c r="O153" s="48">
        <v>124.94</v>
      </c>
      <c r="P153" s="48"/>
      <c r="Q153" s="48"/>
      <c r="R153" s="48">
        <v>59.42</v>
      </c>
      <c r="S153" s="48">
        <v>154.19999999999999</v>
      </c>
      <c r="T153" s="48">
        <v>46.19</v>
      </c>
      <c r="U153" s="48"/>
    </row>
    <row r="154" spans="1:21" ht="15" customHeight="1" x14ac:dyDescent="0.2">
      <c r="A154" s="47">
        <v>46205</v>
      </c>
      <c r="B154" s="48">
        <v>219.72</v>
      </c>
      <c r="C154" s="48">
        <v>159.99</v>
      </c>
      <c r="D154" s="48">
        <v>1769.32</v>
      </c>
      <c r="E154" s="48">
        <v>360.45</v>
      </c>
      <c r="F154" s="48">
        <v>193.98</v>
      </c>
      <c r="G154" s="48">
        <v>235.55</v>
      </c>
      <c r="H154" s="48">
        <v>975.56</v>
      </c>
      <c r="I154" s="48">
        <v>194.83</v>
      </c>
      <c r="J154" s="48">
        <v>139.43</v>
      </c>
      <c r="K154" s="48">
        <v>129.30000000000001</v>
      </c>
      <c r="L154" s="48">
        <v>434.16</v>
      </c>
      <c r="M154" s="48">
        <v>300.52999999999997</v>
      </c>
      <c r="N154" s="48">
        <v>528.04</v>
      </c>
      <c r="O154" s="48">
        <v>123.51</v>
      </c>
      <c r="P154" s="48"/>
      <c r="Q154" s="48"/>
      <c r="R154" s="48">
        <v>59.39</v>
      </c>
      <c r="S154" s="48">
        <v>150.83000000000001</v>
      </c>
      <c r="T154" s="48">
        <v>47</v>
      </c>
      <c r="U154" s="48"/>
    </row>
    <row r="155" spans="1:21" ht="15" customHeight="1" x14ac:dyDescent="0.2">
      <c r="A155" s="47">
        <v>46213</v>
      </c>
      <c r="B155" s="48">
        <v>223.64</v>
      </c>
      <c r="C155" s="48">
        <v>186.96</v>
      </c>
      <c r="D155" s="48">
        <v>1797.32</v>
      </c>
      <c r="E155" s="48">
        <v>399.97</v>
      </c>
      <c r="F155" s="48">
        <v>187.18</v>
      </c>
      <c r="G155" s="48">
        <v>231.52</v>
      </c>
      <c r="H155" s="48">
        <v>979.3</v>
      </c>
      <c r="I155" s="48">
        <v>210.96</v>
      </c>
      <c r="J155" s="48">
        <v>140.87</v>
      </c>
      <c r="K155" s="48">
        <v>126.79</v>
      </c>
      <c r="L155" s="48">
        <v>434.11</v>
      </c>
      <c r="M155" s="48">
        <v>318.86</v>
      </c>
      <c r="N155" s="48">
        <v>485.39</v>
      </c>
      <c r="O155" s="48">
        <v>123.95</v>
      </c>
      <c r="P155" s="48"/>
      <c r="Q155" s="48"/>
      <c r="R155" s="48">
        <v>60.51</v>
      </c>
      <c r="S155" s="48">
        <v>153.75</v>
      </c>
      <c r="T155" s="48">
        <v>47.39</v>
      </c>
      <c r="U155" s="48"/>
    </row>
    <row r="156" spans="1:21" ht="15" customHeight="1" x14ac:dyDescent="0.2">
      <c r="A156" s="47">
        <v>46220</v>
      </c>
      <c r="B156" s="48">
        <v>237.25</v>
      </c>
      <c r="C156" s="48">
        <v>168.61</v>
      </c>
      <c r="D156" s="48">
        <v>1747.58</v>
      </c>
      <c r="E156" s="48">
        <v>370.83</v>
      </c>
      <c r="F156" s="48">
        <v>203.08</v>
      </c>
      <c r="G156" s="48">
        <v>212.75</v>
      </c>
      <c r="H156" s="48">
        <v>848.95</v>
      </c>
      <c r="I156" s="48">
        <v>202.81</v>
      </c>
      <c r="J156" s="48">
        <v>149.79</v>
      </c>
      <c r="K156" s="48">
        <v>132.38</v>
      </c>
      <c r="L156" s="48">
        <v>398.37</v>
      </c>
      <c r="M156" s="48">
        <v>289.56</v>
      </c>
      <c r="N156" s="48">
        <v>485.65</v>
      </c>
      <c r="O156" s="48">
        <v>125.35</v>
      </c>
      <c r="P156" s="48"/>
      <c r="Q156" s="48"/>
      <c r="R156" s="48">
        <v>58.51</v>
      </c>
      <c r="S156" s="48">
        <v>143.88999999999999</v>
      </c>
      <c r="T156" s="48">
        <v>47.8</v>
      </c>
      <c r="U156" s="48"/>
    </row>
    <row r="157" spans="1:21" ht="15" customHeight="1" x14ac:dyDescent="0.2">
      <c r="A157" s="47">
        <v>46227</v>
      </c>
      <c r="B157" s="48">
        <v>225.11</v>
      </c>
      <c r="C157" s="48">
        <v>173.99</v>
      </c>
      <c r="D157" s="48">
        <v>1757.09</v>
      </c>
      <c r="E157" s="48">
        <v>381.92</v>
      </c>
      <c r="F157" s="48">
        <v>183.28</v>
      </c>
      <c r="G157" s="48">
        <v>210.52</v>
      </c>
      <c r="H157" s="48">
        <v>920.95</v>
      </c>
      <c r="I157" s="48">
        <v>206.84</v>
      </c>
      <c r="J157" s="48">
        <v>147.63</v>
      </c>
      <c r="K157" s="48">
        <v>122.92</v>
      </c>
      <c r="L157" s="48">
        <v>403.41</v>
      </c>
      <c r="M157" s="48">
        <v>290.36</v>
      </c>
      <c r="N157" s="48">
        <v>477.36</v>
      </c>
      <c r="O157" s="48">
        <v>125.28</v>
      </c>
      <c r="P157" s="48"/>
      <c r="Q157" s="48"/>
      <c r="R157" s="48">
        <v>57.96</v>
      </c>
      <c r="S157" s="48">
        <v>146.51</v>
      </c>
      <c r="T157" s="48">
        <v>48.14</v>
      </c>
      <c r="U157" s="48"/>
    </row>
    <row r="158" spans="1:21" ht="15" customHeight="1" x14ac:dyDescent="0.2">
      <c r="A158" s="47">
        <v>46234</v>
      </c>
      <c r="B158" s="48">
        <v>250.41</v>
      </c>
      <c r="C158" s="48">
        <v>180.35</v>
      </c>
      <c r="D158" s="48">
        <v>1629</v>
      </c>
      <c r="E158" s="48">
        <v>389.28</v>
      </c>
      <c r="F158" s="48">
        <v>190.86</v>
      </c>
      <c r="G158" s="48">
        <v>182.82</v>
      </c>
      <c r="H158" s="48">
        <v>823.03</v>
      </c>
      <c r="I158" s="48">
        <v>200.75</v>
      </c>
      <c r="J158" s="48">
        <v>144.61000000000001</v>
      </c>
      <c r="K158" s="48">
        <v>123.06</v>
      </c>
      <c r="L158" s="48">
        <v>404.25</v>
      </c>
      <c r="M158" s="48">
        <v>241.57</v>
      </c>
      <c r="N158" s="48">
        <v>477.1</v>
      </c>
      <c r="O158" s="48">
        <v>125.28</v>
      </c>
      <c r="P158" s="48"/>
      <c r="Q158" s="48"/>
      <c r="R158" s="48">
        <v>58.25</v>
      </c>
      <c r="S158" s="48">
        <v>143.83000000000001</v>
      </c>
      <c r="T158" s="48">
        <v>49.74</v>
      </c>
      <c r="U158" s="48"/>
    </row>
    <row r="159" spans="1:21" ht="15" customHeight="1" x14ac:dyDescent="0.2">
      <c r="A159" s="47"/>
      <c r="B159" s="48"/>
      <c r="C159" s="48"/>
      <c r="D159" s="48"/>
      <c r="E159" s="48"/>
      <c r="F159" s="48"/>
      <c r="G159" s="48"/>
      <c r="H159" s="48"/>
      <c r="I159" s="48"/>
      <c r="J159" s="48"/>
      <c r="K159" s="48"/>
      <c r="L159" s="48"/>
      <c r="M159" s="48"/>
      <c r="N159" s="48"/>
      <c r="O159" s="48"/>
      <c r="P159" s="48"/>
      <c r="Q159" s="48"/>
      <c r="R159" s="48"/>
      <c r="S159" s="48"/>
      <c r="T159" s="48"/>
      <c r="U159" s="48"/>
    </row>
    <row r="160" spans="1:21" ht="15" customHeight="1" x14ac:dyDescent="0.2">
      <c r="A160" s="47"/>
      <c r="B160" s="48"/>
      <c r="C160" s="48"/>
      <c r="D160" s="48"/>
      <c r="E160" s="48"/>
      <c r="F160" s="48"/>
      <c r="G160" s="48"/>
      <c r="H160" s="48"/>
      <c r="I160" s="48"/>
      <c r="J160" s="48"/>
      <c r="K160" s="48"/>
      <c r="L160" s="48"/>
      <c r="M160" s="48"/>
      <c r="N160" s="48"/>
      <c r="O160" s="48"/>
      <c r="P160" s="48"/>
      <c r="Q160" s="48"/>
      <c r="R160" s="48"/>
      <c r="S160" s="48"/>
      <c r="T160" s="48"/>
      <c r="U160" s="48"/>
    </row>
    <row r="161" spans="1:21" ht="15" customHeight="1" x14ac:dyDescent="0.2">
      <c r="A161" s="47"/>
      <c r="B161" s="48"/>
      <c r="C161" s="48"/>
      <c r="D161" s="48"/>
      <c r="E161" s="48"/>
      <c r="F161" s="48"/>
      <c r="G161" s="48"/>
      <c r="H161" s="48"/>
      <c r="I161" s="48"/>
      <c r="J161" s="48"/>
      <c r="K161" s="48"/>
      <c r="L161" s="48"/>
      <c r="M161" s="48"/>
      <c r="N161" s="48"/>
      <c r="O161" s="48"/>
      <c r="P161" s="48"/>
      <c r="Q161" s="48"/>
      <c r="R161" s="48"/>
      <c r="S161" s="48"/>
      <c r="T161" s="48"/>
      <c r="U161" s="48"/>
    </row>
    <row r="162" spans="1:21" ht="15" customHeight="1" x14ac:dyDescent="0.2">
      <c r="A162" s="47"/>
      <c r="B162" s="48"/>
      <c r="C162" s="48"/>
      <c r="D162" s="48"/>
      <c r="E162" s="48"/>
      <c r="F162" s="48"/>
      <c r="G162" s="48"/>
      <c r="H162" s="48"/>
      <c r="I162" s="48"/>
      <c r="J162" s="48"/>
      <c r="K162" s="48"/>
      <c r="L162" s="48"/>
      <c r="M162" s="48"/>
      <c r="N162" s="48"/>
      <c r="O162" s="48"/>
      <c r="P162" s="48"/>
      <c r="Q162" s="48"/>
      <c r="R162" s="48"/>
      <c r="S162" s="48"/>
      <c r="T162" s="48"/>
      <c r="U162" s="48"/>
    </row>
  </sheetData>
  <mergeCells count="1">
    <mergeCell ref="A1:Q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8"/>
  <sheetViews>
    <sheetView showGridLines="0" zoomScaleNormal="100" workbookViewId="0">
      <pane ySplit="1" topLeftCell="A2" activePane="bottomLeft" state="frozen"/>
      <selection pane="bottomLeft"/>
    </sheetView>
  </sheetViews>
  <sheetFormatPr baseColWidth="10" defaultColWidth="8.6640625" defaultRowHeight="15" x14ac:dyDescent="0.2"/>
  <cols>
    <col min="1" max="1" width="10" customWidth="1"/>
    <col min="2" max="2" width="18" customWidth="1"/>
    <col min="3" max="4" width="12" customWidth="1"/>
    <col min="5" max="6" width="13" customWidth="1"/>
    <col min="7" max="8" width="9" customWidth="1"/>
    <col min="9" max="9" width="11" customWidth="1"/>
    <col min="10" max="10" width="12" customWidth="1"/>
  </cols>
  <sheetData>
    <row r="1" spans="1:10" ht="25.5" customHeight="1" x14ac:dyDescent="0.2">
      <c r="A1" s="49" t="s">
        <v>57</v>
      </c>
      <c r="B1" s="49" t="s">
        <v>168</v>
      </c>
      <c r="C1" s="49" t="s">
        <v>169</v>
      </c>
      <c r="D1" s="49" t="s">
        <v>170</v>
      </c>
      <c r="E1" s="49" t="s">
        <v>171</v>
      </c>
      <c r="F1" s="49" t="s">
        <v>172</v>
      </c>
      <c r="G1" s="49" t="s">
        <v>173</v>
      </c>
      <c r="H1" s="49" t="s">
        <v>174</v>
      </c>
      <c r="I1" s="49" t="s">
        <v>175</v>
      </c>
      <c r="J1" s="49" t="s">
        <v>176</v>
      </c>
    </row>
    <row r="2" spans="1:10" ht="15" customHeight="1" x14ac:dyDescent="0.2">
      <c r="A2" s="50" t="str">
        <f>IF(Scoring!A3="","",Scoring!A3)</f>
        <v>MU</v>
      </c>
      <c r="B2" s="51" t="str">
        <f>IF(Scoring!B3="","",Scoring!B3)</f>
        <v>Micron Technology</v>
      </c>
      <c r="C2" s="52">
        <f>IF(Scoring!C3="","",Scoring!C3)</f>
        <v>46240</v>
      </c>
      <c r="D2" s="53">
        <f>IF(Scoring!N3="","",Scoring!N3)</f>
        <v>3.6428571428571428</v>
      </c>
      <c r="E2" s="54">
        <f>IF(Scoring!AF3="","",Scoring!AF3)</f>
        <v>71.8</v>
      </c>
      <c r="F2" s="50" t="str">
        <f>IF(Scoring!AG3="","",Scoring!AG3)</f>
        <v>BUY</v>
      </c>
      <c r="G2" s="50" t="str">
        <f>IF(Scoring!AH3="","",Scoring!AH3)</f>
        <v>OK</v>
      </c>
      <c r="H2" s="50" t="str">
        <f>IF(Scoring!AI3="","",Scoring!AI3)</f>
        <v>OK</v>
      </c>
      <c r="I2" s="50" t="str">
        <f>IF(Scoring!AJ3="","",Scoring!AJ3)</f>
        <v>OK</v>
      </c>
      <c r="J2" s="50" t="str">
        <f>IF(Scoring!AK3="","",Scoring!AK3)</f>
        <v>OK</v>
      </c>
    </row>
    <row r="3" spans="1:10" ht="15" customHeight="1" x14ac:dyDescent="0.2">
      <c r="A3" s="50" t="str">
        <f>IF(Scoring!A4="","",Scoring!A4)</f>
        <v>AVGO</v>
      </c>
      <c r="B3" s="51" t="str">
        <f>IF(Scoring!B4="","",Scoring!B4)</f>
        <v>Broadcom Inc.</v>
      </c>
      <c r="C3" s="52">
        <f>IF(Scoring!C4="","",Scoring!C4)</f>
        <v>46240</v>
      </c>
      <c r="D3" s="53">
        <f>IF(Scoring!N4="","",Scoring!N4)</f>
        <v>4.0714285714285721</v>
      </c>
      <c r="E3" s="54">
        <f>IF(Scoring!AF4="","",Scoring!AF4)</f>
        <v>80.8</v>
      </c>
      <c r="F3" s="50" t="str">
        <f>IF(Scoring!AG4="","",Scoring!AG4)</f>
        <v>STRONG BUY</v>
      </c>
      <c r="G3" s="50" t="str">
        <f>IF(Scoring!AH4="","",Scoring!AH4)</f>
        <v>OK</v>
      </c>
      <c r="H3" s="50" t="str">
        <f>IF(Scoring!AI4="","",Scoring!AI4)</f>
        <v>OK</v>
      </c>
      <c r="I3" s="50" t="str">
        <f>IF(Scoring!AJ4="","",Scoring!AJ4)</f>
        <v>OK</v>
      </c>
      <c r="J3" s="50" t="str">
        <f>IF(Scoring!AK4="","",Scoring!AK4)</f>
        <v>OK</v>
      </c>
    </row>
    <row r="4" spans="1:10" ht="15" customHeight="1" x14ac:dyDescent="0.2">
      <c r="A4" s="50" t="str">
        <f>IF(Scoring!A5="","",Scoring!A5)</f>
        <v>PLTR</v>
      </c>
      <c r="B4" s="51" t="str">
        <f>IF(Scoring!B5="","",Scoring!B5)</f>
        <v>Palantir Technologies</v>
      </c>
      <c r="C4" s="52">
        <f>IF(Scoring!C5="","",Scoring!C5)</f>
        <v>46240</v>
      </c>
      <c r="D4" s="53">
        <f>IF(Scoring!N5="","",Scoring!N5)</f>
        <v>4</v>
      </c>
      <c r="E4" s="54">
        <f>IF(Scoring!AF5="","",Scoring!AF5)</f>
        <v>75.199999999999989</v>
      </c>
      <c r="F4" s="50" t="str">
        <f>IF(Scoring!AG5="","",Scoring!AG5)</f>
        <v>BUY</v>
      </c>
      <c r="G4" s="50" t="str">
        <f>IF(Scoring!AH5="","",Scoring!AH5)</f>
        <v>OK</v>
      </c>
      <c r="H4" s="50" t="str">
        <f>IF(Scoring!AI5="","",Scoring!AI5)</f>
        <v>OK</v>
      </c>
      <c r="I4" s="50" t="str">
        <f>IF(Scoring!AJ5="","",Scoring!AJ5)</f>
        <v>OK</v>
      </c>
      <c r="J4" s="50" t="str">
        <f>IF(Scoring!AK5="","",Scoring!AK5)</f>
        <v>OK</v>
      </c>
    </row>
    <row r="5" spans="1:10" ht="15" customHeight="1" x14ac:dyDescent="0.2">
      <c r="A5" s="50" t="str">
        <f>IF(Scoring!A6="","",Scoring!A6)</f>
        <v>NVDA</v>
      </c>
      <c r="B5" s="51" t="str">
        <f>IF(Scoring!B6="","",Scoring!B6)</f>
        <v>NVIDIA Corporation</v>
      </c>
      <c r="C5" s="52">
        <f>IF(Scoring!C6="","",Scoring!C6)</f>
        <v>46240</v>
      </c>
      <c r="D5" s="53">
        <f>IF(Scoring!N6="","",Scoring!N6)</f>
        <v>4.5714285714285712</v>
      </c>
      <c r="E5" s="54">
        <f>IF(Scoring!AF6="","",Scoring!AF6)</f>
        <v>93.199999999999989</v>
      </c>
      <c r="F5" s="50" t="str">
        <f>IF(Scoring!AG6="","",Scoring!AG6)</f>
        <v>STRONG BUY</v>
      </c>
      <c r="G5" s="50" t="str">
        <f>IF(Scoring!AH6="","",Scoring!AH6)</f>
        <v>OK</v>
      </c>
      <c r="H5" s="50" t="str">
        <f>IF(Scoring!AI6="","",Scoring!AI6)</f>
        <v>OK</v>
      </c>
      <c r="I5" s="50" t="str">
        <f>IF(Scoring!AJ6="","",Scoring!AJ6)</f>
        <v>OK</v>
      </c>
      <c r="J5" s="50" t="str">
        <f>IF(Scoring!AK6="","",Scoring!AK6)</f>
        <v>OK</v>
      </c>
    </row>
    <row r="6" spans="1:10" ht="15" customHeight="1" x14ac:dyDescent="0.2">
      <c r="A6" s="50" t="str">
        <f>IF(Scoring!A7="","",Scoring!A7)</f>
        <v>VRTX</v>
      </c>
      <c r="B6" s="51" t="str">
        <f>IF(Scoring!B7="","",Scoring!B7)</f>
        <v>Vertex Pharmaceuticals</v>
      </c>
      <c r="C6" s="52">
        <f>IF(Scoring!C7="","",Scoring!C7)</f>
        <v>46241</v>
      </c>
      <c r="D6" s="53">
        <f>IF(Scoring!N7="","",Scoring!N7)</f>
        <v>3.785714285714286</v>
      </c>
      <c r="E6" s="54">
        <f>IF(Scoring!AF7="","",Scoring!AF7)</f>
        <v>75.599999999999994</v>
      </c>
      <c r="F6" s="50" t="str">
        <f>IF(Scoring!AG7="","",Scoring!AG7)</f>
        <v>BUY</v>
      </c>
      <c r="G6" s="50" t="str">
        <f>IF(Scoring!AH7="","",Scoring!AH7)</f>
        <v>OK</v>
      </c>
      <c r="H6" s="50" t="str">
        <f>IF(Scoring!AI7="","",Scoring!AI7)</f>
        <v>OK</v>
      </c>
      <c r="I6" s="50" t="str">
        <f>IF(Scoring!AJ7="","",Scoring!AJ7)</f>
        <v>OK</v>
      </c>
      <c r="J6" s="50" t="str">
        <f>IF(Scoring!AK7="","",Scoring!AK7)</f>
        <v>OK</v>
      </c>
    </row>
    <row r="7" spans="1:10" ht="15" customHeight="1" x14ac:dyDescent="0.2">
      <c r="A7" s="50" t="str">
        <f>IF(Scoring!A8="","",Scoring!A8)</f>
        <v>PLD</v>
      </c>
      <c r="B7" s="51" t="str">
        <f>IF(Scoring!B8="","",Scoring!B8)</f>
        <v>Prologis Inc. (REIT-adapted)</v>
      </c>
      <c r="C7" s="52">
        <f>IF(Scoring!C8="","",Scoring!C8)</f>
        <v>46240</v>
      </c>
      <c r="D7" s="53">
        <f>IF(Scoring!N8="","",Scoring!N8)</f>
        <v>4.3571428571428568</v>
      </c>
      <c r="E7" s="54">
        <f>IF(Scoring!AF8="","",Scoring!AF8)</f>
        <v>82.000000000000014</v>
      </c>
      <c r="F7" s="50" t="str">
        <f>IF(Scoring!AG8="","",Scoring!AG8)</f>
        <v>STRONG BUY</v>
      </c>
      <c r="G7" s="50" t="str">
        <f>IF(Scoring!AH8="","",Scoring!AH8)</f>
        <v>OK</v>
      </c>
      <c r="H7" s="50" t="str">
        <f>IF(Scoring!AI8="","",Scoring!AI8)</f>
        <v>OK</v>
      </c>
      <c r="I7" s="50" t="str">
        <f>IF(Scoring!AJ8="","",Scoring!AJ8)</f>
        <v>OK</v>
      </c>
      <c r="J7" s="50" t="str">
        <f>IF(Scoring!AK8="","",Scoring!AK8)</f>
        <v>OK</v>
      </c>
    </row>
    <row r="8" spans="1:10" ht="15" customHeight="1" x14ac:dyDescent="0.2">
      <c r="A8" s="50" t="str">
        <f>IF(Scoring!A9="","",Scoring!A9)</f>
        <v>SFM</v>
      </c>
      <c r="B8" s="51" t="str">
        <f>IF(Scoring!B9="","",Scoring!B9)</f>
        <v>Sprouts Farmers Market</v>
      </c>
      <c r="C8" s="52">
        <f>IF(Scoring!C9="","",Scoring!C9)</f>
        <v>46240</v>
      </c>
      <c r="D8" s="53">
        <f>IF(Scoring!N9="","",Scoring!N9)</f>
        <v>1.8571428571428574</v>
      </c>
      <c r="E8" s="54" t="str">
        <f>IF(Scoring!AF9="","",Scoring!AF9)</f>
        <v/>
      </c>
      <c r="F8" s="50" t="str">
        <f>IF(Scoring!AG9="","",Scoring!AG9)</f>
        <v/>
      </c>
      <c r="G8" s="50" t="str">
        <f>IF(Scoring!AH9="","",Scoring!AH9)</f>
        <v>FAIL</v>
      </c>
      <c r="H8" s="50" t="str">
        <f>IF(Scoring!AI9="","",Scoring!AI9)</f>
        <v>REVIEW</v>
      </c>
      <c r="I8" s="50" t="str">
        <f>IF(Scoring!AJ9="","",Scoring!AJ9)</f>
        <v>AVOID</v>
      </c>
      <c r="J8" s="50" t="str">
        <f>IF(Scoring!AK9="","",Scoring!AK9)</f>
        <v>OK</v>
      </c>
    </row>
    <row r="9" spans="1:10" ht="15" customHeight="1" x14ac:dyDescent="0.2">
      <c r="A9" s="50" t="str">
        <f>IF(Scoring!A10="","",Scoring!A10)</f>
        <v>ONON</v>
      </c>
      <c r="B9" s="51" t="str">
        <f>IF(Scoring!B10="","",Scoring!B10)</f>
        <v>On Holding AG</v>
      </c>
      <c r="C9" s="52">
        <f>IF(Scoring!C10="","",Scoring!C10)</f>
        <v>46240</v>
      </c>
      <c r="D9" s="53">
        <f>IF(Scoring!N10="","",Scoring!N10)</f>
        <v>2.6428571428571428</v>
      </c>
      <c r="E9" s="54" t="str">
        <f>IF(Scoring!AF10="","",Scoring!AF10)</f>
        <v/>
      </c>
      <c r="F9" s="50" t="str">
        <f>IF(Scoring!AG10="","",Scoring!AG10)</f>
        <v/>
      </c>
      <c r="G9" s="50" t="str">
        <f>IF(Scoring!AH10="","",Scoring!AH10)</f>
        <v>FAIL</v>
      </c>
      <c r="H9" s="50" t="str">
        <f>IF(Scoring!AI10="","",Scoring!AI10)</f>
        <v>OK</v>
      </c>
      <c r="I9" s="50" t="str">
        <f>IF(Scoring!AJ10="","",Scoring!AJ10)</f>
        <v>AVOID</v>
      </c>
      <c r="J9" s="50" t="str">
        <f>IF(Scoring!AK10="","",Scoring!AK10)</f>
        <v>OK</v>
      </c>
    </row>
    <row r="10" spans="1:10" ht="15" customHeight="1" x14ac:dyDescent="0.2">
      <c r="A10" s="50" t="str">
        <f>IF(Scoring!A11="","",Scoring!A11)</f>
        <v>TSLA</v>
      </c>
      <c r="B10" s="51" t="str">
        <f>IF(Scoring!B11="","",Scoring!B11)</f>
        <v>Tesla Inc.</v>
      </c>
      <c r="C10" s="52">
        <f>IF(Scoring!C11="","",Scoring!C11)</f>
        <v>46240</v>
      </c>
      <c r="D10" s="53">
        <f>IF(Scoring!N11="","",Scoring!N11)</f>
        <v>1.9285714285714288</v>
      </c>
      <c r="E10" s="54" t="str">
        <f>IF(Scoring!AF11="","",Scoring!AF11)</f>
        <v/>
      </c>
      <c r="F10" s="50" t="str">
        <f>IF(Scoring!AG11="","",Scoring!AG11)</f>
        <v/>
      </c>
      <c r="G10" s="50" t="str">
        <f>IF(Scoring!AH11="","",Scoring!AH11)</f>
        <v>FAIL</v>
      </c>
      <c r="H10" s="50" t="str">
        <f>IF(Scoring!AI11="","",Scoring!AI11)</f>
        <v>REVIEW</v>
      </c>
      <c r="I10" s="50" t="str">
        <f>IF(Scoring!AJ11="","",Scoring!AJ11)</f>
        <v>AVOID</v>
      </c>
      <c r="J10" s="50" t="str">
        <f>IF(Scoring!AK11="","",Scoring!AK11)</f>
        <v>OK</v>
      </c>
    </row>
    <row r="11" spans="1:10" ht="15" customHeight="1" x14ac:dyDescent="0.2">
      <c r="A11" s="50" t="str">
        <f>IF(Scoring!A12="","",Scoring!A12)</f>
        <v>ADBE</v>
      </c>
      <c r="B11" s="51" t="str">
        <f>IF(Scoring!B12="","",Scoring!B12)</f>
        <v>Adobe Inc.</v>
      </c>
      <c r="C11" s="52">
        <f>IF(Scoring!C12="","",Scoring!C12)</f>
        <v>46240</v>
      </c>
      <c r="D11" s="53">
        <f>IF(Scoring!N12="","",Scoring!N12)</f>
        <v>4.5714285714285721</v>
      </c>
      <c r="E11" s="54">
        <f>IF(Scoring!AF12="","",Scoring!AF12)</f>
        <v>85.8</v>
      </c>
      <c r="F11" s="50" t="str">
        <f>IF(Scoring!AG12="","",Scoring!AG12)</f>
        <v>STRONG BUY</v>
      </c>
      <c r="G11" s="50" t="str">
        <f>IF(Scoring!AH12="","",Scoring!AH12)</f>
        <v>OK</v>
      </c>
      <c r="H11" s="50" t="str">
        <f>IF(Scoring!AI12="","",Scoring!AI12)</f>
        <v>OK</v>
      </c>
      <c r="I11" s="50" t="str">
        <f>IF(Scoring!AJ12="","",Scoring!AJ12)</f>
        <v>OK</v>
      </c>
      <c r="J11" s="50" t="str">
        <f>IF(Scoring!AK12="","",Scoring!AK12)</f>
        <v>OK</v>
      </c>
    </row>
    <row r="12" spans="1:10" ht="15" customHeight="1" x14ac:dyDescent="0.2">
      <c r="A12" s="50" t="str">
        <f>IF(Scoring!A13="","",Scoring!A13)</f>
        <v>ANET</v>
      </c>
      <c r="B12" s="51" t="str">
        <f>IF(Scoring!B13="","",Scoring!B13)</f>
        <v>Arista Networks</v>
      </c>
      <c r="C12" s="52">
        <f>IF(Scoring!C13="","",Scoring!C13)</f>
        <v>46240</v>
      </c>
      <c r="D12" s="53">
        <f>IF(Scoring!N13="","",Scoring!N13)</f>
        <v>4.5714285714285712</v>
      </c>
      <c r="E12" s="54">
        <f>IF(Scoring!AF13="","",Scoring!AF13)</f>
        <v>85</v>
      </c>
      <c r="F12" s="50" t="str">
        <f>IF(Scoring!AG13="","",Scoring!AG13)</f>
        <v>STRONG BUY</v>
      </c>
      <c r="G12" s="50" t="str">
        <f>IF(Scoring!AH13="","",Scoring!AH13)</f>
        <v>OK</v>
      </c>
      <c r="H12" s="50" t="str">
        <f>IF(Scoring!AI13="","",Scoring!AI13)</f>
        <v>OK</v>
      </c>
      <c r="I12" s="50" t="str">
        <f>IF(Scoring!AJ13="","",Scoring!AJ13)</f>
        <v>OK</v>
      </c>
      <c r="J12" s="50" t="str">
        <f>IF(Scoring!AK13="","",Scoring!AK13)</f>
        <v>OK</v>
      </c>
    </row>
    <row r="13" spans="1:10" ht="15" customHeight="1" x14ac:dyDescent="0.2">
      <c r="A13" s="50" t="str">
        <f>IF(Scoring!A14="","",Scoring!A14)</f>
        <v>ASML</v>
      </c>
      <c r="B13" s="51" t="str">
        <f>IF(Scoring!B14="","",Scoring!B14)</f>
        <v>ASML Holding</v>
      </c>
      <c r="C13" s="52">
        <f>IF(Scoring!C14="","",Scoring!C14)</f>
        <v>46240</v>
      </c>
      <c r="D13" s="53">
        <f>IF(Scoring!N14="","",Scoring!N14)</f>
        <v>3.5714285714285716</v>
      </c>
      <c r="E13" s="54">
        <f>IF(Scoring!AF14="","",Scoring!AF14)</f>
        <v>73.2</v>
      </c>
      <c r="F13" s="50" t="str">
        <f>IF(Scoring!AG14="","",Scoring!AG14)</f>
        <v>BUY</v>
      </c>
      <c r="G13" s="50" t="str">
        <f>IF(Scoring!AH14="","",Scoring!AH14)</f>
        <v>OK</v>
      </c>
      <c r="H13" s="50" t="str">
        <f>IF(Scoring!AI14="","",Scoring!AI14)</f>
        <v>OK</v>
      </c>
      <c r="I13" s="50" t="str">
        <f>IF(Scoring!AJ14="","",Scoring!AJ14)</f>
        <v>OK</v>
      </c>
      <c r="J13" s="50" t="str">
        <f>IF(Scoring!AK14="","",Scoring!AK14)</f>
        <v>OK</v>
      </c>
    </row>
    <row r="14" spans="1:10" ht="15" customHeight="1" x14ac:dyDescent="0.2">
      <c r="A14" s="50" t="str">
        <f>IF(Scoring!A15="","",Scoring!A15)</f>
        <v>CRWD</v>
      </c>
      <c r="B14" s="51" t="str">
        <f>IF(Scoring!B15="","",Scoring!B15)</f>
        <v>CrowdStrike Holdings</v>
      </c>
      <c r="C14" s="52">
        <f>IF(Scoring!C15="","",Scoring!C15)</f>
        <v>46240</v>
      </c>
      <c r="D14" s="53">
        <f>IF(Scoring!N15="","",Scoring!N15)</f>
        <v>4.0000000000000009</v>
      </c>
      <c r="E14" s="54">
        <f>IF(Scoring!AF15="","",Scoring!AF15)</f>
        <v>70.400000000000006</v>
      </c>
      <c r="F14" s="50" t="str">
        <f>IF(Scoring!AG15="","",Scoring!AG15)</f>
        <v>BUY</v>
      </c>
      <c r="G14" s="50" t="str">
        <f>IF(Scoring!AH15="","",Scoring!AH15)</f>
        <v>OK</v>
      </c>
      <c r="H14" s="50" t="str">
        <f>IF(Scoring!AI15="","",Scoring!AI15)</f>
        <v>OK</v>
      </c>
      <c r="I14" s="50" t="str">
        <f>IF(Scoring!AJ15="","",Scoring!AJ15)</f>
        <v>OK</v>
      </c>
      <c r="J14" s="50" t="str">
        <f>IF(Scoring!AK15="","",Scoring!AK15)</f>
        <v>OK</v>
      </c>
    </row>
    <row r="15" spans="1:10" ht="15" customHeight="1" x14ac:dyDescent="0.2">
      <c r="A15" s="50" t="str">
        <f>IF(Scoring!A16="","",Scoring!A16)</f>
        <v>KLAC</v>
      </c>
      <c r="B15" s="51" t="str">
        <f>IF(Scoring!B16="","",Scoring!B16)</f>
        <v>KLA Corporation</v>
      </c>
      <c r="C15" s="52">
        <f>IF(Scoring!C16="","",Scoring!C16)</f>
        <v>46240</v>
      </c>
      <c r="D15" s="53">
        <f>IF(Scoring!N16="","",Scoring!N16)</f>
        <v>3.4285714285714293</v>
      </c>
      <c r="E15" s="54">
        <f>IF(Scoring!AF16="","",Scoring!AF16)</f>
        <v>68.600000000000009</v>
      </c>
      <c r="F15" s="50" t="str">
        <f>IF(Scoring!AG16="","",Scoring!AG16)</f>
        <v>BUY</v>
      </c>
      <c r="G15" s="50" t="str">
        <f>IF(Scoring!AH16="","",Scoring!AH16)</f>
        <v>OK</v>
      </c>
      <c r="H15" s="50" t="str">
        <f>IF(Scoring!AI16="","",Scoring!AI16)</f>
        <v>OK</v>
      </c>
      <c r="I15" s="50" t="str">
        <f>IF(Scoring!AJ16="","",Scoring!AJ16)</f>
        <v>OK</v>
      </c>
      <c r="J15" s="50" t="str">
        <f>IF(Scoring!AK16="","",Scoring!AK16)</f>
        <v>OK</v>
      </c>
    </row>
    <row r="16" spans="1:10" ht="15" customHeight="1" x14ac:dyDescent="0.2">
      <c r="A16" s="50" t="str">
        <f>IF(Scoring!A17="","",Scoring!A17)</f>
        <v>TSM</v>
      </c>
      <c r="B16" s="51" t="str">
        <f>IF(Scoring!B17="","",Scoring!B17)</f>
        <v>Taiwan Semiconductor Mfg.</v>
      </c>
      <c r="C16" s="52">
        <f>IF(Scoring!C17="","",Scoring!C17)</f>
        <v>46240</v>
      </c>
      <c r="D16" s="53">
        <f>IF(Scoring!N17="","",Scoring!N17)</f>
        <v>4</v>
      </c>
      <c r="E16" s="54">
        <f>IF(Scoring!AF17="","",Scoring!AF17)</f>
        <v>81</v>
      </c>
      <c r="F16" s="50" t="str">
        <f>IF(Scoring!AG17="","",Scoring!AG17)</f>
        <v>STRONG BUY</v>
      </c>
      <c r="G16" s="50" t="str">
        <f>IF(Scoring!AH17="","",Scoring!AH17)</f>
        <v>OK</v>
      </c>
      <c r="H16" s="50" t="str">
        <f>IF(Scoring!AI17="","",Scoring!AI17)</f>
        <v>OK</v>
      </c>
      <c r="I16" s="50" t="str">
        <f>IF(Scoring!AJ17="","",Scoring!AJ17)</f>
        <v>OK</v>
      </c>
      <c r="J16" s="50" t="str">
        <f>IF(Scoring!AK17="","",Scoring!AK17)</f>
        <v>OK</v>
      </c>
    </row>
    <row r="17" spans="1:10" ht="15" customHeight="1" x14ac:dyDescent="0.2">
      <c r="A17" s="50" t="str">
        <f>IF(Scoring!A18="","",Scoring!A18)</f>
        <v>VRT</v>
      </c>
      <c r="B17" s="51" t="str">
        <f>IF(Scoring!B18="","",Scoring!B18)</f>
        <v>Vertiv Holdings</v>
      </c>
      <c r="C17" s="52">
        <f>IF(Scoring!C18="","",Scoring!C18)</f>
        <v>46240</v>
      </c>
      <c r="D17" s="53">
        <f>IF(Scoring!N18="","",Scoring!N18)</f>
        <v>4.3571428571428568</v>
      </c>
      <c r="E17" s="54">
        <f>IF(Scoring!AF18="","",Scoring!AF18)</f>
        <v>82.8</v>
      </c>
      <c r="F17" s="50" t="str">
        <f>IF(Scoring!AG18="","",Scoring!AG18)</f>
        <v>STRONG BUY</v>
      </c>
      <c r="G17" s="50" t="str">
        <f>IF(Scoring!AH18="","",Scoring!AH18)</f>
        <v>OK</v>
      </c>
      <c r="H17" s="50" t="str">
        <f>IF(Scoring!AI18="","",Scoring!AI18)</f>
        <v>OK</v>
      </c>
      <c r="I17" s="50" t="str">
        <f>IF(Scoring!AJ18="","",Scoring!AJ18)</f>
        <v>OK</v>
      </c>
      <c r="J17" s="50" t="str">
        <f>IF(Scoring!AK18="","",Scoring!AK18)</f>
        <v>OK</v>
      </c>
    </row>
    <row r="18" spans="1:10" ht="15" customHeight="1" x14ac:dyDescent="0.2">
      <c r="A18" s="50" t="str">
        <f>IF(Scoring!A19="","",Scoring!A19)</f>
        <v>COST</v>
      </c>
      <c r="B18" s="51" t="str">
        <f>IF(Scoring!B19="","",Scoring!B19)</f>
        <v>Costco Wholesale Corp.</v>
      </c>
      <c r="C18" s="52">
        <f>IF(Scoring!C19="","",Scoring!C19)</f>
        <v>46245</v>
      </c>
      <c r="D18" s="53">
        <f>IF(Scoring!N19="","",Scoring!N19)</f>
        <v>4.1428571428571432</v>
      </c>
      <c r="E18" s="54">
        <f>IF(Scoring!AF19="","",Scoring!AF19)</f>
        <v>77.400000000000006</v>
      </c>
      <c r="F18" s="50" t="str">
        <f>IF(Scoring!AG19="","",Scoring!AG19)</f>
        <v>BUY</v>
      </c>
      <c r="G18" s="50" t="str">
        <f>IF(Scoring!AH19="","",Scoring!AH19)</f>
        <v>OK</v>
      </c>
      <c r="H18" s="50" t="str">
        <f>IF(Scoring!AI19="","",Scoring!AI19)</f>
        <v>OK</v>
      </c>
      <c r="I18" s="50" t="str">
        <f>IF(Scoring!AJ19="","",Scoring!AJ19)</f>
        <v>OK</v>
      </c>
      <c r="J18" s="50" t="str">
        <f>IF(Scoring!AK19="","",Scoring!AK19)</f>
        <v>OK</v>
      </c>
    </row>
    <row r="19" spans="1:10" ht="15" customHeight="1" x14ac:dyDescent="0.2">
      <c r="A19" s="50" t="str">
        <f>IF(Scoring!A20="","",Scoring!A20)</f>
        <v>V</v>
      </c>
      <c r="B19" s="51" t="str">
        <f>IF(Scoring!B20="","",Scoring!B20)</f>
        <v>Visa Inc.</v>
      </c>
      <c r="C19" s="52">
        <f>IF(Scoring!C20="","",Scoring!C20)</f>
        <v>46245</v>
      </c>
      <c r="D19" s="53">
        <f>IF(Scoring!N20="","",Scoring!N20)</f>
        <v>4.5714285714285712</v>
      </c>
      <c r="E19" s="54">
        <f>IF(Scoring!AF20="","",Scoring!AF20)</f>
        <v>86.399999999999991</v>
      </c>
      <c r="F19" s="50" t="str">
        <f>IF(Scoring!AG20="","",Scoring!AG20)</f>
        <v>STRONG BUY</v>
      </c>
      <c r="G19" s="50" t="str">
        <f>IF(Scoring!AH20="","",Scoring!AH20)</f>
        <v>OK</v>
      </c>
      <c r="H19" s="50" t="str">
        <f>IF(Scoring!AI20="","",Scoring!AI20)</f>
        <v>OK</v>
      </c>
      <c r="I19" s="50" t="str">
        <f>IF(Scoring!AJ20="","",Scoring!AJ20)</f>
        <v>OK</v>
      </c>
      <c r="J19" s="50" t="str">
        <f>IF(Scoring!AK20="","",Scoring!AK20)</f>
        <v>OK</v>
      </c>
    </row>
    <row r="20" spans="1:10" ht="15" customHeight="1" x14ac:dyDescent="0.2">
      <c r="A20" s="50" t="str">
        <f>IF(Scoring!A21="","",Scoring!A21)</f>
        <v>NEE</v>
      </c>
      <c r="B20" s="51" t="str">
        <f>IF(Scoring!B21="","",Scoring!B21)</f>
        <v>NextEra Energy Inc.</v>
      </c>
      <c r="C20" s="52">
        <f>IF(Scoring!C21="","",Scoring!C21)</f>
        <v>46245</v>
      </c>
      <c r="D20" s="53">
        <f>IF(Scoring!N21="","",Scoring!N21)</f>
        <v>2.5</v>
      </c>
      <c r="E20" s="54" t="str">
        <f>IF(Scoring!AF21="","",Scoring!AF21)</f>
        <v/>
      </c>
      <c r="F20" s="50" t="str">
        <f>IF(Scoring!AG21="","",Scoring!AG21)</f>
        <v/>
      </c>
      <c r="G20" s="50" t="str">
        <f>IF(Scoring!AH21="","",Scoring!AH21)</f>
        <v>FAIL</v>
      </c>
      <c r="H20" s="50" t="str">
        <f>IF(Scoring!AI21="","",Scoring!AI21)</f>
        <v>REVIEW</v>
      </c>
      <c r="I20" s="50" t="str">
        <f>IF(Scoring!AJ21="","",Scoring!AJ21)</f>
        <v>AVOID</v>
      </c>
      <c r="J20" s="50" t="str">
        <f>IF(Scoring!AK21="","",Scoring!AK21)</f>
        <v>OK</v>
      </c>
    </row>
    <row r="21" spans="1:10" ht="15" customHeight="1" x14ac:dyDescent="0.2">
      <c r="A21" s="50" t="str">
        <f>IF(Scoring!A22="","",Scoring!A22)</f>
        <v>CRK</v>
      </c>
      <c r="B21" s="51" t="str">
        <f>IF(Scoring!B22="","",Scoring!B22)</f>
        <v>Comstock Resources Inc.</v>
      </c>
      <c r="C21" s="52">
        <f>IF(Scoring!C22="","",Scoring!C22)</f>
        <v>46245</v>
      </c>
      <c r="D21" s="53">
        <f>IF(Scoring!N22="","",Scoring!N22)</f>
        <v>1.2142857142857142</v>
      </c>
      <c r="E21" s="54" t="str">
        <f>IF(Scoring!AF22="","",Scoring!AF22)</f>
        <v/>
      </c>
      <c r="F21" s="50" t="str">
        <f>IF(Scoring!AG22="","",Scoring!AG22)</f>
        <v/>
      </c>
      <c r="G21" s="50" t="str">
        <f>IF(Scoring!AH22="","",Scoring!AH22)</f>
        <v>FAIL</v>
      </c>
      <c r="H21" s="50" t="str">
        <f>IF(Scoring!AI22="","",Scoring!AI22)</f>
        <v>REVIEW</v>
      </c>
      <c r="I21" s="50" t="str">
        <f>IF(Scoring!AJ22="","",Scoring!AJ22)</f>
        <v>AVOID</v>
      </c>
      <c r="J21" s="50" t="str">
        <f>IF(Scoring!AK22="","",Scoring!AK22)</f>
        <v>OK</v>
      </c>
    </row>
    <row r="22" spans="1:10" ht="15" customHeight="1" x14ac:dyDescent="0.2">
      <c r="A22" s="50" t="str">
        <f>IF(Scoring!A23="","",Scoring!A23)</f>
        <v>ET</v>
      </c>
      <c r="B22" s="51" t="str">
        <f>IF(Scoring!B23="","",Scoring!B23)</f>
        <v>Energy Transfer LP</v>
      </c>
      <c r="C22" s="52">
        <f>IF(Scoring!C23="","",Scoring!C23)</f>
        <v>46245</v>
      </c>
      <c r="D22" s="53">
        <f>IF(Scoring!N23="","",Scoring!N23)</f>
        <v>4</v>
      </c>
      <c r="E22" s="54" t="str">
        <f>IF(Scoring!AF23="","",Scoring!AF23)</f>
        <v/>
      </c>
      <c r="F22" s="50" t="str">
        <f>IF(Scoring!AG23="","",Scoring!AG23)</f>
        <v/>
      </c>
      <c r="G22" s="50" t="str">
        <f>IF(Scoring!AH23="","",Scoring!AH23)</f>
        <v>OK</v>
      </c>
      <c r="H22" s="50" t="str">
        <f>IF(Scoring!AI23="","",Scoring!AI23)</f>
        <v>OK</v>
      </c>
      <c r="I22" s="50" t="str">
        <f>IF(Scoring!AJ23="","",Scoring!AJ23)</f>
        <v>OK</v>
      </c>
      <c r="J22" s="50" t="str">
        <f>IF(Scoring!AK23="","",Scoring!AK23)</f>
        <v>OK</v>
      </c>
    </row>
    <row r="23" spans="1:10" ht="15" customHeight="1" x14ac:dyDescent="0.2">
      <c r="A23" s="50" t="str">
        <f>IF(Scoring!A24="","",Scoring!A24)</f>
        <v>LBRT</v>
      </c>
      <c r="B23" s="51" t="str">
        <f>IF(Scoring!B24="","",Scoring!B24)</f>
        <v>Liberty Energy Inc.</v>
      </c>
      <c r="C23" s="52">
        <f>IF(Scoring!C24="","",Scoring!C24)</f>
        <v>46245</v>
      </c>
      <c r="D23" s="53">
        <f>IF(Scoring!N24="","",Scoring!N24)</f>
        <v>2.0714285714285716</v>
      </c>
      <c r="E23" s="54" t="str">
        <f>IF(Scoring!AF24="","",Scoring!AF24)</f>
        <v/>
      </c>
      <c r="F23" s="50" t="str">
        <f>IF(Scoring!AG24="","",Scoring!AG24)</f>
        <v/>
      </c>
      <c r="G23" s="50" t="str">
        <f>IF(Scoring!AH24="","",Scoring!AH24)</f>
        <v>FAIL</v>
      </c>
      <c r="H23" s="50" t="str">
        <f>IF(Scoring!AI24="","",Scoring!AI24)</f>
        <v>REVIEW</v>
      </c>
      <c r="I23" s="50" t="str">
        <f>IF(Scoring!AJ24="","",Scoring!AJ24)</f>
        <v>AVOID</v>
      </c>
      <c r="J23" s="50" t="str">
        <f>IF(Scoring!AK24="","",Scoring!AK24)</f>
        <v>OK</v>
      </c>
    </row>
    <row r="24" spans="1:10" ht="15" customHeight="1" x14ac:dyDescent="0.2">
      <c r="A24" s="50" t="str">
        <f>IF(Scoring!A25="","",Scoring!A25)</f>
        <v>NOV</v>
      </c>
      <c r="B24" s="51" t="str">
        <f>IF(Scoring!B25="","",Scoring!B25)</f>
        <v>NOV Inc.</v>
      </c>
      <c r="C24" s="52">
        <f>IF(Scoring!C25="","",Scoring!C25)</f>
        <v>46245</v>
      </c>
      <c r="D24" s="53">
        <f>IF(Scoring!N25="","",Scoring!N25)</f>
        <v>2.6428571428571432</v>
      </c>
      <c r="E24" s="54" t="str">
        <f>IF(Scoring!AF25="","",Scoring!AF25)</f>
        <v/>
      </c>
      <c r="F24" s="50" t="str">
        <f>IF(Scoring!AG25="","",Scoring!AG25)</f>
        <v/>
      </c>
      <c r="G24" s="50" t="str">
        <f>IF(Scoring!AH25="","",Scoring!AH25)</f>
        <v>FAIL</v>
      </c>
      <c r="H24" s="50" t="str">
        <f>IF(Scoring!AI25="","",Scoring!AI25)</f>
        <v>OK</v>
      </c>
      <c r="I24" s="50" t="str">
        <f>IF(Scoring!AJ25="","",Scoring!AJ25)</f>
        <v>AVOID</v>
      </c>
      <c r="J24" s="50" t="str">
        <f>IF(Scoring!AK25="","",Scoring!AK25)</f>
        <v>OK</v>
      </c>
    </row>
    <row r="25" spans="1:10" ht="15" customHeight="1" x14ac:dyDescent="0.2">
      <c r="A25" s="50" t="str">
        <f>IF(Scoring!A26="","",Scoring!A26)</f>
        <v>CE</v>
      </c>
      <c r="B25" s="51" t="str">
        <f>IF(Scoring!B26="","",Scoring!B26)</f>
        <v>Celanese Corp.</v>
      </c>
      <c r="C25" s="52">
        <f>IF(Scoring!C26="","",Scoring!C26)</f>
        <v>46245</v>
      </c>
      <c r="D25" s="53">
        <f>IF(Scoring!N26="","",Scoring!N26)</f>
        <v>1.7857142857142858</v>
      </c>
      <c r="E25" s="54" t="str">
        <f>IF(Scoring!AF26="","",Scoring!AF26)</f>
        <v/>
      </c>
      <c r="F25" s="50" t="str">
        <f>IF(Scoring!AG26="","",Scoring!AG26)</f>
        <v/>
      </c>
      <c r="G25" s="50" t="str">
        <f>IF(Scoring!AH26="","",Scoring!AH26)</f>
        <v>FAIL</v>
      </c>
      <c r="H25" s="50" t="str">
        <f>IF(Scoring!AI26="","",Scoring!AI26)</f>
        <v>REVIEW</v>
      </c>
      <c r="I25" s="50" t="str">
        <f>IF(Scoring!AJ26="","",Scoring!AJ26)</f>
        <v>AVOID</v>
      </c>
      <c r="J25" s="50" t="str">
        <f>IF(Scoring!AK26="","",Scoring!AK26)</f>
        <v>OK</v>
      </c>
    </row>
    <row r="26" spans="1:10" ht="15" customHeight="1" x14ac:dyDescent="0.2">
      <c r="A26" s="50" t="str">
        <f>IF(Scoring!A27="","",Scoring!A27)</f>
        <v>CLF</v>
      </c>
      <c r="B26" s="51" t="str">
        <f>IF(Scoring!B27="","",Scoring!B27)</f>
        <v>Cleveland-Cliffs Inc.</v>
      </c>
      <c r="C26" s="52">
        <f>IF(Scoring!C27="","",Scoring!C27)</f>
        <v>46245</v>
      </c>
      <c r="D26" s="53">
        <f>IF(Scoring!N27="","",Scoring!N27)</f>
        <v>1.8571428571428574</v>
      </c>
      <c r="E26" s="54" t="str">
        <f>IF(Scoring!AF27="","",Scoring!AF27)</f>
        <v/>
      </c>
      <c r="F26" s="50" t="str">
        <f>IF(Scoring!AG27="","",Scoring!AG27)</f>
        <v/>
      </c>
      <c r="G26" s="50" t="str">
        <f>IF(Scoring!AH27="","",Scoring!AH27)</f>
        <v>FAIL</v>
      </c>
      <c r="H26" s="50" t="str">
        <f>IF(Scoring!AI27="","",Scoring!AI27)</f>
        <v>REVIEW</v>
      </c>
      <c r="I26" s="50" t="str">
        <f>IF(Scoring!AJ27="","",Scoring!AJ27)</f>
        <v>AVOID</v>
      </c>
      <c r="J26" s="50" t="str">
        <f>IF(Scoring!AK27="","",Scoring!AK27)</f>
        <v>OK</v>
      </c>
    </row>
    <row r="28" spans="1:10" ht="15" customHeight="1" x14ac:dyDescent="0.2">
      <c r="A28" s="3" t="s">
        <v>177</v>
      </c>
      <c r="B28" s="3"/>
      <c r="C28" s="3"/>
      <c r="D28" s="3"/>
      <c r="E28" s="3"/>
      <c r="F28" s="3"/>
    </row>
  </sheetData>
  <mergeCells count="1">
    <mergeCell ref="A28:F28"/>
  </mergeCells>
  <conditionalFormatting sqref="F2:F26">
    <cfRule type="cellIs" dxfId="69" priority="2" operator="equal">
      <formula>"STRONG BUY"</formula>
    </cfRule>
    <cfRule type="cellIs" dxfId="68" priority="3" operator="equal">
      <formula>"BUY"</formula>
    </cfRule>
    <cfRule type="cellIs" dxfId="67" priority="4" operator="equal">
      <formula>"WATCH LIST"</formula>
    </cfRule>
    <cfRule type="cellIs" dxfId="66" priority="5" operator="equal">
      <formula>"AVOID"</formula>
    </cfRule>
    <cfRule type="cellIs" dxfId="65" priority="6" operator="equal">
      <formula>"PASS"</formula>
    </cfRule>
  </conditionalFormatting>
  <conditionalFormatting sqref="G2:G26">
    <cfRule type="cellIs" dxfId="64" priority="7" operator="equal">
      <formula>"FAIL"</formula>
    </cfRule>
  </conditionalFormatting>
  <conditionalFormatting sqref="H2:H26">
    <cfRule type="cellIs" dxfId="63" priority="9" operator="equal">
      <formula>"REVIEW"</formula>
    </cfRule>
  </conditionalFormatting>
  <conditionalFormatting sqref="I2:I26">
    <cfRule type="cellIs" dxfId="62" priority="8" operator="equal">
      <formula>"AVOID"</formula>
    </cfRule>
  </conditionalFormatting>
  <conditionalFormatting sqref="J2:J26">
    <cfRule type="cellIs" dxfId="61" priority="10" operator="equal">
      <formula>"CAP AT BUY"</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60"/>
  <sheetViews>
    <sheetView showGridLines="0" zoomScaleNormal="100" workbookViewId="0">
      <pane xSplit="3" ySplit="2" topLeftCell="D3" activePane="bottomRight" state="frozen"/>
      <selection pane="topRight" activeCell="D1" sqref="D1"/>
      <selection pane="bottomLeft" activeCell="A3" sqref="A3"/>
      <selection pane="bottomRight"/>
    </sheetView>
  </sheetViews>
  <sheetFormatPr baseColWidth="10" defaultColWidth="8.6640625" defaultRowHeight="15" x14ac:dyDescent="0.2"/>
  <cols>
    <col min="1" max="1" width="8" customWidth="1"/>
    <col min="2" max="2" width="14" customWidth="1"/>
    <col min="3" max="3" width="10" customWidth="1"/>
    <col min="4" max="32" width="7.5" customWidth="1"/>
    <col min="33" max="33" width="12" customWidth="1"/>
    <col min="34" max="37" width="7.5" customWidth="1"/>
  </cols>
  <sheetData>
    <row r="1" spans="1:37" ht="15.75" customHeight="1" x14ac:dyDescent="0.2">
      <c r="D1" s="2" t="s">
        <v>178</v>
      </c>
      <c r="E1" s="2"/>
      <c r="F1" s="2"/>
      <c r="G1" s="2"/>
      <c r="H1" s="2"/>
      <c r="I1" s="2"/>
      <c r="J1" s="2"/>
      <c r="K1" s="2"/>
      <c r="L1" s="2"/>
      <c r="M1" s="2"/>
      <c r="N1" s="2"/>
      <c r="O1" s="2"/>
      <c r="P1" s="2" t="s">
        <v>179</v>
      </c>
      <c r="Q1" s="2"/>
      <c r="R1" s="2"/>
      <c r="S1" s="2"/>
      <c r="T1" s="2"/>
      <c r="U1" s="2"/>
      <c r="V1" s="2"/>
      <c r="W1" s="2"/>
      <c r="X1" s="2"/>
      <c r="Y1" s="2" t="s">
        <v>180</v>
      </c>
      <c r="Z1" s="2"/>
      <c r="AA1" s="2"/>
      <c r="AB1" s="2"/>
      <c r="AC1" s="2"/>
      <c r="AD1" s="2"/>
      <c r="AE1" s="2"/>
      <c r="AH1" s="1" t="s">
        <v>181</v>
      </c>
      <c r="AI1" s="1"/>
      <c r="AJ1" s="1"/>
      <c r="AK1" s="1"/>
    </row>
    <row r="2" spans="1:37" ht="30" customHeight="1" x14ac:dyDescent="0.2">
      <c r="A2" s="22" t="s">
        <v>57</v>
      </c>
      <c r="B2" s="22" t="s">
        <v>168</v>
      </c>
      <c r="C2" s="22" t="s">
        <v>182</v>
      </c>
      <c r="D2" s="22" t="s">
        <v>183</v>
      </c>
      <c r="E2" s="22" t="s">
        <v>184</v>
      </c>
      <c r="F2" s="22" t="s">
        <v>185</v>
      </c>
      <c r="G2" s="22" t="s">
        <v>184</v>
      </c>
      <c r="H2" s="22" t="s">
        <v>186</v>
      </c>
      <c r="I2" s="22" t="s">
        <v>184</v>
      </c>
      <c r="J2" s="22" t="s">
        <v>187</v>
      </c>
      <c r="K2" s="22" t="s">
        <v>184</v>
      </c>
      <c r="L2" s="22" t="s">
        <v>188</v>
      </c>
      <c r="M2" s="22" t="s">
        <v>184</v>
      </c>
      <c r="N2" s="22" t="s">
        <v>189</v>
      </c>
      <c r="O2" s="22" t="s">
        <v>190</v>
      </c>
      <c r="P2" s="22" t="s">
        <v>191</v>
      </c>
      <c r="Q2" s="22" t="s">
        <v>184</v>
      </c>
      <c r="R2" s="22" t="s">
        <v>192</v>
      </c>
      <c r="S2" s="22" t="s">
        <v>184</v>
      </c>
      <c r="T2" s="22" t="s">
        <v>193</v>
      </c>
      <c r="U2" s="22" t="s">
        <v>184</v>
      </c>
      <c r="V2" s="22" t="s">
        <v>194</v>
      </c>
      <c r="W2" s="22" t="s">
        <v>184</v>
      </c>
      <c r="X2" s="22" t="s">
        <v>195</v>
      </c>
      <c r="Y2" s="22" t="s">
        <v>196</v>
      </c>
      <c r="Z2" s="22" t="s">
        <v>184</v>
      </c>
      <c r="AA2" s="22" t="s">
        <v>197</v>
      </c>
      <c r="AB2" s="22" t="s">
        <v>184</v>
      </c>
      <c r="AC2" s="22" t="s">
        <v>198</v>
      </c>
      <c r="AD2" s="22" t="s">
        <v>184</v>
      </c>
      <c r="AE2" s="22" t="s">
        <v>199</v>
      </c>
      <c r="AF2" s="22" t="s">
        <v>200</v>
      </c>
      <c r="AG2" s="22" t="s">
        <v>172</v>
      </c>
      <c r="AH2" s="55" t="s">
        <v>201</v>
      </c>
      <c r="AI2" s="55" t="s">
        <v>202</v>
      </c>
      <c r="AJ2" s="55" t="s">
        <v>203</v>
      </c>
      <c r="AK2" s="55" t="s">
        <v>204</v>
      </c>
    </row>
    <row r="3" spans="1:37" ht="15" customHeight="1" x14ac:dyDescent="0.2">
      <c r="A3" s="26" t="s">
        <v>84</v>
      </c>
      <c r="B3" s="26" t="s">
        <v>85</v>
      </c>
      <c r="C3" s="43">
        <v>46240</v>
      </c>
      <c r="D3" s="26">
        <v>3</v>
      </c>
      <c r="E3" s="26" t="s">
        <v>205</v>
      </c>
      <c r="F3" s="26">
        <v>3</v>
      </c>
      <c r="G3" s="26" t="s">
        <v>205</v>
      </c>
      <c r="H3" s="26">
        <v>4</v>
      </c>
      <c r="I3" s="26" t="s">
        <v>206</v>
      </c>
      <c r="J3" s="26">
        <v>5</v>
      </c>
      <c r="K3" s="26" t="s">
        <v>206</v>
      </c>
      <c r="L3" s="26">
        <v>4</v>
      </c>
      <c r="M3" s="26" t="s">
        <v>205</v>
      </c>
      <c r="N3" s="56">
        <f t="shared" ref="N3:N34" si="0">IF(COUNT(D3,F3,H3,J3,L3)=0,"",(D3*0.2+F3*0.15+H3*0.15+J3*0.1+L3*0.1)/0.7)</f>
        <v>3.6428571428571428</v>
      </c>
      <c r="O3" s="57">
        <f t="shared" ref="O3:O34" si="1">IF(COUNT(D3,F3,H3,J3,L3)=0,"",D3*0.2+F3*0.15+H3*0.15+J3*0.1+L3*0.1)</f>
        <v>2.5499999999999998</v>
      </c>
      <c r="P3" s="26">
        <v>4</v>
      </c>
      <c r="Q3" s="26" t="s">
        <v>205</v>
      </c>
      <c r="R3" s="26">
        <v>5</v>
      </c>
      <c r="S3" s="26" t="s">
        <v>205</v>
      </c>
      <c r="T3" s="26">
        <v>5</v>
      </c>
      <c r="U3" s="26" t="s">
        <v>206</v>
      </c>
      <c r="V3" s="26">
        <v>1</v>
      </c>
      <c r="W3" s="26" t="s">
        <v>206</v>
      </c>
      <c r="X3" s="57">
        <f t="shared" ref="X3:X34" si="2">IF(COUNT(P3,R3,T3,V3)=0,"",P3*0.08+R3*0.06+T3*0.03+V3*0.08)</f>
        <v>0.85</v>
      </c>
      <c r="Y3" s="26">
        <v>5</v>
      </c>
      <c r="Z3" s="26" t="s">
        <v>206</v>
      </c>
      <c r="AA3" s="26">
        <v>3</v>
      </c>
      <c r="AB3" s="26" t="s">
        <v>205</v>
      </c>
      <c r="AC3" s="26">
        <v>3</v>
      </c>
      <c r="AD3" s="26" t="s">
        <v>207</v>
      </c>
      <c r="AE3" s="57">
        <f t="shared" ref="AE3:AE34" si="3">IF(COUNT(Y3,AA3,AC3)=0,"",Y3*0.02+AA3*0.02+AC3*0.01)</f>
        <v>0.19</v>
      </c>
      <c r="AF3" s="58">
        <f t="shared" ref="AF3:AF34" si="4">IF(OR(O3="",X3="",AE3=""),"",(O3+X3+AE3)*20)</f>
        <v>71.8</v>
      </c>
      <c r="AG3" s="45" t="str">
        <f t="shared" ref="AG3:AG34" si="5">IF(AF3="","",IF(AF3&gt;=80,"STRONG BUY",IF(AF3&gt;=65,"BUY",IF(AF3&gt;=50,"WATCH LIST",IF(AF3&gt;=35,"AVOID","PASS")))))</f>
        <v>BUY</v>
      </c>
      <c r="AH3" s="45" t="str">
        <f t="shared" ref="AH3:AH34" si="6">IF(N3="","",IF(N3&lt;3,"FAIL","OK"))</f>
        <v>OK</v>
      </c>
      <c r="AI3" s="45" t="str">
        <f t="shared" ref="AI3:AI34" si="7">IF(COUNT(D3:L3)=0,"",IF(COUNTIF(D3:L3,1)&gt;0,"REVIEW","OK"))</f>
        <v>OK</v>
      </c>
      <c r="AJ3" s="45" t="str">
        <f t="shared" ref="AJ3:AJ34" si="8">IF(COUNT(D3:L3)=0,"",IF(COUNTIF(D3:L3,"&lt;=2")&gt;=2,"AVOID","OK"))</f>
        <v>OK</v>
      </c>
      <c r="AK3" s="45" t="str">
        <f t="shared" ref="AK3:AK34" si="9">IF(COUNTA(E3:M3)=0,"",IF(COUNTIF(E3:M3,"L")&gt;=2,"CAP AT BUY","OK"))</f>
        <v>OK</v>
      </c>
    </row>
    <row r="4" spans="1:37" ht="15" customHeight="1" x14ac:dyDescent="0.2">
      <c r="A4" s="26" t="s">
        <v>114</v>
      </c>
      <c r="B4" s="26" t="s">
        <v>115</v>
      </c>
      <c r="C4" s="43">
        <v>46240</v>
      </c>
      <c r="D4" s="26">
        <v>3</v>
      </c>
      <c r="E4" s="26" t="s">
        <v>205</v>
      </c>
      <c r="F4" s="26">
        <v>4</v>
      </c>
      <c r="G4" s="26" t="s">
        <v>206</v>
      </c>
      <c r="H4" s="26">
        <v>5</v>
      </c>
      <c r="I4" s="26" t="s">
        <v>206</v>
      </c>
      <c r="J4" s="26">
        <v>4</v>
      </c>
      <c r="K4" s="26" t="s">
        <v>205</v>
      </c>
      <c r="L4" s="26">
        <v>5</v>
      </c>
      <c r="M4" s="26" t="s">
        <v>206</v>
      </c>
      <c r="N4" s="56">
        <f t="shared" si="0"/>
        <v>4.0714285714285721</v>
      </c>
      <c r="O4" s="57">
        <f t="shared" si="1"/>
        <v>2.85</v>
      </c>
      <c r="P4" s="26">
        <v>4</v>
      </c>
      <c r="Q4" s="26" t="s">
        <v>206</v>
      </c>
      <c r="R4" s="26">
        <v>4</v>
      </c>
      <c r="S4" s="26" t="s">
        <v>207</v>
      </c>
      <c r="T4" s="26">
        <v>4</v>
      </c>
      <c r="U4" s="26" t="s">
        <v>205</v>
      </c>
      <c r="V4" s="26">
        <v>4</v>
      </c>
      <c r="W4" s="26" t="s">
        <v>205</v>
      </c>
      <c r="X4" s="57">
        <f t="shared" si="2"/>
        <v>1</v>
      </c>
      <c r="Y4" s="26">
        <v>3</v>
      </c>
      <c r="Z4" s="26" t="s">
        <v>205</v>
      </c>
      <c r="AA4" s="26">
        <v>5</v>
      </c>
      <c r="AB4" s="26" t="s">
        <v>206</v>
      </c>
      <c r="AC4" s="26">
        <v>3</v>
      </c>
      <c r="AD4" s="26" t="s">
        <v>205</v>
      </c>
      <c r="AE4" s="57">
        <f t="shared" si="3"/>
        <v>0.19</v>
      </c>
      <c r="AF4" s="58">
        <f t="shared" si="4"/>
        <v>80.8</v>
      </c>
      <c r="AG4" s="45" t="str">
        <f t="shared" si="5"/>
        <v>STRONG BUY</v>
      </c>
      <c r="AH4" s="45" t="str">
        <f t="shared" si="6"/>
        <v>OK</v>
      </c>
      <c r="AI4" s="45" t="str">
        <f t="shared" si="7"/>
        <v>OK</v>
      </c>
      <c r="AJ4" s="45" t="str">
        <f t="shared" si="8"/>
        <v>OK</v>
      </c>
      <c r="AK4" s="45" t="str">
        <f t="shared" si="9"/>
        <v>OK</v>
      </c>
    </row>
    <row r="5" spans="1:37" ht="15" customHeight="1" x14ac:dyDescent="0.2">
      <c r="A5" s="26" t="s">
        <v>88</v>
      </c>
      <c r="B5" s="26" t="s">
        <v>89</v>
      </c>
      <c r="C5" s="43">
        <v>46240</v>
      </c>
      <c r="D5" s="26">
        <v>2</v>
      </c>
      <c r="E5" s="26" t="s">
        <v>206</v>
      </c>
      <c r="F5" s="26">
        <v>5</v>
      </c>
      <c r="G5" s="26" t="s">
        <v>206</v>
      </c>
      <c r="H5" s="26">
        <v>5</v>
      </c>
      <c r="I5" s="26" t="s">
        <v>205</v>
      </c>
      <c r="J5" s="26">
        <v>4</v>
      </c>
      <c r="K5" s="26" t="s">
        <v>205</v>
      </c>
      <c r="L5" s="26">
        <v>5</v>
      </c>
      <c r="M5" s="26" t="s">
        <v>206</v>
      </c>
      <c r="N5" s="56">
        <f t="shared" si="0"/>
        <v>4</v>
      </c>
      <c r="O5" s="57">
        <f t="shared" si="1"/>
        <v>2.8</v>
      </c>
      <c r="P5" s="26">
        <v>3</v>
      </c>
      <c r="Q5" s="26" t="s">
        <v>205</v>
      </c>
      <c r="R5" s="26">
        <v>5</v>
      </c>
      <c r="S5" s="26" t="s">
        <v>206</v>
      </c>
      <c r="T5" s="26">
        <v>3</v>
      </c>
      <c r="U5" s="26" t="s">
        <v>205</v>
      </c>
      <c r="V5" s="26">
        <v>2</v>
      </c>
      <c r="W5" s="26" t="s">
        <v>205</v>
      </c>
      <c r="X5" s="57">
        <f t="shared" si="2"/>
        <v>0.79</v>
      </c>
      <c r="Y5" s="26">
        <v>3</v>
      </c>
      <c r="Z5" s="26" t="s">
        <v>207</v>
      </c>
      <c r="AA5" s="26">
        <v>4</v>
      </c>
      <c r="AB5" s="26" t="s">
        <v>205</v>
      </c>
      <c r="AC5" s="26">
        <v>3</v>
      </c>
      <c r="AD5" s="26" t="s">
        <v>207</v>
      </c>
      <c r="AE5" s="57">
        <f t="shared" si="3"/>
        <v>0.17</v>
      </c>
      <c r="AF5" s="58">
        <f t="shared" si="4"/>
        <v>75.199999999999989</v>
      </c>
      <c r="AG5" s="45" t="str">
        <f t="shared" si="5"/>
        <v>BUY</v>
      </c>
      <c r="AH5" s="45" t="str">
        <f t="shared" si="6"/>
        <v>OK</v>
      </c>
      <c r="AI5" s="45" t="str">
        <f t="shared" si="7"/>
        <v>OK</v>
      </c>
      <c r="AJ5" s="45" t="str">
        <f t="shared" si="8"/>
        <v>OK</v>
      </c>
      <c r="AK5" s="45" t="str">
        <f t="shared" si="9"/>
        <v>OK</v>
      </c>
    </row>
    <row r="6" spans="1:37" ht="15" customHeight="1" x14ac:dyDescent="0.2">
      <c r="A6" s="26" t="s">
        <v>86</v>
      </c>
      <c r="B6" s="26" t="s">
        <v>87</v>
      </c>
      <c r="C6" s="43">
        <v>46240</v>
      </c>
      <c r="D6" s="26">
        <v>4</v>
      </c>
      <c r="E6" s="26" t="s">
        <v>206</v>
      </c>
      <c r="F6" s="26">
        <v>5</v>
      </c>
      <c r="G6" s="26" t="s">
        <v>206</v>
      </c>
      <c r="H6" s="26">
        <v>5</v>
      </c>
      <c r="I6" s="26" t="s">
        <v>206</v>
      </c>
      <c r="J6" s="26">
        <v>4</v>
      </c>
      <c r="K6" s="26" t="s">
        <v>206</v>
      </c>
      <c r="L6" s="26">
        <v>5</v>
      </c>
      <c r="M6" s="26" t="s">
        <v>206</v>
      </c>
      <c r="N6" s="56">
        <f t="shared" si="0"/>
        <v>4.5714285714285712</v>
      </c>
      <c r="O6" s="57">
        <f t="shared" si="1"/>
        <v>3.1999999999999997</v>
      </c>
      <c r="P6" s="26">
        <v>5</v>
      </c>
      <c r="Q6" s="26" t="s">
        <v>206</v>
      </c>
      <c r="R6" s="26">
        <v>5</v>
      </c>
      <c r="S6" s="26" t="s">
        <v>206</v>
      </c>
      <c r="T6" s="26">
        <v>5</v>
      </c>
      <c r="U6" s="26" t="s">
        <v>206</v>
      </c>
      <c r="V6" s="26">
        <v>5</v>
      </c>
      <c r="W6" s="26" t="s">
        <v>205</v>
      </c>
      <c r="X6" s="57">
        <f t="shared" si="2"/>
        <v>1.25</v>
      </c>
      <c r="Y6" s="26">
        <v>4</v>
      </c>
      <c r="Z6" s="26" t="s">
        <v>205</v>
      </c>
      <c r="AA6" s="26">
        <v>5</v>
      </c>
      <c r="AB6" s="26" t="s">
        <v>205</v>
      </c>
      <c r="AC6" s="26">
        <v>3</v>
      </c>
      <c r="AD6" s="26" t="s">
        <v>207</v>
      </c>
      <c r="AE6" s="57">
        <f t="shared" si="3"/>
        <v>0.21</v>
      </c>
      <c r="AF6" s="58">
        <f t="shared" si="4"/>
        <v>93.199999999999989</v>
      </c>
      <c r="AG6" s="45" t="str">
        <f t="shared" si="5"/>
        <v>STRONG BUY</v>
      </c>
      <c r="AH6" s="45" t="str">
        <f t="shared" si="6"/>
        <v>OK</v>
      </c>
      <c r="AI6" s="45" t="str">
        <f t="shared" si="7"/>
        <v>OK</v>
      </c>
      <c r="AJ6" s="45" t="str">
        <f t="shared" si="8"/>
        <v>OK</v>
      </c>
      <c r="AK6" s="45" t="str">
        <f t="shared" si="9"/>
        <v>OK</v>
      </c>
    </row>
    <row r="7" spans="1:37" ht="15" customHeight="1" x14ac:dyDescent="0.2">
      <c r="A7" s="26" t="s">
        <v>116</v>
      </c>
      <c r="B7" s="26" t="s">
        <v>117</v>
      </c>
      <c r="C7" s="43">
        <v>46241</v>
      </c>
      <c r="D7" s="26">
        <v>4</v>
      </c>
      <c r="E7" s="26" t="s">
        <v>206</v>
      </c>
      <c r="F7" s="26">
        <v>3</v>
      </c>
      <c r="G7" s="26" t="s">
        <v>205</v>
      </c>
      <c r="H7" s="26">
        <v>4</v>
      </c>
      <c r="I7" s="26" t="s">
        <v>205</v>
      </c>
      <c r="J7" s="26">
        <v>4</v>
      </c>
      <c r="K7" s="26" t="s">
        <v>205</v>
      </c>
      <c r="L7" s="26">
        <v>4</v>
      </c>
      <c r="M7" s="26" t="s">
        <v>206</v>
      </c>
      <c r="N7" s="56">
        <f t="shared" si="0"/>
        <v>3.785714285714286</v>
      </c>
      <c r="O7" s="57">
        <f t="shared" si="1"/>
        <v>2.65</v>
      </c>
      <c r="P7" s="26">
        <v>3</v>
      </c>
      <c r="Q7" s="26" t="s">
        <v>205</v>
      </c>
      <c r="R7" s="26">
        <v>4</v>
      </c>
      <c r="S7" s="26" t="s">
        <v>205</v>
      </c>
      <c r="T7" s="26">
        <v>4</v>
      </c>
      <c r="U7" s="26" t="s">
        <v>205</v>
      </c>
      <c r="V7" s="26">
        <v>4</v>
      </c>
      <c r="W7" s="26" t="s">
        <v>205</v>
      </c>
      <c r="X7" s="57">
        <f t="shared" si="2"/>
        <v>0.91999999999999993</v>
      </c>
      <c r="Y7" s="26">
        <v>4</v>
      </c>
      <c r="Z7" s="26" t="s">
        <v>205</v>
      </c>
      <c r="AA7" s="26">
        <v>5</v>
      </c>
      <c r="AB7" s="26" t="s">
        <v>206</v>
      </c>
      <c r="AC7" s="26">
        <v>3</v>
      </c>
      <c r="AD7" s="26" t="s">
        <v>207</v>
      </c>
      <c r="AE7" s="57">
        <f t="shared" si="3"/>
        <v>0.21</v>
      </c>
      <c r="AF7" s="58">
        <f t="shared" si="4"/>
        <v>75.599999999999994</v>
      </c>
      <c r="AG7" s="45" t="str">
        <f t="shared" si="5"/>
        <v>BUY</v>
      </c>
      <c r="AH7" s="45" t="str">
        <f t="shared" si="6"/>
        <v>OK</v>
      </c>
      <c r="AI7" s="45" t="str">
        <f t="shared" si="7"/>
        <v>OK</v>
      </c>
      <c r="AJ7" s="45" t="str">
        <f t="shared" si="8"/>
        <v>OK</v>
      </c>
      <c r="AK7" s="45" t="str">
        <f t="shared" si="9"/>
        <v>OK</v>
      </c>
    </row>
    <row r="8" spans="1:37" ht="15" customHeight="1" x14ac:dyDescent="0.2">
      <c r="A8" s="26" t="s">
        <v>123</v>
      </c>
      <c r="B8" s="26" t="s">
        <v>208</v>
      </c>
      <c r="C8" s="43">
        <v>46240</v>
      </c>
      <c r="D8" s="26">
        <v>4</v>
      </c>
      <c r="E8" s="26" t="s">
        <v>205</v>
      </c>
      <c r="F8" s="26">
        <v>4</v>
      </c>
      <c r="G8" s="26" t="s">
        <v>205</v>
      </c>
      <c r="H8" s="26">
        <v>5</v>
      </c>
      <c r="I8" s="26" t="s">
        <v>206</v>
      </c>
      <c r="J8" s="26">
        <v>4</v>
      </c>
      <c r="K8" s="26" t="s">
        <v>205</v>
      </c>
      <c r="L8" s="26">
        <v>5</v>
      </c>
      <c r="M8" s="26" t="s">
        <v>206</v>
      </c>
      <c r="N8" s="56">
        <f t="shared" si="0"/>
        <v>4.3571428571428568</v>
      </c>
      <c r="O8" s="57">
        <f t="shared" si="1"/>
        <v>3.05</v>
      </c>
      <c r="P8" s="26">
        <v>5</v>
      </c>
      <c r="Q8" s="26" t="s">
        <v>206</v>
      </c>
      <c r="R8" s="26">
        <v>3</v>
      </c>
      <c r="S8" s="26" t="s">
        <v>207</v>
      </c>
      <c r="T8" s="26">
        <v>4</v>
      </c>
      <c r="U8" s="26" t="s">
        <v>207</v>
      </c>
      <c r="V8" s="26">
        <v>2</v>
      </c>
      <c r="W8" s="26" t="s">
        <v>206</v>
      </c>
      <c r="X8" s="57">
        <f t="shared" si="2"/>
        <v>0.8600000000000001</v>
      </c>
      <c r="Y8" s="26">
        <v>4</v>
      </c>
      <c r="Z8" s="26" t="s">
        <v>207</v>
      </c>
      <c r="AA8" s="26">
        <v>4</v>
      </c>
      <c r="AB8" s="26" t="s">
        <v>205</v>
      </c>
      <c r="AC8" s="26">
        <v>3</v>
      </c>
      <c r="AD8" s="26" t="s">
        <v>207</v>
      </c>
      <c r="AE8" s="57">
        <f t="shared" si="3"/>
        <v>0.19</v>
      </c>
      <c r="AF8" s="58">
        <f t="shared" si="4"/>
        <v>82.000000000000014</v>
      </c>
      <c r="AG8" s="45" t="str">
        <f t="shared" si="5"/>
        <v>STRONG BUY</v>
      </c>
      <c r="AH8" s="45" t="str">
        <f t="shared" si="6"/>
        <v>OK</v>
      </c>
      <c r="AI8" s="45" t="str">
        <f t="shared" si="7"/>
        <v>OK</v>
      </c>
      <c r="AJ8" s="45" t="str">
        <f t="shared" si="8"/>
        <v>OK</v>
      </c>
      <c r="AK8" s="45" t="str">
        <f t="shared" si="9"/>
        <v>OK</v>
      </c>
    </row>
    <row r="9" spans="1:37" ht="15" customHeight="1" x14ac:dyDescent="0.2">
      <c r="A9" s="26" t="s">
        <v>126</v>
      </c>
      <c r="B9" s="26" t="s">
        <v>127</v>
      </c>
      <c r="C9" s="43">
        <v>46240</v>
      </c>
      <c r="D9" s="26">
        <v>2</v>
      </c>
      <c r="E9" s="26" t="s">
        <v>205</v>
      </c>
      <c r="F9" s="26">
        <v>2</v>
      </c>
      <c r="G9" s="26" t="s">
        <v>205</v>
      </c>
      <c r="H9" s="26">
        <v>2</v>
      </c>
      <c r="I9" s="26" t="s">
        <v>205</v>
      </c>
      <c r="J9" s="26">
        <v>2</v>
      </c>
      <c r="K9" s="26" t="s">
        <v>205</v>
      </c>
      <c r="L9" s="26">
        <v>1</v>
      </c>
      <c r="M9" s="26" t="s">
        <v>206</v>
      </c>
      <c r="N9" s="56">
        <f t="shared" si="0"/>
        <v>1.8571428571428574</v>
      </c>
      <c r="O9" s="57">
        <f t="shared" si="1"/>
        <v>1.3</v>
      </c>
      <c r="P9" s="26"/>
      <c r="Q9" s="26"/>
      <c r="R9" s="26"/>
      <c r="S9" s="26"/>
      <c r="T9" s="26"/>
      <c r="U9" s="26"/>
      <c r="V9" s="26"/>
      <c r="W9" s="26"/>
      <c r="X9" s="57" t="str">
        <f t="shared" si="2"/>
        <v/>
      </c>
      <c r="Y9" s="26"/>
      <c r="Z9" s="26"/>
      <c r="AA9" s="26"/>
      <c r="AB9" s="26"/>
      <c r="AC9" s="26"/>
      <c r="AD9" s="26"/>
      <c r="AE9" s="57" t="str">
        <f t="shared" si="3"/>
        <v/>
      </c>
      <c r="AF9" s="58" t="str">
        <f t="shared" si="4"/>
        <v/>
      </c>
      <c r="AG9" s="45" t="str">
        <f t="shared" si="5"/>
        <v/>
      </c>
      <c r="AH9" s="45" t="str">
        <f t="shared" si="6"/>
        <v>FAIL</v>
      </c>
      <c r="AI9" s="45" t="str">
        <f t="shared" si="7"/>
        <v>REVIEW</v>
      </c>
      <c r="AJ9" s="45" t="str">
        <f t="shared" si="8"/>
        <v>AVOID</v>
      </c>
      <c r="AK9" s="45" t="str">
        <f t="shared" si="9"/>
        <v>OK</v>
      </c>
    </row>
    <row r="10" spans="1:37" ht="15" customHeight="1" x14ac:dyDescent="0.2">
      <c r="A10" s="26" t="s">
        <v>137</v>
      </c>
      <c r="B10" s="26" t="s">
        <v>138</v>
      </c>
      <c r="C10" s="43">
        <v>46240</v>
      </c>
      <c r="D10" s="26">
        <v>2</v>
      </c>
      <c r="E10" s="26" t="s">
        <v>205</v>
      </c>
      <c r="F10" s="26">
        <v>4</v>
      </c>
      <c r="G10" s="26" t="s">
        <v>206</v>
      </c>
      <c r="H10" s="26">
        <v>3</v>
      </c>
      <c r="I10" s="26" t="s">
        <v>205</v>
      </c>
      <c r="J10" s="26">
        <v>2</v>
      </c>
      <c r="K10" s="26" t="s">
        <v>205</v>
      </c>
      <c r="L10" s="26">
        <v>2</v>
      </c>
      <c r="M10" s="26" t="s">
        <v>206</v>
      </c>
      <c r="N10" s="56">
        <f t="shared" si="0"/>
        <v>2.6428571428571428</v>
      </c>
      <c r="O10" s="57">
        <f t="shared" si="1"/>
        <v>1.8499999999999999</v>
      </c>
      <c r="P10" s="26"/>
      <c r="Q10" s="26"/>
      <c r="R10" s="26"/>
      <c r="S10" s="26"/>
      <c r="T10" s="26"/>
      <c r="U10" s="26"/>
      <c r="V10" s="26"/>
      <c r="W10" s="26"/>
      <c r="X10" s="57" t="str">
        <f t="shared" si="2"/>
        <v/>
      </c>
      <c r="Y10" s="26"/>
      <c r="Z10" s="26"/>
      <c r="AA10" s="26"/>
      <c r="AB10" s="26"/>
      <c r="AC10" s="26"/>
      <c r="AD10" s="26"/>
      <c r="AE10" s="57" t="str">
        <f t="shared" si="3"/>
        <v/>
      </c>
      <c r="AF10" s="58" t="str">
        <f t="shared" si="4"/>
        <v/>
      </c>
      <c r="AG10" s="45" t="str">
        <f t="shared" si="5"/>
        <v/>
      </c>
      <c r="AH10" s="45" t="str">
        <f t="shared" si="6"/>
        <v>FAIL</v>
      </c>
      <c r="AI10" s="45" t="str">
        <f t="shared" si="7"/>
        <v>OK</v>
      </c>
      <c r="AJ10" s="45" t="str">
        <f t="shared" si="8"/>
        <v>AVOID</v>
      </c>
      <c r="AK10" s="45" t="str">
        <f t="shared" si="9"/>
        <v>OK</v>
      </c>
    </row>
    <row r="11" spans="1:37" ht="15" customHeight="1" x14ac:dyDescent="0.2">
      <c r="A11" s="26" t="s">
        <v>129</v>
      </c>
      <c r="B11" s="26" t="s">
        <v>130</v>
      </c>
      <c r="C11" s="43">
        <v>46240</v>
      </c>
      <c r="D11" s="26">
        <v>1</v>
      </c>
      <c r="E11" s="26" t="s">
        <v>206</v>
      </c>
      <c r="F11" s="26">
        <v>2</v>
      </c>
      <c r="G11" s="26" t="s">
        <v>205</v>
      </c>
      <c r="H11" s="26">
        <v>3</v>
      </c>
      <c r="I11" s="26" t="s">
        <v>205</v>
      </c>
      <c r="J11" s="26">
        <v>3</v>
      </c>
      <c r="K11" s="26" t="s">
        <v>205</v>
      </c>
      <c r="L11" s="26">
        <v>1</v>
      </c>
      <c r="M11" s="26" t="s">
        <v>206</v>
      </c>
      <c r="N11" s="56">
        <f t="shared" si="0"/>
        <v>1.9285714285714288</v>
      </c>
      <c r="O11" s="57">
        <f t="shared" si="1"/>
        <v>1.35</v>
      </c>
      <c r="P11" s="26"/>
      <c r="Q11" s="26"/>
      <c r="R11" s="26"/>
      <c r="S11" s="26"/>
      <c r="T11" s="26"/>
      <c r="U11" s="26"/>
      <c r="V11" s="26"/>
      <c r="W11" s="26"/>
      <c r="X11" s="57" t="str">
        <f t="shared" si="2"/>
        <v/>
      </c>
      <c r="Y11" s="26"/>
      <c r="Z11" s="26"/>
      <c r="AA11" s="26"/>
      <c r="AB11" s="26"/>
      <c r="AC11" s="26"/>
      <c r="AD11" s="26"/>
      <c r="AE11" s="57" t="str">
        <f t="shared" si="3"/>
        <v/>
      </c>
      <c r="AF11" s="58" t="str">
        <f t="shared" si="4"/>
        <v/>
      </c>
      <c r="AG11" s="45" t="str">
        <f t="shared" si="5"/>
        <v/>
      </c>
      <c r="AH11" s="45" t="str">
        <f t="shared" si="6"/>
        <v>FAIL</v>
      </c>
      <c r="AI11" s="45" t="str">
        <f t="shared" si="7"/>
        <v>REVIEW</v>
      </c>
      <c r="AJ11" s="45" t="str">
        <f t="shared" si="8"/>
        <v>AVOID</v>
      </c>
      <c r="AK11" s="45" t="str">
        <f t="shared" si="9"/>
        <v>OK</v>
      </c>
    </row>
    <row r="12" spans="1:37" ht="15" customHeight="1" x14ac:dyDescent="0.2">
      <c r="A12" s="26" t="s">
        <v>71</v>
      </c>
      <c r="B12" s="26" t="s">
        <v>72</v>
      </c>
      <c r="C12" s="43">
        <v>46240</v>
      </c>
      <c r="D12" s="26">
        <v>5</v>
      </c>
      <c r="E12" s="26" t="s">
        <v>206</v>
      </c>
      <c r="F12" s="26">
        <v>4</v>
      </c>
      <c r="G12" s="26" t="s">
        <v>206</v>
      </c>
      <c r="H12" s="26">
        <v>4</v>
      </c>
      <c r="I12" s="26" t="s">
        <v>205</v>
      </c>
      <c r="J12" s="26">
        <v>5</v>
      </c>
      <c r="K12" s="26" t="s">
        <v>206</v>
      </c>
      <c r="L12" s="26">
        <v>5</v>
      </c>
      <c r="M12" s="26" t="s">
        <v>206</v>
      </c>
      <c r="N12" s="56">
        <f t="shared" si="0"/>
        <v>4.5714285714285721</v>
      </c>
      <c r="O12" s="57">
        <f t="shared" si="1"/>
        <v>3.2</v>
      </c>
      <c r="P12" s="26">
        <v>3</v>
      </c>
      <c r="Q12" s="26" t="s">
        <v>205</v>
      </c>
      <c r="R12" s="26">
        <v>5</v>
      </c>
      <c r="S12" s="26" t="s">
        <v>206</v>
      </c>
      <c r="T12" s="26">
        <v>1</v>
      </c>
      <c r="U12" s="26" t="s">
        <v>206</v>
      </c>
      <c r="V12" s="26">
        <v>5</v>
      </c>
      <c r="W12" s="26" t="s">
        <v>206</v>
      </c>
      <c r="X12" s="57">
        <f t="shared" si="2"/>
        <v>0.97000000000000008</v>
      </c>
      <c r="Y12" s="26">
        <v>2</v>
      </c>
      <c r="Z12" s="26" t="s">
        <v>205</v>
      </c>
      <c r="AA12" s="26">
        <v>3</v>
      </c>
      <c r="AB12" s="26" t="s">
        <v>205</v>
      </c>
      <c r="AC12" s="26">
        <v>2</v>
      </c>
      <c r="AD12" s="26" t="s">
        <v>207</v>
      </c>
      <c r="AE12" s="57">
        <f t="shared" si="3"/>
        <v>0.12000000000000001</v>
      </c>
      <c r="AF12" s="58">
        <f t="shared" si="4"/>
        <v>85.8</v>
      </c>
      <c r="AG12" s="45" t="str">
        <f t="shared" si="5"/>
        <v>STRONG BUY</v>
      </c>
      <c r="AH12" s="45" t="str">
        <f t="shared" si="6"/>
        <v>OK</v>
      </c>
      <c r="AI12" s="45" t="str">
        <f t="shared" si="7"/>
        <v>OK</v>
      </c>
      <c r="AJ12" s="45" t="str">
        <f t="shared" si="8"/>
        <v>OK</v>
      </c>
      <c r="AK12" s="45" t="str">
        <f t="shared" si="9"/>
        <v>OK</v>
      </c>
    </row>
    <row r="13" spans="1:37" ht="15" customHeight="1" x14ac:dyDescent="0.2">
      <c r="A13" s="26" t="s">
        <v>76</v>
      </c>
      <c r="B13" s="26" t="s">
        <v>77</v>
      </c>
      <c r="C13" s="43">
        <v>46240</v>
      </c>
      <c r="D13" s="26">
        <v>4</v>
      </c>
      <c r="E13" s="26" t="s">
        <v>205</v>
      </c>
      <c r="F13" s="26">
        <v>5</v>
      </c>
      <c r="G13" s="26" t="s">
        <v>206</v>
      </c>
      <c r="H13" s="26">
        <v>5</v>
      </c>
      <c r="I13" s="26" t="s">
        <v>206</v>
      </c>
      <c r="J13" s="26">
        <v>4</v>
      </c>
      <c r="K13" s="26" t="s">
        <v>205</v>
      </c>
      <c r="L13" s="26">
        <v>5</v>
      </c>
      <c r="M13" s="26" t="s">
        <v>206</v>
      </c>
      <c r="N13" s="56">
        <f t="shared" si="0"/>
        <v>4.5714285714285712</v>
      </c>
      <c r="O13" s="57">
        <f t="shared" si="1"/>
        <v>3.1999999999999997</v>
      </c>
      <c r="P13" s="26">
        <v>4</v>
      </c>
      <c r="Q13" s="26" t="s">
        <v>206</v>
      </c>
      <c r="R13" s="26">
        <v>5</v>
      </c>
      <c r="S13" s="26" t="s">
        <v>206</v>
      </c>
      <c r="T13" s="26">
        <v>5</v>
      </c>
      <c r="U13" s="26" t="s">
        <v>205</v>
      </c>
      <c r="V13" s="26">
        <v>1</v>
      </c>
      <c r="W13" s="26" t="s">
        <v>206</v>
      </c>
      <c r="X13" s="57">
        <f t="shared" si="2"/>
        <v>0.85</v>
      </c>
      <c r="Y13" s="26">
        <v>4</v>
      </c>
      <c r="Z13" s="26" t="s">
        <v>205</v>
      </c>
      <c r="AA13" s="26">
        <v>5</v>
      </c>
      <c r="AB13" s="26" t="s">
        <v>206</v>
      </c>
      <c r="AC13" s="26">
        <v>2</v>
      </c>
      <c r="AD13" s="26" t="s">
        <v>205</v>
      </c>
      <c r="AE13" s="57">
        <f t="shared" si="3"/>
        <v>0.19999999999999998</v>
      </c>
      <c r="AF13" s="58">
        <f t="shared" si="4"/>
        <v>85</v>
      </c>
      <c r="AG13" s="45" t="str">
        <f t="shared" si="5"/>
        <v>STRONG BUY</v>
      </c>
      <c r="AH13" s="45" t="str">
        <f t="shared" si="6"/>
        <v>OK</v>
      </c>
      <c r="AI13" s="45" t="str">
        <f t="shared" si="7"/>
        <v>OK</v>
      </c>
      <c r="AJ13" s="45" t="str">
        <f t="shared" si="8"/>
        <v>OK</v>
      </c>
      <c r="AK13" s="45" t="str">
        <f t="shared" si="9"/>
        <v>OK</v>
      </c>
    </row>
    <row r="14" spans="1:37" ht="15" customHeight="1" x14ac:dyDescent="0.2">
      <c r="A14" s="26" t="s">
        <v>78</v>
      </c>
      <c r="B14" s="26" t="s">
        <v>79</v>
      </c>
      <c r="C14" s="43">
        <v>46240</v>
      </c>
      <c r="D14" s="26">
        <v>3</v>
      </c>
      <c r="E14" s="26" t="s">
        <v>205</v>
      </c>
      <c r="F14" s="26">
        <v>3</v>
      </c>
      <c r="G14" s="26" t="s">
        <v>205</v>
      </c>
      <c r="H14" s="26">
        <v>5</v>
      </c>
      <c r="I14" s="26" t="s">
        <v>206</v>
      </c>
      <c r="J14" s="26">
        <v>4</v>
      </c>
      <c r="K14" s="26" t="s">
        <v>205</v>
      </c>
      <c r="L14" s="26">
        <v>3</v>
      </c>
      <c r="M14" s="26" t="s">
        <v>205</v>
      </c>
      <c r="N14" s="56">
        <f t="shared" si="0"/>
        <v>3.5714285714285716</v>
      </c>
      <c r="O14" s="57">
        <f t="shared" si="1"/>
        <v>2.5</v>
      </c>
      <c r="P14" s="26">
        <v>4</v>
      </c>
      <c r="Q14" s="26" t="s">
        <v>205</v>
      </c>
      <c r="R14" s="26">
        <v>5</v>
      </c>
      <c r="S14" s="26" t="s">
        <v>206</v>
      </c>
      <c r="T14" s="26">
        <v>5</v>
      </c>
      <c r="U14" s="26" t="s">
        <v>206</v>
      </c>
      <c r="V14" s="26">
        <v>2</v>
      </c>
      <c r="W14" s="26" t="s">
        <v>205</v>
      </c>
      <c r="X14" s="57">
        <f t="shared" si="2"/>
        <v>0.93</v>
      </c>
      <c r="Y14" s="26">
        <v>5</v>
      </c>
      <c r="Z14" s="26" t="s">
        <v>205</v>
      </c>
      <c r="AA14" s="26">
        <v>5</v>
      </c>
      <c r="AB14" s="26" t="s">
        <v>206</v>
      </c>
      <c r="AC14" s="26">
        <v>3</v>
      </c>
      <c r="AD14" s="26" t="s">
        <v>207</v>
      </c>
      <c r="AE14" s="57">
        <f t="shared" si="3"/>
        <v>0.23</v>
      </c>
      <c r="AF14" s="58">
        <f t="shared" si="4"/>
        <v>73.2</v>
      </c>
      <c r="AG14" s="45" t="str">
        <f t="shared" si="5"/>
        <v>BUY</v>
      </c>
      <c r="AH14" s="45" t="str">
        <f t="shared" si="6"/>
        <v>OK</v>
      </c>
      <c r="AI14" s="45" t="str">
        <f t="shared" si="7"/>
        <v>OK</v>
      </c>
      <c r="AJ14" s="45" t="str">
        <f t="shared" si="8"/>
        <v>OK</v>
      </c>
      <c r="AK14" s="45" t="str">
        <f t="shared" si="9"/>
        <v>OK</v>
      </c>
    </row>
    <row r="15" spans="1:37" ht="15" customHeight="1" x14ac:dyDescent="0.2">
      <c r="A15" s="26" t="s">
        <v>80</v>
      </c>
      <c r="B15" s="26" t="s">
        <v>81</v>
      </c>
      <c r="C15" s="43">
        <v>46240</v>
      </c>
      <c r="D15" s="26">
        <v>3</v>
      </c>
      <c r="E15" s="26" t="s">
        <v>205</v>
      </c>
      <c r="F15" s="26">
        <v>4</v>
      </c>
      <c r="G15" s="26" t="s">
        <v>205</v>
      </c>
      <c r="H15" s="26">
        <v>4</v>
      </c>
      <c r="I15" s="26" t="s">
        <v>205</v>
      </c>
      <c r="J15" s="26">
        <v>5</v>
      </c>
      <c r="K15" s="26" t="s">
        <v>206</v>
      </c>
      <c r="L15" s="26">
        <v>5</v>
      </c>
      <c r="M15" s="26" t="s">
        <v>206</v>
      </c>
      <c r="N15" s="56">
        <f t="shared" si="0"/>
        <v>4.0000000000000009</v>
      </c>
      <c r="O15" s="57">
        <f t="shared" si="1"/>
        <v>2.8000000000000003</v>
      </c>
      <c r="P15" s="26">
        <v>3</v>
      </c>
      <c r="Q15" s="26" t="s">
        <v>205</v>
      </c>
      <c r="R15" s="26">
        <v>2</v>
      </c>
      <c r="S15" s="26" t="s">
        <v>205</v>
      </c>
      <c r="T15" s="26">
        <v>4</v>
      </c>
      <c r="U15" s="26" t="s">
        <v>206</v>
      </c>
      <c r="V15" s="26">
        <v>1</v>
      </c>
      <c r="W15" s="26" t="s">
        <v>206</v>
      </c>
      <c r="X15" s="57">
        <f t="shared" si="2"/>
        <v>0.55999999999999994</v>
      </c>
      <c r="Y15" s="26">
        <v>4</v>
      </c>
      <c r="Z15" s="26" t="s">
        <v>205</v>
      </c>
      <c r="AA15" s="26">
        <v>3</v>
      </c>
      <c r="AB15" s="26" t="s">
        <v>205</v>
      </c>
      <c r="AC15" s="26">
        <v>2</v>
      </c>
      <c r="AD15" s="26" t="s">
        <v>205</v>
      </c>
      <c r="AE15" s="57">
        <f t="shared" si="3"/>
        <v>0.16</v>
      </c>
      <c r="AF15" s="58">
        <f t="shared" si="4"/>
        <v>70.400000000000006</v>
      </c>
      <c r="AG15" s="45" t="str">
        <f t="shared" si="5"/>
        <v>BUY</v>
      </c>
      <c r="AH15" s="45" t="str">
        <f t="shared" si="6"/>
        <v>OK</v>
      </c>
      <c r="AI15" s="45" t="str">
        <f t="shared" si="7"/>
        <v>OK</v>
      </c>
      <c r="AJ15" s="45" t="str">
        <f t="shared" si="8"/>
        <v>OK</v>
      </c>
      <c r="AK15" s="45" t="str">
        <f t="shared" si="9"/>
        <v>OK</v>
      </c>
    </row>
    <row r="16" spans="1:37" ht="15" customHeight="1" x14ac:dyDescent="0.2">
      <c r="A16" s="26" t="s">
        <v>82</v>
      </c>
      <c r="B16" s="26" t="s">
        <v>83</v>
      </c>
      <c r="C16" s="43">
        <v>46240</v>
      </c>
      <c r="D16" s="26">
        <v>2</v>
      </c>
      <c r="E16" s="26" t="s">
        <v>205</v>
      </c>
      <c r="F16" s="26">
        <v>3</v>
      </c>
      <c r="G16" s="26" t="s">
        <v>205</v>
      </c>
      <c r="H16" s="26">
        <v>5</v>
      </c>
      <c r="I16" s="26" t="s">
        <v>206</v>
      </c>
      <c r="J16" s="26">
        <v>3</v>
      </c>
      <c r="K16" s="26" t="s">
        <v>205</v>
      </c>
      <c r="L16" s="26">
        <v>5</v>
      </c>
      <c r="M16" s="26" t="s">
        <v>206</v>
      </c>
      <c r="N16" s="56">
        <f t="shared" si="0"/>
        <v>3.4285714285714293</v>
      </c>
      <c r="O16" s="57">
        <f t="shared" si="1"/>
        <v>2.4000000000000004</v>
      </c>
      <c r="P16" s="26">
        <v>4</v>
      </c>
      <c r="Q16" s="26" t="s">
        <v>206</v>
      </c>
      <c r="R16" s="26">
        <v>5</v>
      </c>
      <c r="S16" s="26" t="s">
        <v>206</v>
      </c>
      <c r="T16" s="26">
        <v>3</v>
      </c>
      <c r="U16" s="26" t="s">
        <v>205</v>
      </c>
      <c r="V16" s="26">
        <v>2</v>
      </c>
      <c r="W16" s="26" t="s">
        <v>205</v>
      </c>
      <c r="X16" s="57">
        <f t="shared" si="2"/>
        <v>0.87</v>
      </c>
      <c r="Y16" s="26">
        <v>2</v>
      </c>
      <c r="Z16" s="26" t="s">
        <v>205</v>
      </c>
      <c r="AA16" s="26">
        <v>5</v>
      </c>
      <c r="AB16" s="26" t="s">
        <v>206</v>
      </c>
      <c r="AC16" s="26">
        <v>2</v>
      </c>
      <c r="AD16" s="26" t="s">
        <v>207</v>
      </c>
      <c r="AE16" s="57">
        <f t="shared" si="3"/>
        <v>0.16</v>
      </c>
      <c r="AF16" s="58">
        <f t="shared" si="4"/>
        <v>68.600000000000009</v>
      </c>
      <c r="AG16" s="45" t="str">
        <f t="shared" si="5"/>
        <v>BUY</v>
      </c>
      <c r="AH16" s="45" t="str">
        <f t="shared" si="6"/>
        <v>OK</v>
      </c>
      <c r="AI16" s="45" t="str">
        <f t="shared" si="7"/>
        <v>OK</v>
      </c>
      <c r="AJ16" s="45" t="str">
        <f t="shared" si="8"/>
        <v>OK</v>
      </c>
      <c r="AK16" s="45" t="str">
        <f t="shared" si="9"/>
        <v>OK</v>
      </c>
    </row>
    <row r="17" spans="1:37" ht="15" customHeight="1" x14ac:dyDescent="0.2">
      <c r="A17" s="26" t="s">
        <v>90</v>
      </c>
      <c r="B17" s="26" t="s">
        <v>209</v>
      </c>
      <c r="C17" s="43">
        <v>46240</v>
      </c>
      <c r="D17" s="26">
        <v>3</v>
      </c>
      <c r="E17" s="26" t="s">
        <v>205</v>
      </c>
      <c r="F17" s="26">
        <v>5</v>
      </c>
      <c r="G17" s="26" t="s">
        <v>206</v>
      </c>
      <c r="H17" s="26">
        <v>5</v>
      </c>
      <c r="I17" s="26" t="s">
        <v>206</v>
      </c>
      <c r="J17" s="26">
        <v>4</v>
      </c>
      <c r="K17" s="26" t="s">
        <v>205</v>
      </c>
      <c r="L17" s="26">
        <v>3</v>
      </c>
      <c r="M17" s="26" t="s">
        <v>205</v>
      </c>
      <c r="N17" s="56">
        <f t="shared" si="0"/>
        <v>4</v>
      </c>
      <c r="O17" s="57">
        <f t="shared" si="1"/>
        <v>2.8</v>
      </c>
      <c r="P17" s="26">
        <v>4</v>
      </c>
      <c r="Q17" s="26" t="s">
        <v>206</v>
      </c>
      <c r="R17" s="26">
        <v>5</v>
      </c>
      <c r="S17" s="26" t="s">
        <v>206</v>
      </c>
      <c r="T17" s="26">
        <v>4</v>
      </c>
      <c r="U17" s="26" t="s">
        <v>205</v>
      </c>
      <c r="V17" s="26">
        <v>4</v>
      </c>
      <c r="W17" s="26" t="s">
        <v>205</v>
      </c>
      <c r="X17" s="57">
        <f t="shared" si="2"/>
        <v>1.06</v>
      </c>
      <c r="Y17" s="26">
        <v>3</v>
      </c>
      <c r="Z17" s="26" t="s">
        <v>205</v>
      </c>
      <c r="AA17" s="26">
        <v>5</v>
      </c>
      <c r="AB17" s="26" t="s">
        <v>206</v>
      </c>
      <c r="AC17" s="26">
        <v>3</v>
      </c>
      <c r="AD17" s="26" t="s">
        <v>207</v>
      </c>
      <c r="AE17" s="57">
        <f t="shared" si="3"/>
        <v>0.19</v>
      </c>
      <c r="AF17" s="58">
        <f t="shared" si="4"/>
        <v>81</v>
      </c>
      <c r="AG17" s="45" t="str">
        <f t="shared" si="5"/>
        <v>STRONG BUY</v>
      </c>
      <c r="AH17" s="45" t="str">
        <f t="shared" si="6"/>
        <v>OK</v>
      </c>
      <c r="AI17" s="45" t="str">
        <f t="shared" si="7"/>
        <v>OK</v>
      </c>
      <c r="AJ17" s="45" t="str">
        <f t="shared" si="8"/>
        <v>OK</v>
      </c>
      <c r="AK17" s="45" t="str">
        <f t="shared" si="9"/>
        <v>OK</v>
      </c>
    </row>
    <row r="18" spans="1:37" ht="15" customHeight="1" x14ac:dyDescent="0.2">
      <c r="A18" s="26" t="s">
        <v>92</v>
      </c>
      <c r="B18" s="26" t="s">
        <v>93</v>
      </c>
      <c r="C18" s="43">
        <v>46240</v>
      </c>
      <c r="D18" s="26">
        <v>4</v>
      </c>
      <c r="E18" s="26" t="s">
        <v>206</v>
      </c>
      <c r="F18" s="26">
        <v>5</v>
      </c>
      <c r="G18" s="26" t="s">
        <v>206</v>
      </c>
      <c r="H18" s="26">
        <v>4</v>
      </c>
      <c r="I18" s="26" t="s">
        <v>205</v>
      </c>
      <c r="J18" s="26">
        <v>4</v>
      </c>
      <c r="K18" s="26" t="s">
        <v>205</v>
      </c>
      <c r="L18" s="26">
        <v>5</v>
      </c>
      <c r="M18" s="26" t="s">
        <v>206</v>
      </c>
      <c r="N18" s="56">
        <f t="shared" si="0"/>
        <v>4.3571428571428568</v>
      </c>
      <c r="O18" s="57">
        <f t="shared" si="1"/>
        <v>3.05</v>
      </c>
      <c r="P18" s="26">
        <v>4</v>
      </c>
      <c r="Q18" s="26" t="s">
        <v>205</v>
      </c>
      <c r="R18" s="26">
        <v>5</v>
      </c>
      <c r="S18" s="26" t="s">
        <v>206</v>
      </c>
      <c r="T18" s="26">
        <v>4</v>
      </c>
      <c r="U18" s="26" t="s">
        <v>205</v>
      </c>
      <c r="V18" s="26">
        <v>2</v>
      </c>
      <c r="W18" s="26" t="s">
        <v>205</v>
      </c>
      <c r="X18" s="57">
        <f t="shared" si="2"/>
        <v>0.9</v>
      </c>
      <c r="Y18" s="26">
        <v>4</v>
      </c>
      <c r="Z18" s="26" t="s">
        <v>205</v>
      </c>
      <c r="AA18" s="26">
        <v>4</v>
      </c>
      <c r="AB18" s="26" t="s">
        <v>205</v>
      </c>
      <c r="AC18" s="26">
        <v>3</v>
      </c>
      <c r="AD18" s="26" t="s">
        <v>207</v>
      </c>
      <c r="AE18" s="57">
        <f t="shared" si="3"/>
        <v>0.19</v>
      </c>
      <c r="AF18" s="58">
        <f t="shared" si="4"/>
        <v>82.8</v>
      </c>
      <c r="AG18" s="45" t="str">
        <f t="shared" si="5"/>
        <v>STRONG BUY</v>
      </c>
      <c r="AH18" s="45" t="str">
        <f t="shared" si="6"/>
        <v>OK</v>
      </c>
      <c r="AI18" s="45" t="str">
        <f t="shared" si="7"/>
        <v>OK</v>
      </c>
      <c r="AJ18" s="45" t="str">
        <f t="shared" si="8"/>
        <v>OK</v>
      </c>
      <c r="AK18" s="45" t="str">
        <f t="shared" si="9"/>
        <v>OK</v>
      </c>
    </row>
    <row r="19" spans="1:37" ht="15" customHeight="1" x14ac:dyDescent="0.2">
      <c r="A19" s="26" t="s">
        <v>210</v>
      </c>
      <c r="B19" s="26" t="s">
        <v>211</v>
      </c>
      <c r="C19" s="43">
        <v>46245</v>
      </c>
      <c r="D19" s="26">
        <v>3</v>
      </c>
      <c r="E19" s="26" t="s">
        <v>205</v>
      </c>
      <c r="F19" s="26">
        <v>5</v>
      </c>
      <c r="G19" s="26" t="s">
        <v>206</v>
      </c>
      <c r="H19" s="26">
        <v>5</v>
      </c>
      <c r="I19" s="26" t="s">
        <v>206</v>
      </c>
      <c r="J19" s="26">
        <v>4</v>
      </c>
      <c r="K19" s="26" t="s">
        <v>205</v>
      </c>
      <c r="L19" s="26">
        <v>4</v>
      </c>
      <c r="M19" s="26" t="s">
        <v>206</v>
      </c>
      <c r="N19" s="56">
        <f t="shared" si="0"/>
        <v>4.1428571428571432</v>
      </c>
      <c r="O19" s="57">
        <f t="shared" si="1"/>
        <v>2.9</v>
      </c>
      <c r="P19" s="26">
        <v>3</v>
      </c>
      <c r="Q19" s="26" t="s">
        <v>207</v>
      </c>
      <c r="R19" s="26">
        <v>5</v>
      </c>
      <c r="S19" s="26" t="s">
        <v>206</v>
      </c>
      <c r="T19" s="26">
        <v>5</v>
      </c>
      <c r="U19" s="26" t="s">
        <v>206</v>
      </c>
      <c r="V19" s="26">
        <v>1</v>
      </c>
      <c r="W19" s="26" t="s">
        <v>206</v>
      </c>
      <c r="X19" s="57">
        <f t="shared" si="2"/>
        <v>0.77</v>
      </c>
      <c r="Y19" s="26">
        <v>4</v>
      </c>
      <c r="Z19" s="26" t="s">
        <v>205</v>
      </c>
      <c r="AA19" s="26">
        <v>4</v>
      </c>
      <c r="AB19" s="26" t="s">
        <v>205</v>
      </c>
      <c r="AC19" s="26">
        <v>4</v>
      </c>
      <c r="AD19" s="26" t="s">
        <v>205</v>
      </c>
      <c r="AE19" s="57">
        <f t="shared" si="3"/>
        <v>0.2</v>
      </c>
      <c r="AF19" s="58">
        <f t="shared" si="4"/>
        <v>77.400000000000006</v>
      </c>
      <c r="AG19" s="45" t="str">
        <f t="shared" si="5"/>
        <v>BUY</v>
      </c>
      <c r="AH19" s="45" t="str">
        <f t="shared" si="6"/>
        <v>OK</v>
      </c>
      <c r="AI19" s="45" t="str">
        <f t="shared" si="7"/>
        <v>OK</v>
      </c>
      <c r="AJ19" s="45" t="str">
        <f t="shared" si="8"/>
        <v>OK</v>
      </c>
      <c r="AK19" s="45" t="str">
        <f t="shared" si="9"/>
        <v>OK</v>
      </c>
    </row>
    <row r="20" spans="1:37" ht="15" customHeight="1" x14ac:dyDescent="0.2">
      <c r="A20" s="26" t="s">
        <v>212</v>
      </c>
      <c r="B20" s="26" t="s">
        <v>213</v>
      </c>
      <c r="C20" s="43">
        <v>46245</v>
      </c>
      <c r="D20" s="26">
        <v>4</v>
      </c>
      <c r="E20" s="26" t="s">
        <v>206</v>
      </c>
      <c r="F20" s="26">
        <v>5</v>
      </c>
      <c r="G20" s="26" t="s">
        <v>206</v>
      </c>
      <c r="H20" s="26">
        <v>5</v>
      </c>
      <c r="I20" s="26" t="s">
        <v>206</v>
      </c>
      <c r="J20" s="26">
        <v>4</v>
      </c>
      <c r="K20" s="26" t="s">
        <v>205</v>
      </c>
      <c r="L20" s="26">
        <v>5</v>
      </c>
      <c r="M20" s="26" t="s">
        <v>206</v>
      </c>
      <c r="N20" s="56">
        <f t="shared" si="0"/>
        <v>4.5714285714285712</v>
      </c>
      <c r="O20" s="57">
        <f t="shared" si="1"/>
        <v>3.1999999999999997</v>
      </c>
      <c r="P20" s="26">
        <v>4</v>
      </c>
      <c r="Q20" s="26" t="s">
        <v>205</v>
      </c>
      <c r="R20" s="26">
        <v>5</v>
      </c>
      <c r="S20" s="26" t="s">
        <v>206</v>
      </c>
      <c r="T20" s="26">
        <v>3</v>
      </c>
      <c r="U20" s="26" t="s">
        <v>205</v>
      </c>
      <c r="V20" s="26">
        <v>3</v>
      </c>
      <c r="W20" s="26" t="s">
        <v>205</v>
      </c>
      <c r="X20" s="57">
        <f t="shared" si="2"/>
        <v>0.95</v>
      </c>
      <c r="Y20" s="26">
        <v>3</v>
      </c>
      <c r="Z20" s="26" t="s">
        <v>205</v>
      </c>
      <c r="AA20" s="26">
        <v>4</v>
      </c>
      <c r="AB20" s="26" t="s">
        <v>205</v>
      </c>
      <c r="AC20" s="26">
        <v>3</v>
      </c>
      <c r="AD20" s="26" t="s">
        <v>207</v>
      </c>
      <c r="AE20" s="57">
        <f t="shared" si="3"/>
        <v>0.17</v>
      </c>
      <c r="AF20" s="58">
        <f t="shared" si="4"/>
        <v>86.399999999999991</v>
      </c>
      <c r="AG20" s="45" t="str">
        <f t="shared" si="5"/>
        <v>STRONG BUY</v>
      </c>
      <c r="AH20" s="45" t="str">
        <f t="shared" si="6"/>
        <v>OK</v>
      </c>
      <c r="AI20" s="45" t="str">
        <f t="shared" si="7"/>
        <v>OK</v>
      </c>
      <c r="AJ20" s="45" t="str">
        <f t="shared" si="8"/>
        <v>OK</v>
      </c>
      <c r="AK20" s="45" t="str">
        <f t="shared" si="9"/>
        <v>OK</v>
      </c>
    </row>
    <row r="21" spans="1:37" ht="15" customHeight="1" x14ac:dyDescent="0.2">
      <c r="A21" s="26" t="s">
        <v>214</v>
      </c>
      <c r="B21" s="26" t="s">
        <v>215</v>
      </c>
      <c r="C21" s="43">
        <v>46245</v>
      </c>
      <c r="D21" s="26">
        <v>1</v>
      </c>
      <c r="E21" s="26" t="s">
        <v>206</v>
      </c>
      <c r="F21" s="26">
        <v>3</v>
      </c>
      <c r="G21" s="26" t="s">
        <v>205</v>
      </c>
      <c r="H21" s="26">
        <v>4</v>
      </c>
      <c r="I21" s="26" t="s">
        <v>205</v>
      </c>
      <c r="J21" s="26">
        <v>4</v>
      </c>
      <c r="K21" s="26" t="s">
        <v>205</v>
      </c>
      <c r="L21" s="26">
        <v>1</v>
      </c>
      <c r="M21" s="26" t="s">
        <v>206</v>
      </c>
      <c r="N21" s="56">
        <f t="shared" si="0"/>
        <v>2.5</v>
      </c>
      <c r="O21" s="57">
        <f t="shared" si="1"/>
        <v>1.75</v>
      </c>
      <c r="P21" s="26"/>
      <c r="Q21" s="26"/>
      <c r="R21" s="26"/>
      <c r="S21" s="26"/>
      <c r="T21" s="26"/>
      <c r="U21" s="26"/>
      <c r="V21" s="26"/>
      <c r="W21" s="26"/>
      <c r="X21" s="57" t="str">
        <f t="shared" si="2"/>
        <v/>
      </c>
      <c r="Y21" s="26"/>
      <c r="Z21" s="26"/>
      <c r="AA21" s="26"/>
      <c r="AB21" s="26"/>
      <c r="AC21" s="26"/>
      <c r="AD21" s="26"/>
      <c r="AE21" s="57" t="str">
        <f t="shared" si="3"/>
        <v/>
      </c>
      <c r="AF21" s="58" t="str">
        <f t="shared" si="4"/>
        <v/>
      </c>
      <c r="AG21" s="45" t="str">
        <f t="shared" si="5"/>
        <v/>
      </c>
      <c r="AH21" s="45" t="str">
        <f t="shared" si="6"/>
        <v>FAIL</v>
      </c>
      <c r="AI21" s="45" t="str">
        <f t="shared" si="7"/>
        <v>REVIEW</v>
      </c>
      <c r="AJ21" s="45" t="str">
        <f t="shared" si="8"/>
        <v>AVOID</v>
      </c>
      <c r="AK21" s="45" t="str">
        <f t="shared" si="9"/>
        <v>OK</v>
      </c>
    </row>
    <row r="22" spans="1:37" ht="15" customHeight="1" x14ac:dyDescent="0.2">
      <c r="A22" s="26" t="s">
        <v>216</v>
      </c>
      <c r="B22" s="26" t="s">
        <v>217</v>
      </c>
      <c r="C22" s="43">
        <v>46245</v>
      </c>
      <c r="D22" s="26">
        <v>1</v>
      </c>
      <c r="E22" s="26" t="s">
        <v>206</v>
      </c>
      <c r="F22" s="26">
        <v>1</v>
      </c>
      <c r="G22" s="26" t="s">
        <v>206</v>
      </c>
      <c r="H22" s="26">
        <v>2</v>
      </c>
      <c r="I22" s="26" t="s">
        <v>205</v>
      </c>
      <c r="J22" s="26">
        <v>1</v>
      </c>
      <c r="K22" s="26" t="s">
        <v>206</v>
      </c>
      <c r="L22" s="26">
        <v>1</v>
      </c>
      <c r="M22" s="26" t="s">
        <v>206</v>
      </c>
      <c r="N22" s="56">
        <f t="shared" si="0"/>
        <v>1.2142857142857142</v>
      </c>
      <c r="O22" s="57">
        <f t="shared" si="1"/>
        <v>0.84999999999999987</v>
      </c>
      <c r="P22" s="26"/>
      <c r="Q22" s="26"/>
      <c r="R22" s="26"/>
      <c r="S22" s="26"/>
      <c r="T22" s="26"/>
      <c r="U22" s="26"/>
      <c r="V22" s="26"/>
      <c r="W22" s="26"/>
      <c r="X22" s="57" t="str">
        <f t="shared" si="2"/>
        <v/>
      </c>
      <c r="Y22" s="26"/>
      <c r="Z22" s="26"/>
      <c r="AA22" s="26"/>
      <c r="AB22" s="26"/>
      <c r="AC22" s="26"/>
      <c r="AD22" s="26"/>
      <c r="AE22" s="57" t="str">
        <f t="shared" si="3"/>
        <v/>
      </c>
      <c r="AF22" s="58" t="str">
        <f t="shared" si="4"/>
        <v/>
      </c>
      <c r="AG22" s="45" t="str">
        <f t="shared" si="5"/>
        <v/>
      </c>
      <c r="AH22" s="45" t="str">
        <f t="shared" si="6"/>
        <v>FAIL</v>
      </c>
      <c r="AI22" s="45" t="str">
        <f t="shared" si="7"/>
        <v>REVIEW</v>
      </c>
      <c r="AJ22" s="45" t="str">
        <f t="shared" si="8"/>
        <v>AVOID</v>
      </c>
      <c r="AK22" s="45" t="str">
        <f t="shared" si="9"/>
        <v>OK</v>
      </c>
    </row>
    <row r="23" spans="1:37" ht="15" customHeight="1" x14ac:dyDescent="0.2">
      <c r="A23" s="26" t="s">
        <v>218</v>
      </c>
      <c r="B23" s="26" t="s">
        <v>219</v>
      </c>
      <c r="C23" s="43">
        <v>46245</v>
      </c>
      <c r="D23" s="26">
        <v>4</v>
      </c>
      <c r="E23" s="26" t="s">
        <v>205</v>
      </c>
      <c r="F23" s="26">
        <v>4</v>
      </c>
      <c r="G23" s="26" t="s">
        <v>205</v>
      </c>
      <c r="H23" s="26">
        <v>4</v>
      </c>
      <c r="I23" s="26" t="s">
        <v>205</v>
      </c>
      <c r="J23" s="26">
        <v>4</v>
      </c>
      <c r="K23" s="26" t="s">
        <v>205</v>
      </c>
      <c r="L23" s="26">
        <v>4</v>
      </c>
      <c r="M23" s="26" t="s">
        <v>205</v>
      </c>
      <c r="N23" s="56">
        <f t="shared" si="0"/>
        <v>4</v>
      </c>
      <c r="O23" s="57">
        <f t="shared" si="1"/>
        <v>2.8</v>
      </c>
      <c r="P23" s="26"/>
      <c r="Q23" s="26"/>
      <c r="R23" s="26"/>
      <c r="S23" s="26"/>
      <c r="T23" s="26"/>
      <c r="U23" s="26"/>
      <c r="V23" s="26"/>
      <c r="W23" s="26"/>
      <c r="X23" s="57" t="str">
        <f t="shared" si="2"/>
        <v/>
      </c>
      <c r="Y23" s="26"/>
      <c r="Z23" s="26"/>
      <c r="AA23" s="26"/>
      <c r="AB23" s="26"/>
      <c r="AC23" s="26"/>
      <c r="AD23" s="26"/>
      <c r="AE23" s="57" t="str">
        <f t="shared" si="3"/>
        <v/>
      </c>
      <c r="AF23" s="58" t="str">
        <f t="shared" si="4"/>
        <v/>
      </c>
      <c r="AG23" s="45" t="str">
        <f t="shared" si="5"/>
        <v/>
      </c>
      <c r="AH23" s="45" t="str">
        <f t="shared" si="6"/>
        <v>OK</v>
      </c>
      <c r="AI23" s="45" t="str">
        <f t="shared" si="7"/>
        <v>OK</v>
      </c>
      <c r="AJ23" s="45" t="str">
        <f t="shared" si="8"/>
        <v>OK</v>
      </c>
      <c r="AK23" s="45" t="str">
        <f t="shared" si="9"/>
        <v>OK</v>
      </c>
    </row>
    <row r="24" spans="1:37" ht="15" customHeight="1" x14ac:dyDescent="0.2">
      <c r="A24" s="26" t="s">
        <v>220</v>
      </c>
      <c r="B24" s="26" t="s">
        <v>221</v>
      </c>
      <c r="C24" s="43">
        <v>46245</v>
      </c>
      <c r="D24" s="26">
        <v>2</v>
      </c>
      <c r="E24" s="26" t="s">
        <v>207</v>
      </c>
      <c r="F24" s="26">
        <v>2</v>
      </c>
      <c r="G24" s="26" t="s">
        <v>205</v>
      </c>
      <c r="H24" s="26">
        <v>3</v>
      </c>
      <c r="I24" s="26" t="s">
        <v>205</v>
      </c>
      <c r="J24" s="26">
        <v>2</v>
      </c>
      <c r="K24" s="26" t="s">
        <v>205</v>
      </c>
      <c r="L24" s="26">
        <v>1</v>
      </c>
      <c r="M24" s="26" t="s">
        <v>206</v>
      </c>
      <c r="N24" s="56">
        <f t="shared" si="0"/>
        <v>2.0714285714285716</v>
      </c>
      <c r="O24" s="57">
        <f t="shared" si="1"/>
        <v>1.45</v>
      </c>
      <c r="P24" s="26"/>
      <c r="Q24" s="26"/>
      <c r="R24" s="26"/>
      <c r="S24" s="26"/>
      <c r="T24" s="26"/>
      <c r="U24" s="26"/>
      <c r="V24" s="26"/>
      <c r="W24" s="26"/>
      <c r="X24" s="57" t="str">
        <f t="shared" si="2"/>
        <v/>
      </c>
      <c r="Y24" s="26"/>
      <c r="Z24" s="26"/>
      <c r="AA24" s="26"/>
      <c r="AB24" s="26"/>
      <c r="AC24" s="26"/>
      <c r="AD24" s="26"/>
      <c r="AE24" s="57" t="str">
        <f t="shared" si="3"/>
        <v/>
      </c>
      <c r="AF24" s="58" t="str">
        <f t="shared" si="4"/>
        <v/>
      </c>
      <c r="AG24" s="45" t="str">
        <f t="shared" si="5"/>
        <v/>
      </c>
      <c r="AH24" s="45" t="str">
        <f t="shared" si="6"/>
        <v>FAIL</v>
      </c>
      <c r="AI24" s="45" t="str">
        <f t="shared" si="7"/>
        <v>REVIEW</v>
      </c>
      <c r="AJ24" s="45" t="str">
        <f t="shared" si="8"/>
        <v>AVOID</v>
      </c>
      <c r="AK24" s="45" t="str">
        <f t="shared" si="9"/>
        <v>OK</v>
      </c>
    </row>
    <row r="25" spans="1:37" ht="15" customHeight="1" x14ac:dyDescent="0.2">
      <c r="A25" s="26" t="s">
        <v>222</v>
      </c>
      <c r="B25" s="26" t="s">
        <v>223</v>
      </c>
      <c r="C25" s="43">
        <v>46245</v>
      </c>
      <c r="D25" s="26">
        <v>3</v>
      </c>
      <c r="E25" s="26" t="s">
        <v>205</v>
      </c>
      <c r="F25" s="26">
        <v>2</v>
      </c>
      <c r="G25" s="26" t="s">
        <v>206</v>
      </c>
      <c r="H25" s="26">
        <v>3</v>
      </c>
      <c r="I25" s="26" t="s">
        <v>205</v>
      </c>
      <c r="J25" s="26">
        <v>3</v>
      </c>
      <c r="K25" s="26" t="s">
        <v>205</v>
      </c>
      <c r="L25" s="26">
        <v>2</v>
      </c>
      <c r="M25" s="26" t="s">
        <v>206</v>
      </c>
      <c r="N25" s="56">
        <f t="shared" si="0"/>
        <v>2.6428571428571432</v>
      </c>
      <c r="O25" s="57">
        <f t="shared" si="1"/>
        <v>1.85</v>
      </c>
      <c r="P25" s="26"/>
      <c r="Q25" s="26"/>
      <c r="R25" s="26"/>
      <c r="S25" s="26"/>
      <c r="T25" s="26"/>
      <c r="U25" s="26"/>
      <c r="V25" s="26"/>
      <c r="W25" s="26"/>
      <c r="X25" s="57" t="str">
        <f t="shared" si="2"/>
        <v/>
      </c>
      <c r="Y25" s="26"/>
      <c r="Z25" s="26"/>
      <c r="AA25" s="26"/>
      <c r="AB25" s="26"/>
      <c r="AC25" s="26"/>
      <c r="AD25" s="26"/>
      <c r="AE25" s="57" t="str">
        <f t="shared" si="3"/>
        <v/>
      </c>
      <c r="AF25" s="58" t="str">
        <f t="shared" si="4"/>
        <v/>
      </c>
      <c r="AG25" s="45" t="str">
        <f t="shared" si="5"/>
        <v/>
      </c>
      <c r="AH25" s="45" t="str">
        <f t="shared" si="6"/>
        <v>FAIL</v>
      </c>
      <c r="AI25" s="45" t="str">
        <f t="shared" si="7"/>
        <v>OK</v>
      </c>
      <c r="AJ25" s="45" t="str">
        <f t="shared" si="8"/>
        <v>AVOID</v>
      </c>
      <c r="AK25" s="45" t="str">
        <f t="shared" si="9"/>
        <v>OK</v>
      </c>
    </row>
    <row r="26" spans="1:37" ht="15" customHeight="1" x14ac:dyDescent="0.2">
      <c r="A26" s="26" t="s">
        <v>224</v>
      </c>
      <c r="B26" s="26" t="s">
        <v>225</v>
      </c>
      <c r="C26" s="43">
        <v>46245</v>
      </c>
      <c r="D26" s="26">
        <v>2</v>
      </c>
      <c r="E26" s="26" t="s">
        <v>205</v>
      </c>
      <c r="F26" s="26">
        <v>1</v>
      </c>
      <c r="G26" s="26" t="s">
        <v>206</v>
      </c>
      <c r="H26" s="26">
        <v>2</v>
      </c>
      <c r="I26" s="26" t="s">
        <v>205</v>
      </c>
      <c r="J26" s="26">
        <v>2</v>
      </c>
      <c r="K26" s="26" t="s">
        <v>205</v>
      </c>
      <c r="L26" s="26">
        <v>2</v>
      </c>
      <c r="M26" s="26" t="s">
        <v>205</v>
      </c>
      <c r="N26" s="56">
        <f t="shared" si="0"/>
        <v>1.7857142857142858</v>
      </c>
      <c r="O26" s="57">
        <f t="shared" si="1"/>
        <v>1.25</v>
      </c>
      <c r="P26" s="26"/>
      <c r="Q26" s="26"/>
      <c r="R26" s="26"/>
      <c r="S26" s="26"/>
      <c r="T26" s="26"/>
      <c r="U26" s="26"/>
      <c r="V26" s="26"/>
      <c r="W26" s="26"/>
      <c r="X26" s="57" t="str">
        <f t="shared" si="2"/>
        <v/>
      </c>
      <c r="Y26" s="26"/>
      <c r="Z26" s="26"/>
      <c r="AA26" s="26"/>
      <c r="AB26" s="26"/>
      <c r="AC26" s="26"/>
      <c r="AD26" s="26"/>
      <c r="AE26" s="57" t="str">
        <f t="shared" si="3"/>
        <v/>
      </c>
      <c r="AF26" s="58" t="str">
        <f t="shared" si="4"/>
        <v/>
      </c>
      <c r="AG26" s="45" t="str">
        <f t="shared" si="5"/>
        <v/>
      </c>
      <c r="AH26" s="45" t="str">
        <f t="shared" si="6"/>
        <v>FAIL</v>
      </c>
      <c r="AI26" s="45" t="str">
        <f t="shared" si="7"/>
        <v>REVIEW</v>
      </c>
      <c r="AJ26" s="45" t="str">
        <f t="shared" si="8"/>
        <v>AVOID</v>
      </c>
      <c r="AK26" s="45" t="str">
        <f t="shared" si="9"/>
        <v>OK</v>
      </c>
    </row>
    <row r="27" spans="1:37" ht="15" customHeight="1" x14ac:dyDescent="0.2">
      <c r="A27" s="26" t="s">
        <v>226</v>
      </c>
      <c r="B27" s="26" t="s">
        <v>227</v>
      </c>
      <c r="C27" s="43">
        <v>46245</v>
      </c>
      <c r="D27" s="26">
        <v>2</v>
      </c>
      <c r="E27" s="26" t="s">
        <v>206</v>
      </c>
      <c r="F27" s="26">
        <v>2</v>
      </c>
      <c r="G27" s="26" t="s">
        <v>205</v>
      </c>
      <c r="H27" s="26">
        <v>2</v>
      </c>
      <c r="I27" s="26" t="s">
        <v>205</v>
      </c>
      <c r="J27" s="26">
        <v>2</v>
      </c>
      <c r="K27" s="26" t="s">
        <v>205</v>
      </c>
      <c r="L27" s="26">
        <v>1</v>
      </c>
      <c r="M27" s="26" t="s">
        <v>206</v>
      </c>
      <c r="N27" s="56">
        <f t="shared" si="0"/>
        <v>1.8571428571428574</v>
      </c>
      <c r="O27" s="57">
        <f t="shared" si="1"/>
        <v>1.3</v>
      </c>
      <c r="P27" s="26"/>
      <c r="Q27" s="26"/>
      <c r="R27" s="26"/>
      <c r="S27" s="26"/>
      <c r="T27" s="26"/>
      <c r="U27" s="26"/>
      <c r="V27" s="26"/>
      <c r="W27" s="26"/>
      <c r="X27" s="57" t="str">
        <f t="shared" si="2"/>
        <v/>
      </c>
      <c r="Y27" s="26"/>
      <c r="Z27" s="26"/>
      <c r="AA27" s="26"/>
      <c r="AB27" s="26"/>
      <c r="AC27" s="26"/>
      <c r="AD27" s="26"/>
      <c r="AE27" s="57" t="str">
        <f t="shared" si="3"/>
        <v/>
      </c>
      <c r="AF27" s="58" t="str">
        <f t="shared" si="4"/>
        <v/>
      </c>
      <c r="AG27" s="45" t="str">
        <f t="shared" si="5"/>
        <v/>
      </c>
      <c r="AH27" s="45" t="str">
        <f t="shared" si="6"/>
        <v>FAIL</v>
      </c>
      <c r="AI27" s="45" t="str">
        <f t="shared" si="7"/>
        <v>REVIEW</v>
      </c>
      <c r="AJ27" s="45" t="str">
        <f t="shared" si="8"/>
        <v>AVOID</v>
      </c>
      <c r="AK27" s="45" t="str">
        <f t="shared" si="9"/>
        <v>OK</v>
      </c>
    </row>
    <row r="28" spans="1:37" ht="15" customHeight="1" x14ac:dyDescent="0.2">
      <c r="A28" s="59" t="s">
        <v>228</v>
      </c>
      <c r="B28" s="59" t="s">
        <v>229</v>
      </c>
      <c r="C28" s="60">
        <v>46245</v>
      </c>
      <c r="D28" s="59">
        <v>4</v>
      </c>
      <c r="E28" s="59" t="s">
        <v>206</v>
      </c>
      <c r="F28" s="59">
        <v>4</v>
      </c>
      <c r="G28" s="59" t="s">
        <v>206</v>
      </c>
      <c r="H28" s="59">
        <v>5</v>
      </c>
      <c r="I28" s="59" t="s">
        <v>206</v>
      </c>
      <c r="J28" s="59">
        <v>5</v>
      </c>
      <c r="K28" s="59" t="s">
        <v>206</v>
      </c>
      <c r="L28" s="59">
        <v>5</v>
      </c>
      <c r="M28" s="59" t="s">
        <v>206</v>
      </c>
      <c r="N28" s="50">
        <f t="shared" si="0"/>
        <v>4.5</v>
      </c>
      <c r="O28" s="61">
        <f t="shared" si="1"/>
        <v>3.15</v>
      </c>
      <c r="P28" s="59"/>
      <c r="Q28" s="59"/>
      <c r="R28" s="59"/>
      <c r="S28" s="59"/>
      <c r="T28" s="59"/>
      <c r="U28" s="59"/>
      <c r="V28" s="59"/>
      <c r="W28" s="59"/>
      <c r="X28" s="50" t="str">
        <f t="shared" si="2"/>
        <v/>
      </c>
      <c r="Y28" s="59"/>
      <c r="Z28" s="59"/>
      <c r="AA28" s="59"/>
      <c r="AB28" s="59"/>
      <c r="AC28" s="59"/>
      <c r="AD28" s="59"/>
      <c r="AE28" s="50" t="str">
        <f t="shared" si="3"/>
        <v/>
      </c>
      <c r="AF28" s="61" t="str">
        <f t="shared" si="4"/>
        <v/>
      </c>
      <c r="AG28" s="61" t="str">
        <f t="shared" si="5"/>
        <v/>
      </c>
      <c r="AH28" s="61" t="str">
        <f t="shared" si="6"/>
        <v>OK</v>
      </c>
      <c r="AI28" s="61" t="str">
        <f t="shared" si="7"/>
        <v>OK</v>
      </c>
      <c r="AJ28" s="61" t="str">
        <f t="shared" si="8"/>
        <v>OK</v>
      </c>
      <c r="AK28" s="61" t="str">
        <f t="shared" si="9"/>
        <v>OK</v>
      </c>
    </row>
    <row r="29" spans="1:37" ht="15" customHeight="1" x14ac:dyDescent="0.2">
      <c r="A29" s="59" t="s">
        <v>230</v>
      </c>
      <c r="B29" s="59" t="s">
        <v>231</v>
      </c>
      <c r="C29" s="60">
        <v>46245</v>
      </c>
      <c r="D29" s="59">
        <v>2</v>
      </c>
      <c r="E29" s="59" t="s">
        <v>205</v>
      </c>
      <c r="F29" s="59">
        <v>2</v>
      </c>
      <c r="G29" s="59" t="s">
        <v>205</v>
      </c>
      <c r="H29" s="59">
        <v>3</v>
      </c>
      <c r="I29" s="59" t="s">
        <v>205</v>
      </c>
      <c r="J29" s="59">
        <v>3</v>
      </c>
      <c r="K29" s="59" t="s">
        <v>205</v>
      </c>
      <c r="L29" s="59">
        <v>2</v>
      </c>
      <c r="M29" s="59" t="s">
        <v>206</v>
      </c>
      <c r="N29" s="50">
        <f t="shared" si="0"/>
        <v>2.3571428571428572</v>
      </c>
      <c r="O29" s="61">
        <f t="shared" si="1"/>
        <v>1.65</v>
      </c>
      <c r="P29" s="59"/>
      <c r="Q29" s="59"/>
      <c r="R29" s="59"/>
      <c r="S29" s="59"/>
      <c r="T29" s="59"/>
      <c r="U29" s="59"/>
      <c r="V29" s="59"/>
      <c r="W29" s="59"/>
      <c r="X29" s="50" t="str">
        <f t="shared" si="2"/>
        <v/>
      </c>
      <c r="Y29" s="59"/>
      <c r="Z29" s="59"/>
      <c r="AA29" s="59"/>
      <c r="AB29" s="59"/>
      <c r="AC29" s="59"/>
      <c r="AD29" s="59"/>
      <c r="AE29" s="50" t="str">
        <f t="shared" si="3"/>
        <v/>
      </c>
      <c r="AF29" s="61" t="str">
        <f t="shared" si="4"/>
        <v/>
      </c>
      <c r="AG29" s="61" t="str">
        <f t="shared" si="5"/>
        <v/>
      </c>
      <c r="AH29" s="61" t="str">
        <f t="shared" si="6"/>
        <v>FAIL</v>
      </c>
      <c r="AI29" s="61" t="str">
        <f t="shared" si="7"/>
        <v>OK</v>
      </c>
      <c r="AJ29" s="61" t="str">
        <f t="shared" si="8"/>
        <v>AVOID</v>
      </c>
      <c r="AK29" s="61" t="str">
        <f t="shared" si="9"/>
        <v>OK</v>
      </c>
    </row>
    <row r="30" spans="1:37" ht="15" customHeight="1" x14ac:dyDescent="0.2">
      <c r="A30" s="59" t="s">
        <v>232</v>
      </c>
      <c r="B30" s="59" t="s">
        <v>233</v>
      </c>
      <c r="C30" s="60">
        <v>46245</v>
      </c>
      <c r="D30" s="59">
        <v>2</v>
      </c>
      <c r="E30" s="59" t="s">
        <v>205</v>
      </c>
      <c r="F30" s="59">
        <v>1</v>
      </c>
      <c r="G30" s="59" t="s">
        <v>206</v>
      </c>
      <c r="H30" s="59">
        <v>3</v>
      </c>
      <c r="I30" s="59" t="s">
        <v>205</v>
      </c>
      <c r="J30" s="59">
        <v>2</v>
      </c>
      <c r="K30" s="59" t="s">
        <v>205</v>
      </c>
      <c r="L30" s="59">
        <v>3</v>
      </c>
      <c r="M30" s="59" t="s">
        <v>205</v>
      </c>
      <c r="N30" s="50">
        <f t="shared" si="0"/>
        <v>2.1428571428571428</v>
      </c>
      <c r="O30" s="61">
        <f t="shared" si="1"/>
        <v>1.5</v>
      </c>
      <c r="P30" s="59"/>
      <c r="Q30" s="59"/>
      <c r="R30" s="59"/>
      <c r="S30" s="59"/>
      <c r="T30" s="59"/>
      <c r="U30" s="59"/>
      <c r="V30" s="59"/>
      <c r="W30" s="59"/>
      <c r="X30" s="50" t="str">
        <f t="shared" si="2"/>
        <v/>
      </c>
      <c r="Y30" s="59"/>
      <c r="Z30" s="59"/>
      <c r="AA30" s="59"/>
      <c r="AB30" s="59"/>
      <c r="AC30" s="59"/>
      <c r="AD30" s="59"/>
      <c r="AE30" s="50" t="str">
        <f t="shared" si="3"/>
        <v/>
      </c>
      <c r="AF30" s="61" t="str">
        <f t="shared" si="4"/>
        <v/>
      </c>
      <c r="AG30" s="61" t="str">
        <f t="shared" si="5"/>
        <v/>
      </c>
      <c r="AH30" s="61" t="str">
        <f t="shared" si="6"/>
        <v>FAIL</v>
      </c>
      <c r="AI30" s="61" t="str">
        <f t="shared" si="7"/>
        <v>REVIEW</v>
      </c>
      <c r="AJ30" s="61" t="str">
        <f t="shared" si="8"/>
        <v>AVOID</v>
      </c>
      <c r="AK30" s="61" t="str">
        <f t="shared" si="9"/>
        <v>OK</v>
      </c>
    </row>
    <row r="31" spans="1:37" ht="15" customHeight="1" x14ac:dyDescent="0.2">
      <c r="A31" s="59" t="s">
        <v>234</v>
      </c>
      <c r="B31" s="59" t="s">
        <v>235</v>
      </c>
      <c r="C31" s="60">
        <v>46245</v>
      </c>
      <c r="D31" s="59">
        <v>1</v>
      </c>
      <c r="E31" s="59" t="s">
        <v>206</v>
      </c>
      <c r="F31" s="59">
        <v>2</v>
      </c>
      <c r="G31" s="59" t="s">
        <v>205</v>
      </c>
      <c r="H31" s="59">
        <v>3</v>
      </c>
      <c r="I31" s="59" t="s">
        <v>205</v>
      </c>
      <c r="J31" s="59">
        <v>3</v>
      </c>
      <c r="K31" s="59" t="s">
        <v>205</v>
      </c>
      <c r="L31" s="59">
        <v>1</v>
      </c>
      <c r="M31" s="59" t="s">
        <v>206</v>
      </c>
      <c r="N31" s="50">
        <f t="shared" si="0"/>
        <v>1.9285714285714288</v>
      </c>
      <c r="O31" s="61">
        <f t="shared" si="1"/>
        <v>1.35</v>
      </c>
      <c r="P31" s="59"/>
      <c r="Q31" s="59"/>
      <c r="R31" s="59"/>
      <c r="S31" s="59"/>
      <c r="T31" s="59"/>
      <c r="U31" s="59"/>
      <c r="V31" s="59"/>
      <c r="W31" s="59"/>
      <c r="X31" s="50" t="str">
        <f t="shared" si="2"/>
        <v/>
      </c>
      <c r="Y31" s="59"/>
      <c r="Z31" s="59"/>
      <c r="AA31" s="59"/>
      <c r="AB31" s="59"/>
      <c r="AC31" s="59"/>
      <c r="AD31" s="59"/>
      <c r="AE31" s="50" t="str">
        <f t="shared" si="3"/>
        <v/>
      </c>
      <c r="AF31" s="61" t="str">
        <f t="shared" si="4"/>
        <v/>
      </c>
      <c r="AG31" s="61" t="str">
        <f t="shared" si="5"/>
        <v/>
      </c>
      <c r="AH31" s="61" t="str">
        <f t="shared" si="6"/>
        <v>FAIL</v>
      </c>
      <c r="AI31" s="61" t="str">
        <f t="shared" si="7"/>
        <v>REVIEW</v>
      </c>
      <c r="AJ31" s="61" t="str">
        <f t="shared" si="8"/>
        <v>AVOID</v>
      </c>
      <c r="AK31" s="61" t="str">
        <f t="shared" si="9"/>
        <v>OK</v>
      </c>
    </row>
    <row r="32" spans="1:37" ht="15" customHeight="1" x14ac:dyDescent="0.2">
      <c r="A32" s="59" t="s">
        <v>236</v>
      </c>
      <c r="B32" s="59" t="s">
        <v>237</v>
      </c>
      <c r="C32" s="60">
        <v>46245</v>
      </c>
      <c r="D32" s="59">
        <v>4</v>
      </c>
      <c r="E32" s="59" t="s">
        <v>205</v>
      </c>
      <c r="F32" s="59">
        <v>4</v>
      </c>
      <c r="G32" s="59" t="s">
        <v>206</v>
      </c>
      <c r="H32" s="59">
        <v>5</v>
      </c>
      <c r="I32" s="59" t="s">
        <v>206</v>
      </c>
      <c r="J32" s="59">
        <v>4</v>
      </c>
      <c r="K32" s="59" t="s">
        <v>205</v>
      </c>
      <c r="L32" s="59">
        <v>4</v>
      </c>
      <c r="M32" s="59" t="s">
        <v>206</v>
      </c>
      <c r="N32" s="50">
        <f t="shared" si="0"/>
        <v>4.2142857142857144</v>
      </c>
      <c r="O32" s="61">
        <f t="shared" si="1"/>
        <v>2.9499999999999997</v>
      </c>
      <c r="P32" s="59"/>
      <c r="Q32" s="59"/>
      <c r="R32" s="59"/>
      <c r="S32" s="59"/>
      <c r="T32" s="59"/>
      <c r="U32" s="59"/>
      <c r="V32" s="59"/>
      <c r="W32" s="59"/>
      <c r="X32" s="50" t="str">
        <f t="shared" si="2"/>
        <v/>
      </c>
      <c r="Y32" s="59"/>
      <c r="Z32" s="59"/>
      <c r="AA32" s="59"/>
      <c r="AB32" s="59"/>
      <c r="AC32" s="59"/>
      <c r="AD32" s="59"/>
      <c r="AE32" s="50" t="str">
        <f t="shared" si="3"/>
        <v/>
      </c>
      <c r="AF32" s="61" t="str">
        <f t="shared" si="4"/>
        <v/>
      </c>
      <c r="AG32" s="61" t="str">
        <f t="shared" si="5"/>
        <v/>
      </c>
      <c r="AH32" s="61" t="str">
        <f t="shared" si="6"/>
        <v>OK</v>
      </c>
      <c r="AI32" s="61" t="str">
        <f t="shared" si="7"/>
        <v>OK</v>
      </c>
      <c r="AJ32" s="61" t="str">
        <f t="shared" si="8"/>
        <v>OK</v>
      </c>
      <c r="AK32" s="61" t="str">
        <f t="shared" si="9"/>
        <v>OK</v>
      </c>
    </row>
    <row r="33" spans="1:37" ht="15" customHeight="1" x14ac:dyDescent="0.2">
      <c r="A33" s="59" t="s">
        <v>238</v>
      </c>
      <c r="B33" s="59" t="s">
        <v>239</v>
      </c>
      <c r="C33" s="60">
        <v>46245</v>
      </c>
      <c r="D33" s="59">
        <v>4</v>
      </c>
      <c r="E33" s="59" t="s">
        <v>206</v>
      </c>
      <c r="F33" s="59">
        <v>4</v>
      </c>
      <c r="G33" s="59" t="s">
        <v>206</v>
      </c>
      <c r="H33" s="59">
        <v>4</v>
      </c>
      <c r="I33" s="59" t="s">
        <v>206</v>
      </c>
      <c r="J33" s="59">
        <v>3</v>
      </c>
      <c r="K33" s="59" t="s">
        <v>205</v>
      </c>
      <c r="L33" s="59">
        <v>3</v>
      </c>
      <c r="M33" s="59" t="s">
        <v>206</v>
      </c>
      <c r="N33" s="50">
        <f t="shared" si="0"/>
        <v>3.714285714285714</v>
      </c>
      <c r="O33" s="61">
        <f t="shared" si="1"/>
        <v>2.5999999999999996</v>
      </c>
      <c r="P33" s="59"/>
      <c r="Q33" s="59"/>
      <c r="R33" s="59"/>
      <c r="S33" s="59"/>
      <c r="T33" s="59"/>
      <c r="U33" s="59"/>
      <c r="V33" s="59"/>
      <c r="W33" s="59"/>
      <c r="X33" s="50" t="str">
        <f t="shared" si="2"/>
        <v/>
      </c>
      <c r="Y33" s="59"/>
      <c r="Z33" s="59"/>
      <c r="AA33" s="59"/>
      <c r="AB33" s="59"/>
      <c r="AC33" s="59"/>
      <c r="AD33" s="59"/>
      <c r="AE33" s="50" t="str">
        <f t="shared" si="3"/>
        <v/>
      </c>
      <c r="AF33" s="61" t="str">
        <f t="shared" si="4"/>
        <v/>
      </c>
      <c r="AG33" s="61" t="str">
        <f t="shared" si="5"/>
        <v/>
      </c>
      <c r="AH33" s="61" t="str">
        <f t="shared" si="6"/>
        <v>OK</v>
      </c>
      <c r="AI33" s="61" t="str">
        <f t="shared" si="7"/>
        <v>OK</v>
      </c>
      <c r="AJ33" s="61" t="str">
        <f t="shared" si="8"/>
        <v>OK</v>
      </c>
      <c r="AK33" s="61" t="str">
        <f t="shared" si="9"/>
        <v>OK</v>
      </c>
    </row>
    <row r="34" spans="1:37" ht="15" customHeight="1" x14ac:dyDescent="0.2">
      <c r="A34" s="59" t="s">
        <v>240</v>
      </c>
      <c r="B34" s="59" t="s">
        <v>241</v>
      </c>
      <c r="C34" s="60">
        <v>46245</v>
      </c>
      <c r="D34" s="59">
        <v>5</v>
      </c>
      <c r="E34" s="59" t="s">
        <v>206</v>
      </c>
      <c r="F34" s="59">
        <v>5</v>
      </c>
      <c r="G34" s="59" t="s">
        <v>206</v>
      </c>
      <c r="H34" s="59">
        <v>5</v>
      </c>
      <c r="I34" s="59" t="s">
        <v>206</v>
      </c>
      <c r="J34" s="59">
        <v>4</v>
      </c>
      <c r="K34" s="59" t="s">
        <v>206</v>
      </c>
      <c r="L34" s="59">
        <v>5</v>
      </c>
      <c r="M34" s="59" t="s">
        <v>206</v>
      </c>
      <c r="N34" s="50">
        <f t="shared" si="0"/>
        <v>4.8571428571428577</v>
      </c>
      <c r="O34" s="61">
        <f t="shared" si="1"/>
        <v>3.4</v>
      </c>
      <c r="P34" s="59"/>
      <c r="Q34" s="59"/>
      <c r="R34" s="59"/>
      <c r="S34" s="59"/>
      <c r="T34" s="59"/>
      <c r="U34" s="59"/>
      <c r="V34" s="59"/>
      <c r="W34" s="59"/>
      <c r="X34" s="50" t="str">
        <f t="shared" si="2"/>
        <v/>
      </c>
      <c r="Y34" s="59"/>
      <c r="Z34" s="59"/>
      <c r="AA34" s="59"/>
      <c r="AB34" s="59"/>
      <c r="AC34" s="59"/>
      <c r="AD34" s="59"/>
      <c r="AE34" s="50" t="str">
        <f t="shared" si="3"/>
        <v/>
      </c>
      <c r="AF34" s="61" t="str">
        <f t="shared" si="4"/>
        <v/>
      </c>
      <c r="AG34" s="61" t="str">
        <f t="shared" si="5"/>
        <v/>
      </c>
      <c r="AH34" s="61" t="str">
        <f t="shared" si="6"/>
        <v>OK</v>
      </c>
      <c r="AI34" s="61" t="str">
        <f t="shared" si="7"/>
        <v>OK</v>
      </c>
      <c r="AJ34" s="61" t="str">
        <f t="shared" si="8"/>
        <v>OK</v>
      </c>
      <c r="AK34" s="61" t="str">
        <f t="shared" si="9"/>
        <v>OK</v>
      </c>
    </row>
    <row r="35" spans="1:37" ht="15" customHeight="1" x14ac:dyDescent="0.2">
      <c r="A35" s="59" t="s">
        <v>242</v>
      </c>
      <c r="B35" s="59" t="s">
        <v>243</v>
      </c>
      <c r="C35" s="60">
        <v>46245</v>
      </c>
      <c r="D35" s="59">
        <v>1</v>
      </c>
      <c r="E35" s="59" t="s">
        <v>206</v>
      </c>
      <c r="F35" s="59">
        <v>1</v>
      </c>
      <c r="G35" s="59" t="s">
        <v>206</v>
      </c>
      <c r="H35" s="59">
        <v>2</v>
      </c>
      <c r="I35" s="59" t="s">
        <v>205</v>
      </c>
      <c r="J35" s="59">
        <v>2</v>
      </c>
      <c r="K35" s="59" t="s">
        <v>205</v>
      </c>
      <c r="L35" s="59">
        <v>1</v>
      </c>
      <c r="M35" s="59" t="s">
        <v>206</v>
      </c>
      <c r="N35" s="50">
        <f t="shared" ref="N35:N60" si="10">IF(COUNT(D35,F35,H35,J35,L35)=0,"",(D35*0.2+F35*0.15+H35*0.15+J35*0.1+L35*0.1)/0.7)</f>
        <v>1.357142857142857</v>
      </c>
      <c r="O35" s="61">
        <f t="shared" ref="O35:O60" si="11">IF(COUNT(D35,F35,H35,J35,L35)=0,"",D35*0.2+F35*0.15+H35*0.15+J35*0.1+L35*0.1)</f>
        <v>0.94999999999999984</v>
      </c>
      <c r="P35" s="59"/>
      <c r="Q35" s="59"/>
      <c r="R35" s="59"/>
      <c r="S35" s="59"/>
      <c r="T35" s="59"/>
      <c r="U35" s="59"/>
      <c r="V35" s="59"/>
      <c r="W35" s="59"/>
      <c r="X35" s="50" t="str">
        <f t="shared" ref="X35:X60" si="12">IF(COUNT(P35,R35,T35,V35)=0,"",P35*0.08+R35*0.06+T35*0.03+V35*0.08)</f>
        <v/>
      </c>
      <c r="Y35" s="59"/>
      <c r="Z35" s="59"/>
      <c r="AA35" s="59"/>
      <c r="AB35" s="59"/>
      <c r="AC35" s="59"/>
      <c r="AD35" s="59"/>
      <c r="AE35" s="50" t="str">
        <f t="shared" ref="AE35:AE60" si="13">IF(COUNT(Y35,AA35,AC35)=0,"",Y35*0.02+AA35*0.02+AC35*0.01)</f>
        <v/>
      </c>
      <c r="AF35" s="61" t="str">
        <f t="shared" ref="AF35:AF66" si="14">IF(OR(O35="",X35="",AE35=""),"",(O35+X35+AE35)*20)</f>
        <v/>
      </c>
      <c r="AG35" s="61" t="str">
        <f t="shared" ref="AG35:AG66" si="15">IF(AF35="","",IF(AF35&gt;=80,"STRONG BUY",IF(AF35&gt;=65,"BUY",IF(AF35&gt;=50,"WATCH LIST",IF(AF35&gt;=35,"AVOID","PASS")))))</f>
        <v/>
      </c>
      <c r="AH35" s="61" t="str">
        <f t="shared" ref="AH35:AH60" si="16">IF(N35="","",IF(N35&lt;3,"FAIL","OK"))</f>
        <v>FAIL</v>
      </c>
      <c r="AI35" s="61" t="str">
        <f t="shared" ref="AI35:AI60" si="17">IF(COUNT(D35:L35)=0,"",IF(COUNTIF(D35:L35,1)&gt;0,"REVIEW","OK"))</f>
        <v>REVIEW</v>
      </c>
      <c r="AJ35" s="61" t="str">
        <f t="shared" ref="AJ35:AJ60" si="18">IF(COUNT(D35:L35)=0,"",IF(COUNTIF(D35:L35,"&lt;=2")&gt;=2,"AVOID","OK"))</f>
        <v>AVOID</v>
      </c>
      <c r="AK35" s="61" t="str">
        <f t="shared" ref="AK35:AK60" si="19">IF(COUNTA(E35:M35)=0,"",IF(COUNTIF(E35:M35,"L")&gt;=2,"CAP AT BUY","OK"))</f>
        <v>OK</v>
      </c>
    </row>
    <row r="36" spans="1:37" ht="15" customHeight="1" x14ac:dyDescent="0.2">
      <c r="A36" s="59" t="s">
        <v>244</v>
      </c>
      <c r="B36" s="59" t="s">
        <v>245</v>
      </c>
      <c r="C36" s="60">
        <v>46245</v>
      </c>
      <c r="D36" s="59">
        <v>5</v>
      </c>
      <c r="E36" s="59" t="s">
        <v>206</v>
      </c>
      <c r="F36" s="59">
        <v>4</v>
      </c>
      <c r="G36" s="59" t="s">
        <v>206</v>
      </c>
      <c r="H36" s="59">
        <v>4</v>
      </c>
      <c r="I36" s="59" t="s">
        <v>205</v>
      </c>
      <c r="J36" s="59">
        <v>4</v>
      </c>
      <c r="K36" s="59" t="s">
        <v>206</v>
      </c>
      <c r="L36" s="59">
        <v>4</v>
      </c>
      <c r="M36" s="59" t="s">
        <v>206</v>
      </c>
      <c r="N36" s="50">
        <f t="shared" si="10"/>
        <v>4.2857142857142856</v>
      </c>
      <c r="O36" s="61">
        <f t="shared" si="11"/>
        <v>3</v>
      </c>
      <c r="P36" s="59"/>
      <c r="Q36" s="59"/>
      <c r="R36" s="59"/>
      <c r="S36" s="59"/>
      <c r="T36" s="59"/>
      <c r="U36" s="59"/>
      <c r="V36" s="59"/>
      <c r="W36" s="59"/>
      <c r="X36" s="50" t="str">
        <f t="shared" si="12"/>
        <v/>
      </c>
      <c r="Y36" s="59"/>
      <c r="Z36" s="59"/>
      <c r="AA36" s="59"/>
      <c r="AB36" s="59"/>
      <c r="AC36" s="59"/>
      <c r="AD36" s="59"/>
      <c r="AE36" s="50" t="str">
        <f t="shared" si="13"/>
        <v/>
      </c>
      <c r="AF36" s="61" t="str">
        <f t="shared" si="14"/>
        <v/>
      </c>
      <c r="AG36" s="61" t="str">
        <f t="shared" si="15"/>
        <v/>
      </c>
      <c r="AH36" s="61" t="str">
        <f t="shared" si="16"/>
        <v>OK</v>
      </c>
      <c r="AI36" s="61" t="str">
        <f t="shared" si="17"/>
        <v>OK</v>
      </c>
      <c r="AJ36" s="61" t="str">
        <f t="shared" si="18"/>
        <v>OK</v>
      </c>
      <c r="AK36" s="61" t="str">
        <f t="shared" si="19"/>
        <v>OK</v>
      </c>
    </row>
    <row r="37" spans="1:37" ht="15" customHeight="1" x14ac:dyDescent="0.2">
      <c r="A37" s="59"/>
      <c r="B37" s="59"/>
      <c r="C37" s="59"/>
      <c r="D37" s="59"/>
      <c r="E37" s="59"/>
      <c r="F37" s="59"/>
      <c r="G37" s="59"/>
      <c r="H37" s="59"/>
      <c r="I37" s="59"/>
      <c r="J37" s="59"/>
      <c r="K37" s="59"/>
      <c r="L37" s="59"/>
      <c r="M37" s="59"/>
      <c r="N37" s="50" t="str">
        <f t="shared" si="10"/>
        <v/>
      </c>
      <c r="O37" s="61" t="str">
        <f t="shared" si="11"/>
        <v/>
      </c>
      <c r="P37" s="59"/>
      <c r="Q37" s="59"/>
      <c r="R37" s="59"/>
      <c r="S37" s="59"/>
      <c r="T37" s="59"/>
      <c r="U37" s="59"/>
      <c r="V37" s="59"/>
      <c r="W37" s="59"/>
      <c r="X37" s="50" t="str">
        <f t="shared" si="12"/>
        <v/>
      </c>
      <c r="Y37" s="59"/>
      <c r="Z37" s="59"/>
      <c r="AA37" s="59"/>
      <c r="AB37" s="59"/>
      <c r="AC37" s="59"/>
      <c r="AD37" s="59"/>
      <c r="AE37" s="50" t="str">
        <f t="shared" si="13"/>
        <v/>
      </c>
      <c r="AF37" s="61" t="str">
        <f t="shared" si="14"/>
        <v/>
      </c>
      <c r="AG37" s="61" t="str">
        <f t="shared" si="15"/>
        <v/>
      </c>
      <c r="AH37" s="61" t="str">
        <f t="shared" si="16"/>
        <v/>
      </c>
      <c r="AI37" s="61" t="str">
        <f t="shared" si="17"/>
        <v/>
      </c>
      <c r="AJ37" s="61" t="str">
        <f t="shared" si="18"/>
        <v/>
      </c>
      <c r="AK37" s="61" t="str">
        <f t="shared" si="19"/>
        <v/>
      </c>
    </row>
    <row r="38" spans="1:37" ht="15" customHeight="1" x14ac:dyDescent="0.2">
      <c r="A38" s="59"/>
      <c r="B38" s="59"/>
      <c r="C38" s="59"/>
      <c r="D38" s="59"/>
      <c r="E38" s="59"/>
      <c r="F38" s="59"/>
      <c r="G38" s="59"/>
      <c r="H38" s="59"/>
      <c r="I38" s="59"/>
      <c r="J38" s="59"/>
      <c r="K38" s="59"/>
      <c r="L38" s="59"/>
      <c r="M38" s="59"/>
      <c r="N38" s="50" t="str">
        <f t="shared" si="10"/>
        <v/>
      </c>
      <c r="O38" s="61" t="str">
        <f t="shared" si="11"/>
        <v/>
      </c>
      <c r="P38" s="59"/>
      <c r="Q38" s="59"/>
      <c r="R38" s="59"/>
      <c r="S38" s="59"/>
      <c r="T38" s="59"/>
      <c r="U38" s="59"/>
      <c r="V38" s="59"/>
      <c r="W38" s="59"/>
      <c r="X38" s="50" t="str">
        <f t="shared" si="12"/>
        <v/>
      </c>
      <c r="Y38" s="59"/>
      <c r="Z38" s="59"/>
      <c r="AA38" s="59"/>
      <c r="AB38" s="59"/>
      <c r="AC38" s="59"/>
      <c r="AD38" s="59"/>
      <c r="AE38" s="50" t="str">
        <f t="shared" si="13"/>
        <v/>
      </c>
      <c r="AF38" s="61" t="str">
        <f t="shared" si="14"/>
        <v/>
      </c>
      <c r="AG38" s="61" t="str">
        <f t="shared" si="15"/>
        <v/>
      </c>
      <c r="AH38" s="61" t="str">
        <f t="shared" si="16"/>
        <v/>
      </c>
      <c r="AI38" s="61" t="str">
        <f t="shared" si="17"/>
        <v/>
      </c>
      <c r="AJ38" s="61" t="str">
        <f t="shared" si="18"/>
        <v/>
      </c>
      <c r="AK38" s="61" t="str">
        <f t="shared" si="19"/>
        <v/>
      </c>
    </row>
    <row r="39" spans="1:37" ht="15" customHeight="1" x14ac:dyDescent="0.2">
      <c r="A39" s="59"/>
      <c r="B39" s="59"/>
      <c r="C39" s="59"/>
      <c r="D39" s="59"/>
      <c r="E39" s="59"/>
      <c r="F39" s="59"/>
      <c r="G39" s="59"/>
      <c r="H39" s="59"/>
      <c r="I39" s="59"/>
      <c r="J39" s="59"/>
      <c r="K39" s="59"/>
      <c r="L39" s="59"/>
      <c r="M39" s="59"/>
      <c r="N39" s="50" t="str">
        <f t="shared" si="10"/>
        <v/>
      </c>
      <c r="O39" s="61" t="str">
        <f t="shared" si="11"/>
        <v/>
      </c>
      <c r="P39" s="59"/>
      <c r="Q39" s="59"/>
      <c r="R39" s="59"/>
      <c r="S39" s="59"/>
      <c r="T39" s="59"/>
      <c r="U39" s="59"/>
      <c r="V39" s="59"/>
      <c r="W39" s="59"/>
      <c r="X39" s="50" t="str">
        <f t="shared" si="12"/>
        <v/>
      </c>
      <c r="Y39" s="59"/>
      <c r="Z39" s="59"/>
      <c r="AA39" s="59"/>
      <c r="AB39" s="59"/>
      <c r="AC39" s="59"/>
      <c r="AD39" s="59"/>
      <c r="AE39" s="50" t="str">
        <f t="shared" si="13"/>
        <v/>
      </c>
      <c r="AF39" s="61" t="str">
        <f t="shared" si="14"/>
        <v/>
      </c>
      <c r="AG39" s="61" t="str">
        <f t="shared" si="15"/>
        <v/>
      </c>
      <c r="AH39" s="61" t="str">
        <f t="shared" si="16"/>
        <v/>
      </c>
      <c r="AI39" s="61" t="str">
        <f t="shared" si="17"/>
        <v/>
      </c>
      <c r="AJ39" s="61" t="str">
        <f t="shared" si="18"/>
        <v/>
      </c>
      <c r="AK39" s="61" t="str">
        <f t="shared" si="19"/>
        <v/>
      </c>
    </row>
    <row r="40" spans="1:37" ht="15" customHeight="1" x14ac:dyDescent="0.2">
      <c r="A40" s="59"/>
      <c r="B40" s="59"/>
      <c r="C40" s="59"/>
      <c r="D40" s="59"/>
      <c r="E40" s="59"/>
      <c r="F40" s="59"/>
      <c r="G40" s="59"/>
      <c r="H40" s="59"/>
      <c r="I40" s="59"/>
      <c r="J40" s="59"/>
      <c r="K40" s="59"/>
      <c r="L40" s="59"/>
      <c r="M40" s="59"/>
      <c r="N40" s="50" t="str">
        <f t="shared" si="10"/>
        <v/>
      </c>
      <c r="O40" s="61" t="str">
        <f t="shared" si="11"/>
        <v/>
      </c>
      <c r="P40" s="59"/>
      <c r="Q40" s="59"/>
      <c r="R40" s="59"/>
      <c r="S40" s="59"/>
      <c r="T40" s="59"/>
      <c r="U40" s="59"/>
      <c r="V40" s="59"/>
      <c r="W40" s="59"/>
      <c r="X40" s="50" t="str">
        <f t="shared" si="12"/>
        <v/>
      </c>
      <c r="Y40" s="59"/>
      <c r="Z40" s="59"/>
      <c r="AA40" s="59"/>
      <c r="AB40" s="59"/>
      <c r="AC40" s="59"/>
      <c r="AD40" s="59"/>
      <c r="AE40" s="50" t="str">
        <f t="shared" si="13"/>
        <v/>
      </c>
      <c r="AF40" s="61" t="str">
        <f t="shared" si="14"/>
        <v/>
      </c>
      <c r="AG40" s="61" t="str">
        <f t="shared" si="15"/>
        <v/>
      </c>
      <c r="AH40" s="61" t="str">
        <f t="shared" si="16"/>
        <v/>
      </c>
      <c r="AI40" s="61" t="str">
        <f t="shared" si="17"/>
        <v/>
      </c>
      <c r="AJ40" s="61" t="str">
        <f t="shared" si="18"/>
        <v/>
      </c>
      <c r="AK40" s="61" t="str">
        <f t="shared" si="19"/>
        <v/>
      </c>
    </row>
    <row r="41" spans="1:37" ht="15" customHeight="1" x14ac:dyDescent="0.2">
      <c r="A41" s="59"/>
      <c r="B41" s="59"/>
      <c r="C41" s="59"/>
      <c r="D41" s="59"/>
      <c r="E41" s="59"/>
      <c r="F41" s="59"/>
      <c r="G41" s="59"/>
      <c r="H41" s="59"/>
      <c r="I41" s="59"/>
      <c r="J41" s="59"/>
      <c r="K41" s="59"/>
      <c r="L41" s="59"/>
      <c r="M41" s="59"/>
      <c r="N41" s="50" t="str">
        <f t="shared" si="10"/>
        <v/>
      </c>
      <c r="O41" s="61" t="str">
        <f t="shared" si="11"/>
        <v/>
      </c>
      <c r="P41" s="59"/>
      <c r="Q41" s="59"/>
      <c r="R41" s="59"/>
      <c r="S41" s="59"/>
      <c r="T41" s="59"/>
      <c r="U41" s="59"/>
      <c r="V41" s="59"/>
      <c r="W41" s="59"/>
      <c r="X41" s="50" t="str">
        <f t="shared" si="12"/>
        <v/>
      </c>
      <c r="Y41" s="59"/>
      <c r="Z41" s="59"/>
      <c r="AA41" s="59"/>
      <c r="AB41" s="59"/>
      <c r="AC41" s="59"/>
      <c r="AD41" s="59"/>
      <c r="AE41" s="50" t="str">
        <f t="shared" si="13"/>
        <v/>
      </c>
      <c r="AF41" s="61" t="str">
        <f t="shared" si="14"/>
        <v/>
      </c>
      <c r="AG41" s="61" t="str">
        <f t="shared" si="15"/>
        <v/>
      </c>
      <c r="AH41" s="61" t="str">
        <f t="shared" si="16"/>
        <v/>
      </c>
      <c r="AI41" s="61" t="str">
        <f t="shared" si="17"/>
        <v/>
      </c>
      <c r="AJ41" s="61" t="str">
        <f t="shared" si="18"/>
        <v/>
      </c>
      <c r="AK41" s="61" t="str">
        <f t="shared" si="19"/>
        <v/>
      </c>
    </row>
    <row r="42" spans="1:37" ht="15" customHeight="1" x14ac:dyDescent="0.2">
      <c r="A42" s="59"/>
      <c r="B42" s="59"/>
      <c r="C42" s="59"/>
      <c r="D42" s="59"/>
      <c r="E42" s="59"/>
      <c r="F42" s="59"/>
      <c r="G42" s="59"/>
      <c r="H42" s="59"/>
      <c r="I42" s="59"/>
      <c r="J42" s="59"/>
      <c r="K42" s="59"/>
      <c r="L42" s="59"/>
      <c r="M42" s="59"/>
      <c r="N42" s="50" t="str">
        <f t="shared" si="10"/>
        <v/>
      </c>
      <c r="O42" s="61" t="str">
        <f t="shared" si="11"/>
        <v/>
      </c>
      <c r="P42" s="59"/>
      <c r="Q42" s="59"/>
      <c r="R42" s="59"/>
      <c r="S42" s="59"/>
      <c r="T42" s="59"/>
      <c r="U42" s="59"/>
      <c r="V42" s="59"/>
      <c r="W42" s="59"/>
      <c r="X42" s="50" t="str">
        <f t="shared" si="12"/>
        <v/>
      </c>
      <c r="Y42" s="59"/>
      <c r="Z42" s="59"/>
      <c r="AA42" s="59"/>
      <c r="AB42" s="59"/>
      <c r="AC42" s="59"/>
      <c r="AD42" s="59"/>
      <c r="AE42" s="50" t="str">
        <f t="shared" si="13"/>
        <v/>
      </c>
      <c r="AF42" s="61" t="str">
        <f t="shared" si="14"/>
        <v/>
      </c>
      <c r="AG42" s="61" t="str">
        <f t="shared" si="15"/>
        <v/>
      </c>
      <c r="AH42" s="61" t="str">
        <f t="shared" si="16"/>
        <v/>
      </c>
      <c r="AI42" s="61" t="str">
        <f t="shared" si="17"/>
        <v/>
      </c>
      <c r="AJ42" s="61" t="str">
        <f t="shared" si="18"/>
        <v/>
      </c>
      <c r="AK42" s="61" t="str">
        <f t="shared" si="19"/>
        <v/>
      </c>
    </row>
    <row r="43" spans="1:37" ht="15" customHeight="1" x14ac:dyDescent="0.2">
      <c r="A43" s="59"/>
      <c r="B43" s="59"/>
      <c r="C43" s="59"/>
      <c r="D43" s="59"/>
      <c r="E43" s="59"/>
      <c r="F43" s="59"/>
      <c r="G43" s="59"/>
      <c r="H43" s="59"/>
      <c r="I43" s="59"/>
      <c r="J43" s="59"/>
      <c r="K43" s="59"/>
      <c r="L43" s="59"/>
      <c r="M43" s="59"/>
      <c r="N43" s="50" t="str">
        <f t="shared" si="10"/>
        <v/>
      </c>
      <c r="O43" s="61" t="str">
        <f t="shared" si="11"/>
        <v/>
      </c>
      <c r="P43" s="59"/>
      <c r="Q43" s="59"/>
      <c r="R43" s="59"/>
      <c r="S43" s="59"/>
      <c r="T43" s="59"/>
      <c r="U43" s="59"/>
      <c r="V43" s="59"/>
      <c r="W43" s="59"/>
      <c r="X43" s="50" t="str">
        <f t="shared" si="12"/>
        <v/>
      </c>
      <c r="Y43" s="59"/>
      <c r="Z43" s="59"/>
      <c r="AA43" s="59"/>
      <c r="AB43" s="59"/>
      <c r="AC43" s="59"/>
      <c r="AD43" s="59"/>
      <c r="AE43" s="50" t="str">
        <f t="shared" si="13"/>
        <v/>
      </c>
      <c r="AF43" s="61" t="str">
        <f t="shared" si="14"/>
        <v/>
      </c>
      <c r="AG43" s="61" t="str">
        <f t="shared" si="15"/>
        <v/>
      </c>
      <c r="AH43" s="61" t="str">
        <f t="shared" si="16"/>
        <v/>
      </c>
      <c r="AI43" s="61" t="str">
        <f t="shared" si="17"/>
        <v/>
      </c>
      <c r="AJ43" s="61" t="str">
        <f t="shared" si="18"/>
        <v/>
      </c>
      <c r="AK43" s="61" t="str">
        <f t="shared" si="19"/>
        <v/>
      </c>
    </row>
    <row r="44" spans="1:37" ht="15" customHeight="1" x14ac:dyDescent="0.2">
      <c r="A44" s="59"/>
      <c r="B44" s="59"/>
      <c r="C44" s="59"/>
      <c r="D44" s="59"/>
      <c r="E44" s="59"/>
      <c r="F44" s="59"/>
      <c r="G44" s="59"/>
      <c r="H44" s="59"/>
      <c r="I44" s="59"/>
      <c r="J44" s="59"/>
      <c r="K44" s="59"/>
      <c r="L44" s="59"/>
      <c r="M44" s="59"/>
      <c r="N44" s="50" t="str">
        <f t="shared" si="10"/>
        <v/>
      </c>
      <c r="O44" s="61" t="str">
        <f t="shared" si="11"/>
        <v/>
      </c>
      <c r="P44" s="59"/>
      <c r="Q44" s="59"/>
      <c r="R44" s="59"/>
      <c r="S44" s="59"/>
      <c r="T44" s="59"/>
      <c r="U44" s="59"/>
      <c r="V44" s="59"/>
      <c r="W44" s="59"/>
      <c r="X44" s="50" t="str">
        <f t="shared" si="12"/>
        <v/>
      </c>
      <c r="Y44" s="59"/>
      <c r="Z44" s="59"/>
      <c r="AA44" s="59"/>
      <c r="AB44" s="59"/>
      <c r="AC44" s="59"/>
      <c r="AD44" s="59"/>
      <c r="AE44" s="50" t="str">
        <f t="shared" si="13"/>
        <v/>
      </c>
      <c r="AF44" s="61" t="str">
        <f t="shared" si="14"/>
        <v/>
      </c>
      <c r="AG44" s="61" t="str">
        <f t="shared" si="15"/>
        <v/>
      </c>
      <c r="AH44" s="61" t="str">
        <f t="shared" si="16"/>
        <v/>
      </c>
      <c r="AI44" s="61" t="str">
        <f t="shared" si="17"/>
        <v/>
      </c>
      <c r="AJ44" s="61" t="str">
        <f t="shared" si="18"/>
        <v/>
      </c>
      <c r="AK44" s="61" t="str">
        <f t="shared" si="19"/>
        <v/>
      </c>
    </row>
    <row r="45" spans="1:37" ht="15" customHeight="1" x14ac:dyDescent="0.2">
      <c r="A45" s="59"/>
      <c r="B45" s="59"/>
      <c r="C45" s="59"/>
      <c r="D45" s="59"/>
      <c r="E45" s="59"/>
      <c r="F45" s="59"/>
      <c r="G45" s="59"/>
      <c r="H45" s="59"/>
      <c r="I45" s="59"/>
      <c r="J45" s="59"/>
      <c r="K45" s="59"/>
      <c r="L45" s="59"/>
      <c r="M45" s="59"/>
      <c r="N45" s="50" t="str">
        <f t="shared" si="10"/>
        <v/>
      </c>
      <c r="O45" s="61" t="str">
        <f t="shared" si="11"/>
        <v/>
      </c>
      <c r="P45" s="59"/>
      <c r="Q45" s="59"/>
      <c r="R45" s="59"/>
      <c r="S45" s="59"/>
      <c r="T45" s="59"/>
      <c r="U45" s="59"/>
      <c r="V45" s="59"/>
      <c r="W45" s="59"/>
      <c r="X45" s="50" t="str">
        <f t="shared" si="12"/>
        <v/>
      </c>
      <c r="Y45" s="59"/>
      <c r="Z45" s="59"/>
      <c r="AA45" s="59"/>
      <c r="AB45" s="59"/>
      <c r="AC45" s="59"/>
      <c r="AD45" s="59"/>
      <c r="AE45" s="50" t="str">
        <f t="shared" si="13"/>
        <v/>
      </c>
      <c r="AF45" s="61" t="str">
        <f t="shared" si="14"/>
        <v/>
      </c>
      <c r="AG45" s="61" t="str">
        <f t="shared" si="15"/>
        <v/>
      </c>
      <c r="AH45" s="61" t="str">
        <f t="shared" si="16"/>
        <v/>
      </c>
      <c r="AI45" s="61" t="str">
        <f t="shared" si="17"/>
        <v/>
      </c>
      <c r="AJ45" s="61" t="str">
        <f t="shared" si="18"/>
        <v/>
      </c>
      <c r="AK45" s="61" t="str">
        <f t="shared" si="19"/>
        <v/>
      </c>
    </row>
    <row r="46" spans="1:37" ht="15" customHeight="1" x14ac:dyDescent="0.2">
      <c r="A46" s="59"/>
      <c r="B46" s="59"/>
      <c r="C46" s="59"/>
      <c r="D46" s="59"/>
      <c r="E46" s="59"/>
      <c r="F46" s="59"/>
      <c r="G46" s="59"/>
      <c r="H46" s="59"/>
      <c r="I46" s="59"/>
      <c r="J46" s="59"/>
      <c r="K46" s="59"/>
      <c r="L46" s="59"/>
      <c r="M46" s="59"/>
      <c r="N46" s="50" t="str">
        <f t="shared" si="10"/>
        <v/>
      </c>
      <c r="O46" s="61" t="str">
        <f t="shared" si="11"/>
        <v/>
      </c>
      <c r="P46" s="59"/>
      <c r="Q46" s="59"/>
      <c r="R46" s="59"/>
      <c r="S46" s="59"/>
      <c r="T46" s="59"/>
      <c r="U46" s="59"/>
      <c r="V46" s="59"/>
      <c r="W46" s="59"/>
      <c r="X46" s="50" t="str">
        <f t="shared" si="12"/>
        <v/>
      </c>
      <c r="Y46" s="59"/>
      <c r="Z46" s="59"/>
      <c r="AA46" s="59"/>
      <c r="AB46" s="59"/>
      <c r="AC46" s="59"/>
      <c r="AD46" s="59"/>
      <c r="AE46" s="50" t="str">
        <f t="shared" si="13"/>
        <v/>
      </c>
      <c r="AF46" s="61" t="str">
        <f t="shared" si="14"/>
        <v/>
      </c>
      <c r="AG46" s="61" t="str">
        <f t="shared" si="15"/>
        <v/>
      </c>
      <c r="AH46" s="61" t="str">
        <f t="shared" si="16"/>
        <v/>
      </c>
      <c r="AI46" s="61" t="str">
        <f t="shared" si="17"/>
        <v/>
      </c>
      <c r="AJ46" s="61" t="str">
        <f t="shared" si="18"/>
        <v/>
      </c>
      <c r="AK46" s="61" t="str">
        <f t="shared" si="19"/>
        <v/>
      </c>
    </row>
    <row r="47" spans="1:37" ht="15" customHeight="1" x14ac:dyDescent="0.2">
      <c r="A47" s="59"/>
      <c r="B47" s="59"/>
      <c r="C47" s="59"/>
      <c r="D47" s="59"/>
      <c r="E47" s="59"/>
      <c r="F47" s="59"/>
      <c r="G47" s="59"/>
      <c r="H47" s="59"/>
      <c r="I47" s="59"/>
      <c r="J47" s="59"/>
      <c r="K47" s="59"/>
      <c r="L47" s="59"/>
      <c r="M47" s="59"/>
      <c r="N47" s="50" t="str">
        <f t="shared" si="10"/>
        <v/>
      </c>
      <c r="O47" s="61" t="str">
        <f t="shared" si="11"/>
        <v/>
      </c>
      <c r="P47" s="59"/>
      <c r="Q47" s="59"/>
      <c r="R47" s="59"/>
      <c r="S47" s="59"/>
      <c r="T47" s="59"/>
      <c r="U47" s="59"/>
      <c r="V47" s="59"/>
      <c r="W47" s="59"/>
      <c r="X47" s="50" t="str">
        <f t="shared" si="12"/>
        <v/>
      </c>
      <c r="Y47" s="59"/>
      <c r="Z47" s="59"/>
      <c r="AA47" s="59"/>
      <c r="AB47" s="59"/>
      <c r="AC47" s="59"/>
      <c r="AD47" s="59"/>
      <c r="AE47" s="50" t="str">
        <f t="shared" si="13"/>
        <v/>
      </c>
      <c r="AF47" s="61" t="str">
        <f t="shared" si="14"/>
        <v/>
      </c>
      <c r="AG47" s="61" t="str">
        <f t="shared" si="15"/>
        <v/>
      </c>
      <c r="AH47" s="61" t="str">
        <f t="shared" si="16"/>
        <v/>
      </c>
      <c r="AI47" s="61" t="str">
        <f t="shared" si="17"/>
        <v/>
      </c>
      <c r="AJ47" s="61" t="str">
        <f t="shared" si="18"/>
        <v/>
      </c>
      <c r="AK47" s="61" t="str">
        <f t="shared" si="19"/>
        <v/>
      </c>
    </row>
    <row r="48" spans="1:37" ht="15" customHeight="1" x14ac:dyDescent="0.2">
      <c r="A48" s="59"/>
      <c r="B48" s="59"/>
      <c r="C48" s="59"/>
      <c r="D48" s="59"/>
      <c r="E48" s="59"/>
      <c r="F48" s="59"/>
      <c r="G48" s="59"/>
      <c r="H48" s="59"/>
      <c r="I48" s="59"/>
      <c r="J48" s="59"/>
      <c r="K48" s="59"/>
      <c r="L48" s="59"/>
      <c r="M48" s="59"/>
      <c r="N48" s="50" t="str">
        <f t="shared" si="10"/>
        <v/>
      </c>
      <c r="O48" s="61" t="str">
        <f t="shared" si="11"/>
        <v/>
      </c>
      <c r="P48" s="59"/>
      <c r="Q48" s="59"/>
      <c r="R48" s="59"/>
      <c r="S48" s="59"/>
      <c r="T48" s="59"/>
      <c r="U48" s="59"/>
      <c r="V48" s="59"/>
      <c r="W48" s="59"/>
      <c r="X48" s="50" t="str">
        <f t="shared" si="12"/>
        <v/>
      </c>
      <c r="Y48" s="59"/>
      <c r="Z48" s="59"/>
      <c r="AA48" s="59"/>
      <c r="AB48" s="59"/>
      <c r="AC48" s="59"/>
      <c r="AD48" s="59"/>
      <c r="AE48" s="50" t="str">
        <f t="shared" si="13"/>
        <v/>
      </c>
      <c r="AF48" s="61" t="str">
        <f t="shared" si="14"/>
        <v/>
      </c>
      <c r="AG48" s="61" t="str">
        <f t="shared" si="15"/>
        <v/>
      </c>
      <c r="AH48" s="61" t="str">
        <f t="shared" si="16"/>
        <v/>
      </c>
      <c r="AI48" s="61" t="str">
        <f t="shared" si="17"/>
        <v/>
      </c>
      <c r="AJ48" s="61" t="str">
        <f t="shared" si="18"/>
        <v/>
      </c>
      <c r="AK48" s="61" t="str">
        <f t="shared" si="19"/>
        <v/>
      </c>
    </row>
    <row r="49" spans="1:37" ht="15" customHeight="1" x14ac:dyDescent="0.2">
      <c r="A49" s="59"/>
      <c r="B49" s="59"/>
      <c r="C49" s="59"/>
      <c r="D49" s="59"/>
      <c r="E49" s="59"/>
      <c r="F49" s="59"/>
      <c r="G49" s="59"/>
      <c r="H49" s="59"/>
      <c r="I49" s="59"/>
      <c r="J49" s="59"/>
      <c r="K49" s="59"/>
      <c r="L49" s="59"/>
      <c r="M49" s="59"/>
      <c r="N49" s="50" t="str">
        <f t="shared" si="10"/>
        <v/>
      </c>
      <c r="O49" s="61" t="str">
        <f t="shared" si="11"/>
        <v/>
      </c>
      <c r="P49" s="59"/>
      <c r="Q49" s="59"/>
      <c r="R49" s="59"/>
      <c r="S49" s="59"/>
      <c r="T49" s="59"/>
      <c r="U49" s="59"/>
      <c r="V49" s="59"/>
      <c r="W49" s="59"/>
      <c r="X49" s="50" t="str">
        <f t="shared" si="12"/>
        <v/>
      </c>
      <c r="Y49" s="59"/>
      <c r="Z49" s="59"/>
      <c r="AA49" s="59"/>
      <c r="AB49" s="59"/>
      <c r="AC49" s="59"/>
      <c r="AD49" s="59"/>
      <c r="AE49" s="50" t="str">
        <f t="shared" si="13"/>
        <v/>
      </c>
      <c r="AF49" s="61" t="str">
        <f t="shared" si="14"/>
        <v/>
      </c>
      <c r="AG49" s="61" t="str">
        <f t="shared" si="15"/>
        <v/>
      </c>
      <c r="AH49" s="61" t="str">
        <f t="shared" si="16"/>
        <v/>
      </c>
      <c r="AI49" s="61" t="str">
        <f t="shared" si="17"/>
        <v/>
      </c>
      <c r="AJ49" s="61" t="str">
        <f t="shared" si="18"/>
        <v/>
      </c>
      <c r="AK49" s="61" t="str">
        <f t="shared" si="19"/>
        <v/>
      </c>
    </row>
    <row r="50" spans="1:37" ht="15" customHeight="1" x14ac:dyDescent="0.2">
      <c r="A50" s="59"/>
      <c r="B50" s="59"/>
      <c r="C50" s="59"/>
      <c r="D50" s="59"/>
      <c r="E50" s="59"/>
      <c r="F50" s="59"/>
      <c r="G50" s="59"/>
      <c r="H50" s="59"/>
      <c r="I50" s="59"/>
      <c r="J50" s="59"/>
      <c r="K50" s="59"/>
      <c r="L50" s="59"/>
      <c r="M50" s="59"/>
      <c r="N50" s="50" t="str">
        <f t="shared" si="10"/>
        <v/>
      </c>
      <c r="O50" s="61" t="str">
        <f t="shared" si="11"/>
        <v/>
      </c>
      <c r="P50" s="59"/>
      <c r="Q50" s="59"/>
      <c r="R50" s="59"/>
      <c r="S50" s="59"/>
      <c r="T50" s="59"/>
      <c r="U50" s="59"/>
      <c r="V50" s="59"/>
      <c r="W50" s="59"/>
      <c r="X50" s="50" t="str">
        <f t="shared" si="12"/>
        <v/>
      </c>
      <c r="Y50" s="59"/>
      <c r="Z50" s="59"/>
      <c r="AA50" s="59"/>
      <c r="AB50" s="59"/>
      <c r="AC50" s="59"/>
      <c r="AD50" s="59"/>
      <c r="AE50" s="50" t="str">
        <f t="shared" si="13"/>
        <v/>
      </c>
      <c r="AF50" s="61" t="str">
        <f t="shared" si="14"/>
        <v/>
      </c>
      <c r="AG50" s="61" t="str">
        <f t="shared" si="15"/>
        <v/>
      </c>
      <c r="AH50" s="61" t="str">
        <f t="shared" si="16"/>
        <v/>
      </c>
      <c r="AI50" s="61" t="str">
        <f t="shared" si="17"/>
        <v/>
      </c>
      <c r="AJ50" s="61" t="str">
        <f t="shared" si="18"/>
        <v/>
      </c>
      <c r="AK50" s="61" t="str">
        <f t="shared" si="19"/>
        <v/>
      </c>
    </row>
    <row r="51" spans="1:37" ht="15" customHeight="1" x14ac:dyDescent="0.2">
      <c r="A51" s="59"/>
      <c r="B51" s="59"/>
      <c r="C51" s="59"/>
      <c r="D51" s="59"/>
      <c r="E51" s="59"/>
      <c r="F51" s="59"/>
      <c r="G51" s="59"/>
      <c r="H51" s="59"/>
      <c r="I51" s="59"/>
      <c r="J51" s="59"/>
      <c r="K51" s="59"/>
      <c r="L51" s="59"/>
      <c r="M51" s="59"/>
      <c r="N51" s="50" t="str">
        <f t="shared" si="10"/>
        <v/>
      </c>
      <c r="O51" s="61" t="str">
        <f t="shared" si="11"/>
        <v/>
      </c>
      <c r="P51" s="59"/>
      <c r="Q51" s="59"/>
      <c r="R51" s="59"/>
      <c r="S51" s="59"/>
      <c r="T51" s="59"/>
      <c r="U51" s="59"/>
      <c r="V51" s="59"/>
      <c r="W51" s="59"/>
      <c r="X51" s="50" t="str">
        <f t="shared" si="12"/>
        <v/>
      </c>
      <c r="Y51" s="59"/>
      <c r="Z51" s="59"/>
      <c r="AA51" s="59"/>
      <c r="AB51" s="59"/>
      <c r="AC51" s="59"/>
      <c r="AD51" s="59"/>
      <c r="AE51" s="50" t="str">
        <f t="shared" si="13"/>
        <v/>
      </c>
      <c r="AF51" s="61" t="str">
        <f t="shared" si="14"/>
        <v/>
      </c>
      <c r="AG51" s="61" t="str">
        <f t="shared" si="15"/>
        <v/>
      </c>
      <c r="AH51" s="61" t="str">
        <f t="shared" si="16"/>
        <v/>
      </c>
      <c r="AI51" s="61" t="str">
        <f t="shared" si="17"/>
        <v/>
      </c>
      <c r="AJ51" s="61" t="str">
        <f t="shared" si="18"/>
        <v/>
      </c>
      <c r="AK51" s="61" t="str">
        <f t="shared" si="19"/>
        <v/>
      </c>
    </row>
    <row r="52" spans="1:37" ht="15" customHeight="1" x14ac:dyDescent="0.2">
      <c r="A52" s="59"/>
      <c r="B52" s="59"/>
      <c r="C52" s="59"/>
      <c r="D52" s="59"/>
      <c r="E52" s="59"/>
      <c r="F52" s="59"/>
      <c r="G52" s="59"/>
      <c r="H52" s="59"/>
      <c r="I52" s="59"/>
      <c r="J52" s="59"/>
      <c r="K52" s="59"/>
      <c r="L52" s="59"/>
      <c r="M52" s="59"/>
      <c r="N52" s="50" t="str">
        <f t="shared" si="10"/>
        <v/>
      </c>
      <c r="O52" s="61" t="str">
        <f t="shared" si="11"/>
        <v/>
      </c>
      <c r="P52" s="59"/>
      <c r="Q52" s="59"/>
      <c r="R52" s="59"/>
      <c r="S52" s="59"/>
      <c r="T52" s="59"/>
      <c r="U52" s="59"/>
      <c r="V52" s="59"/>
      <c r="W52" s="59"/>
      <c r="X52" s="50" t="str">
        <f t="shared" si="12"/>
        <v/>
      </c>
      <c r="Y52" s="59"/>
      <c r="Z52" s="59"/>
      <c r="AA52" s="59"/>
      <c r="AB52" s="59"/>
      <c r="AC52" s="59"/>
      <c r="AD52" s="59"/>
      <c r="AE52" s="50" t="str">
        <f t="shared" si="13"/>
        <v/>
      </c>
      <c r="AF52" s="61" t="str">
        <f t="shared" si="14"/>
        <v/>
      </c>
      <c r="AG52" s="61" t="str">
        <f t="shared" si="15"/>
        <v/>
      </c>
      <c r="AH52" s="61" t="str">
        <f t="shared" si="16"/>
        <v/>
      </c>
      <c r="AI52" s="61" t="str">
        <f t="shared" si="17"/>
        <v/>
      </c>
      <c r="AJ52" s="61" t="str">
        <f t="shared" si="18"/>
        <v/>
      </c>
      <c r="AK52" s="61" t="str">
        <f t="shared" si="19"/>
        <v/>
      </c>
    </row>
    <row r="53" spans="1:37" ht="15" customHeight="1" x14ac:dyDescent="0.2">
      <c r="A53" s="59"/>
      <c r="B53" s="59"/>
      <c r="C53" s="59"/>
      <c r="D53" s="59"/>
      <c r="E53" s="59"/>
      <c r="F53" s="59"/>
      <c r="G53" s="59"/>
      <c r="H53" s="59"/>
      <c r="I53" s="59"/>
      <c r="J53" s="59"/>
      <c r="K53" s="59"/>
      <c r="L53" s="59"/>
      <c r="M53" s="59"/>
      <c r="N53" s="50" t="str">
        <f t="shared" si="10"/>
        <v/>
      </c>
      <c r="O53" s="61" t="str">
        <f t="shared" si="11"/>
        <v/>
      </c>
      <c r="P53" s="59"/>
      <c r="Q53" s="59"/>
      <c r="R53" s="59"/>
      <c r="S53" s="59"/>
      <c r="T53" s="59"/>
      <c r="U53" s="59"/>
      <c r="V53" s="59"/>
      <c r="W53" s="59"/>
      <c r="X53" s="50" t="str">
        <f t="shared" si="12"/>
        <v/>
      </c>
      <c r="Y53" s="59"/>
      <c r="Z53" s="59"/>
      <c r="AA53" s="59"/>
      <c r="AB53" s="59"/>
      <c r="AC53" s="59"/>
      <c r="AD53" s="59"/>
      <c r="AE53" s="50" t="str">
        <f t="shared" si="13"/>
        <v/>
      </c>
      <c r="AF53" s="61" t="str">
        <f t="shared" si="14"/>
        <v/>
      </c>
      <c r="AG53" s="61" t="str">
        <f t="shared" si="15"/>
        <v/>
      </c>
      <c r="AH53" s="61" t="str">
        <f t="shared" si="16"/>
        <v/>
      </c>
      <c r="AI53" s="61" t="str">
        <f t="shared" si="17"/>
        <v/>
      </c>
      <c r="AJ53" s="61" t="str">
        <f t="shared" si="18"/>
        <v/>
      </c>
      <c r="AK53" s="61" t="str">
        <f t="shared" si="19"/>
        <v/>
      </c>
    </row>
    <row r="54" spans="1:37" ht="15" customHeight="1" x14ac:dyDescent="0.2">
      <c r="A54" s="59"/>
      <c r="B54" s="59"/>
      <c r="C54" s="59"/>
      <c r="D54" s="59"/>
      <c r="E54" s="59"/>
      <c r="F54" s="59"/>
      <c r="G54" s="59"/>
      <c r="H54" s="59"/>
      <c r="I54" s="59"/>
      <c r="J54" s="59"/>
      <c r="K54" s="59"/>
      <c r="L54" s="59"/>
      <c r="M54" s="59"/>
      <c r="N54" s="50" t="str">
        <f t="shared" si="10"/>
        <v/>
      </c>
      <c r="O54" s="61" t="str">
        <f t="shared" si="11"/>
        <v/>
      </c>
      <c r="P54" s="59"/>
      <c r="Q54" s="59"/>
      <c r="R54" s="59"/>
      <c r="S54" s="59"/>
      <c r="T54" s="59"/>
      <c r="U54" s="59"/>
      <c r="V54" s="59"/>
      <c r="W54" s="59"/>
      <c r="X54" s="50" t="str">
        <f t="shared" si="12"/>
        <v/>
      </c>
      <c r="Y54" s="59"/>
      <c r="Z54" s="59"/>
      <c r="AA54" s="59"/>
      <c r="AB54" s="59"/>
      <c r="AC54" s="59"/>
      <c r="AD54" s="59"/>
      <c r="AE54" s="50" t="str">
        <f t="shared" si="13"/>
        <v/>
      </c>
      <c r="AF54" s="61" t="str">
        <f t="shared" si="14"/>
        <v/>
      </c>
      <c r="AG54" s="61" t="str">
        <f t="shared" si="15"/>
        <v/>
      </c>
      <c r="AH54" s="61" t="str">
        <f t="shared" si="16"/>
        <v/>
      </c>
      <c r="AI54" s="61" t="str">
        <f t="shared" si="17"/>
        <v/>
      </c>
      <c r="AJ54" s="61" t="str">
        <f t="shared" si="18"/>
        <v/>
      </c>
      <c r="AK54" s="61" t="str">
        <f t="shared" si="19"/>
        <v/>
      </c>
    </row>
    <row r="55" spans="1:37" ht="15" customHeight="1" x14ac:dyDescent="0.2">
      <c r="A55" s="59"/>
      <c r="B55" s="59"/>
      <c r="C55" s="59"/>
      <c r="D55" s="59"/>
      <c r="E55" s="59"/>
      <c r="F55" s="59"/>
      <c r="G55" s="59"/>
      <c r="H55" s="59"/>
      <c r="I55" s="59"/>
      <c r="J55" s="59"/>
      <c r="K55" s="59"/>
      <c r="L55" s="59"/>
      <c r="M55" s="59"/>
      <c r="N55" s="50" t="str">
        <f t="shared" si="10"/>
        <v/>
      </c>
      <c r="O55" s="61" t="str">
        <f t="shared" si="11"/>
        <v/>
      </c>
      <c r="P55" s="59"/>
      <c r="Q55" s="59"/>
      <c r="R55" s="59"/>
      <c r="S55" s="59"/>
      <c r="T55" s="59"/>
      <c r="U55" s="59"/>
      <c r="V55" s="59"/>
      <c r="W55" s="59"/>
      <c r="X55" s="50" t="str">
        <f t="shared" si="12"/>
        <v/>
      </c>
      <c r="Y55" s="59"/>
      <c r="Z55" s="59"/>
      <c r="AA55" s="59"/>
      <c r="AB55" s="59"/>
      <c r="AC55" s="59"/>
      <c r="AD55" s="59"/>
      <c r="AE55" s="50" t="str">
        <f t="shared" si="13"/>
        <v/>
      </c>
      <c r="AF55" s="61" t="str">
        <f t="shared" si="14"/>
        <v/>
      </c>
      <c r="AG55" s="61" t="str">
        <f t="shared" si="15"/>
        <v/>
      </c>
      <c r="AH55" s="61" t="str">
        <f t="shared" si="16"/>
        <v/>
      </c>
      <c r="AI55" s="61" t="str">
        <f t="shared" si="17"/>
        <v/>
      </c>
      <c r="AJ55" s="61" t="str">
        <f t="shared" si="18"/>
        <v/>
      </c>
      <c r="AK55" s="61" t="str">
        <f t="shared" si="19"/>
        <v/>
      </c>
    </row>
    <row r="56" spans="1:37" ht="15" customHeight="1" x14ac:dyDescent="0.2">
      <c r="A56" s="59"/>
      <c r="B56" s="59"/>
      <c r="C56" s="59"/>
      <c r="D56" s="59"/>
      <c r="E56" s="59"/>
      <c r="F56" s="59"/>
      <c r="G56" s="59"/>
      <c r="H56" s="59"/>
      <c r="I56" s="59"/>
      <c r="J56" s="59"/>
      <c r="K56" s="59"/>
      <c r="L56" s="59"/>
      <c r="M56" s="59"/>
      <c r="N56" s="50" t="str">
        <f t="shared" si="10"/>
        <v/>
      </c>
      <c r="O56" s="61" t="str">
        <f t="shared" si="11"/>
        <v/>
      </c>
      <c r="P56" s="59"/>
      <c r="Q56" s="59"/>
      <c r="R56" s="59"/>
      <c r="S56" s="59"/>
      <c r="T56" s="59"/>
      <c r="U56" s="59"/>
      <c r="V56" s="59"/>
      <c r="W56" s="59"/>
      <c r="X56" s="50" t="str">
        <f t="shared" si="12"/>
        <v/>
      </c>
      <c r="Y56" s="59"/>
      <c r="Z56" s="59"/>
      <c r="AA56" s="59"/>
      <c r="AB56" s="59"/>
      <c r="AC56" s="59"/>
      <c r="AD56" s="59"/>
      <c r="AE56" s="50" t="str">
        <f t="shared" si="13"/>
        <v/>
      </c>
      <c r="AF56" s="61" t="str">
        <f t="shared" si="14"/>
        <v/>
      </c>
      <c r="AG56" s="61" t="str">
        <f t="shared" si="15"/>
        <v/>
      </c>
      <c r="AH56" s="61" t="str">
        <f t="shared" si="16"/>
        <v/>
      </c>
      <c r="AI56" s="61" t="str">
        <f t="shared" si="17"/>
        <v/>
      </c>
      <c r="AJ56" s="61" t="str">
        <f t="shared" si="18"/>
        <v/>
      </c>
      <c r="AK56" s="61" t="str">
        <f t="shared" si="19"/>
        <v/>
      </c>
    </row>
    <row r="57" spans="1:37" ht="15" customHeight="1" x14ac:dyDescent="0.2">
      <c r="A57" s="59"/>
      <c r="B57" s="59"/>
      <c r="C57" s="59"/>
      <c r="D57" s="59"/>
      <c r="E57" s="59"/>
      <c r="F57" s="59"/>
      <c r="G57" s="59"/>
      <c r="H57" s="59"/>
      <c r="I57" s="59"/>
      <c r="J57" s="59"/>
      <c r="K57" s="59"/>
      <c r="L57" s="59"/>
      <c r="M57" s="59"/>
      <c r="N57" s="50" t="str">
        <f t="shared" si="10"/>
        <v/>
      </c>
      <c r="O57" s="61" t="str">
        <f t="shared" si="11"/>
        <v/>
      </c>
      <c r="P57" s="59"/>
      <c r="Q57" s="59"/>
      <c r="R57" s="59"/>
      <c r="S57" s="59"/>
      <c r="T57" s="59"/>
      <c r="U57" s="59"/>
      <c r="V57" s="59"/>
      <c r="W57" s="59"/>
      <c r="X57" s="50" t="str">
        <f t="shared" si="12"/>
        <v/>
      </c>
      <c r="Y57" s="59"/>
      <c r="Z57" s="59"/>
      <c r="AA57" s="59"/>
      <c r="AB57" s="59"/>
      <c r="AC57" s="59"/>
      <c r="AD57" s="59"/>
      <c r="AE57" s="50" t="str">
        <f t="shared" si="13"/>
        <v/>
      </c>
      <c r="AF57" s="61" t="str">
        <f t="shared" si="14"/>
        <v/>
      </c>
      <c r="AG57" s="61" t="str">
        <f t="shared" si="15"/>
        <v/>
      </c>
      <c r="AH57" s="61" t="str">
        <f t="shared" si="16"/>
        <v/>
      </c>
      <c r="AI57" s="61" t="str">
        <f t="shared" si="17"/>
        <v/>
      </c>
      <c r="AJ57" s="61" t="str">
        <f t="shared" si="18"/>
        <v/>
      </c>
      <c r="AK57" s="61" t="str">
        <f t="shared" si="19"/>
        <v/>
      </c>
    </row>
    <row r="58" spans="1:37" ht="15" customHeight="1" x14ac:dyDescent="0.2">
      <c r="A58" s="59"/>
      <c r="B58" s="59"/>
      <c r="C58" s="59"/>
      <c r="D58" s="59"/>
      <c r="E58" s="59"/>
      <c r="F58" s="59"/>
      <c r="G58" s="59"/>
      <c r="H58" s="59"/>
      <c r="I58" s="59"/>
      <c r="J58" s="59"/>
      <c r="K58" s="59"/>
      <c r="L58" s="59"/>
      <c r="M58" s="59"/>
      <c r="N58" s="50" t="str">
        <f t="shared" si="10"/>
        <v/>
      </c>
      <c r="O58" s="61" t="str">
        <f t="shared" si="11"/>
        <v/>
      </c>
      <c r="P58" s="59"/>
      <c r="Q58" s="59"/>
      <c r="R58" s="59"/>
      <c r="S58" s="59"/>
      <c r="T58" s="59"/>
      <c r="U58" s="59"/>
      <c r="V58" s="59"/>
      <c r="W58" s="59"/>
      <c r="X58" s="50" t="str">
        <f t="shared" si="12"/>
        <v/>
      </c>
      <c r="Y58" s="59"/>
      <c r="Z58" s="59"/>
      <c r="AA58" s="59"/>
      <c r="AB58" s="59"/>
      <c r="AC58" s="59"/>
      <c r="AD58" s="59"/>
      <c r="AE58" s="50" t="str">
        <f t="shared" si="13"/>
        <v/>
      </c>
      <c r="AF58" s="61" t="str">
        <f t="shared" si="14"/>
        <v/>
      </c>
      <c r="AG58" s="61" t="str">
        <f t="shared" si="15"/>
        <v/>
      </c>
      <c r="AH58" s="61" t="str">
        <f t="shared" si="16"/>
        <v/>
      </c>
      <c r="AI58" s="61" t="str">
        <f t="shared" si="17"/>
        <v/>
      </c>
      <c r="AJ58" s="61" t="str">
        <f t="shared" si="18"/>
        <v/>
      </c>
      <c r="AK58" s="61" t="str">
        <f t="shared" si="19"/>
        <v/>
      </c>
    </row>
    <row r="59" spans="1:37" ht="15" customHeight="1" x14ac:dyDescent="0.2">
      <c r="A59" s="59"/>
      <c r="B59" s="59"/>
      <c r="C59" s="59"/>
      <c r="D59" s="59"/>
      <c r="E59" s="59"/>
      <c r="F59" s="59"/>
      <c r="G59" s="59"/>
      <c r="H59" s="59"/>
      <c r="I59" s="59"/>
      <c r="J59" s="59"/>
      <c r="K59" s="59"/>
      <c r="L59" s="59"/>
      <c r="M59" s="59"/>
      <c r="N59" s="50" t="str">
        <f t="shared" si="10"/>
        <v/>
      </c>
      <c r="O59" s="61" t="str">
        <f t="shared" si="11"/>
        <v/>
      </c>
      <c r="P59" s="59"/>
      <c r="Q59" s="59"/>
      <c r="R59" s="59"/>
      <c r="S59" s="59"/>
      <c r="T59" s="59"/>
      <c r="U59" s="59"/>
      <c r="V59" s="59"/>
      <c r="W59" s="59"/>
      <c r="X59" s="50" t="str">
        <f t="shared" si="12"/>
        <v/>
      </c>
      <c r="Y59" s="59"/>
      <c r="Z59" s="59"/>
      <c r="AA59" s="59"/>
      <c r="AB59" s="59"/>
      <c r="AC59" s="59"/>
      <c r="AD59" s="59"/>
      <c r="AE59" s="50" t="str">
        <f t="shared" si="13"/>
        <v/>
      </c>
      <c r="AF59" s="61" t="str">
        <f t="shared" si="14"/>
        <v/>
      </c>
      <c r="AG59" s="61" t="str">
        <f t="shared" si="15"/>
        <v/>
      </c>
      <c r="AH59" s="61" t="str">
        <f t="shared" si="16"/>
        <v/>
      </c>
      <c r="AI59" s="61" t="str">
        <f t="shared" si="17"/>
        <v/>
      </c>
      <c r="AJ59" s="61" t="str">
        <f t="shared" si="18"/>
        <v/>
      </c>
      <c r="AK59" s="61" t="str">
        <f t="shared" si="19"/>
        <v/>
      </c>
    </row>
    <row r="60" spans="1:37" ht="15" customHeight="1" x14ac:dyDescent="0.2">
      <c r="A60" s="59"/>
      <c r="B60" s="59"/>
      <c r="C60" s="59"/>
      <c r="D60" s="59"/>
      <c r="E60" s="59"/>
      <c r="F60" s="59"/>
      <c r="G60" s="59"/>
      <c r="H60" s="59"/>
      <c r="I60" s="59"/>
      <c r="J60" s="59"/>
      <c r="K60" s="59"/>
      <c r="L60" s="59"/>
      <c r="M60" s="59"/>
      <c r="N60" s="50" t="str">
        <f t="shared" si="10"/>
        <v/>
      </c>
      <c r="O60" s="61" t="str">
        <f t="shared" si="11"/>
        <v/>
      </c>
      <c r="P60" s="59"/>
      <c r="Q60" s="59"/>
      <c r="R60" s="59"/>
      <c r="S60" s="59"/>
      <c r="T60" s="59"/>
      <c r="U60" s="59"/>
      <c r="V60" s="59"/>
      <c r="W60" s="59"/>
      <c r="X60" s="50" t="str">
        <f t="shared" si="12"/>
        <v/>
      </c>
      <c r="Y60" s="59"/>
      <c r="Z60" s="59"/>
      <c r="AA60" s="59"/>
      <c r="AB60" s="59"/>
      <c r="AC60" s="59"/>
      <c r="AD60" s="59"/>
      <c r="AE60" s="50" t="str">
        <f t="shared" si="13"/>
        <v/>
      </c>
      <c r="AF60" s="61" t="str">
        <f t="shared" si="14"/>
        <v/>
      </c>
      <c r="AG60" s="61" t="str">
        <f t="shared" si="15"/>
        <v/>
      </c>
      <c r="AH60" s="61" t="str">
        <f t="shared" si="16"/>
        <v/>
      </c>
      <c r="AI60" s="61" t="str">
        <f t="shared" si="17"/>
        <v/>
      </c>
      <c r="AJ60" s="61" t="str">
        <f t="shared" si="18"/>
        <v/>
      </c>
      <c r="AK60" s="61" t="str">
        <f t="shared" si="19"/>
        <v/>
      </c>
    </row>
  </sheetData>
  <mergeCells count="4">
    <mergeCell ref="D1:O1"/>
    <mergeCell ref="P1:X1"/>
    <mergeCell ref="Y1:AE1"/>
    <mergeCell ref="AH1:AK1"/>
  </mergeCells>
  <conditionalFormatting sqref="AG3:AG60">
    <cfRule type="cellIs" dxfId="60" priority="2" operator="equal">
      <formula>"STRONG BUY"</formula>
    </cfRule>
    <cfRule type="cellIs" dxfId="59" priority="3" operator="equal">
      <formula>"BUY"</formula>
    </cfRule>
    <cfRule type="cellIs" dxfId="58" priority="4" operator="equal">
      <formula>"WATCH LIST"</formula>
    </cfRule>
    <cfRule type="cellIs" dxfId="57" priority="5" operator="equal">
      <formula>"AVOID"</formula>
    </cfRule>
    <cfRule type="cellIs" dxfId="56" priority="6" operator="equal">
      <formula>"PASS"</formula>
    </cfRule>
  </conditionalFormatting>
  <conditionalFormatting sqref="AH3:AH60">
    <cfRule type="cellIs" dxfId="55" priority="7" operator="equal">
      <formula>"FAIL"</formula>
    </cfRule>
    <cfRule type="cellIs" dxfId="54" priority="8" operator="equal">
      <formula>"OK"</formula>
    </cfRule>
  </conditionalFormatting>
  <conditionalFormatting sqref="AI3:AI60">
    <cfRule type="cellIs" dxfId="53" priority="11" operator="equal">
      <formula>"REVIEW"</formula>
    </cfRule>
  </conditionalFormatting>
  <conditionalFormatting sqref="AJ3:AJ60">
    <cfRule type="cellIs" dxfId="52" priority="9" operator="equal">
      <formula>"AVOID"</formula>
    </cfRule>
    <cfRule type="cellIs" dxfId="51" priority="10" operator="equal">
      <formula>"OK"</formula>
    </cfRule>
  </conditionalFormatting>
  <conditionalFormatting sqref="AK3:AK60">
    <cfRule type="cellIs" dxfId="50" priority="12" operator="equal">
      <formula>"CAP AT BUY"</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7"/>
  <sheetViews>
    <sheetView showGridLines="0" zoomScaleNormal="100" workbookViewId="0">
      <pane xSplit="2" ySplit="2" topLeftCell="C3" activePane="bottomRight" state="frozen"/>
      <selection pane="topRight" activeCell="C1" sqref="C1"/>
      <selection pane="bottomLeft" activeCell="A3" sqref="A3"/>
      <selection pane="bottomRight"/>
    </sheetView>
  </sheetViews>
  <sheetFormatPr baseColWidth="10" defaultColWidth="8.6640625" defaultRowHeight="15" x14ac:dyDescent="0.2"/>
  <cols>
    <col min="1" max="1" width="8" customWidth="1"/>
    <col min="2" max="2" width="16" customWidth="1"/>
    <col min="3" max="5" width="9" customWidth="1"/>
    <col min="6" max="7" width="11" customWidth="1"/>
    <col min="8" max="8" width="13" customWidth="1"/>
    <col min="9" max="9" width="10" customWidth="1"/>
    <col min="10" max="10" width="9" customWidth="1"/>
    <col min="11" max="11" width="10" customWidth="1"/>
    <col min="12" max="14" width="9" customWidth="1"/>
    <col min="15" max="15" width="10" customWidth="1"/>
    <col min="16" max="17" width="11" customWidth="1"/>
    <col min="18" max="18" width="28" customWidth="1"/>
  </cols>
  <sheetData>
    <row r="1" spans="1:18" ht="25.5" customHeight="1" x14ac:dyDescent="0.2">
      <c r="A1" s="6" t="s">
        <v>246</v>
      </c>
      <c r="B1" s="6"/>
      <c r="C1" s="6"/>
      <c r="D1" s="6"/>
      <c r="E1" s="6"/>
      <c r="F1" s="6"/>
      <c r="G1" s="6"/>
      <c r="H1" s="6"/>
      <c r="I1" s="6"/>
      <c r="J1" s="6"/>
      <c r="K1" s="6"/>
      <c r="L1" s="6"/>
      <c r="M1" s="6"/>
      <c r="N1" s="6"/>
      <c r="O1" s="6"/>
      <c r="P1" s="6"/>
      <c r="Q1" s="6"/>
      <c r="R1" s="6"/>
    </row>
    <row r="2" spans="1:18" ht="39.75" customHeight="1" x14ac:dyDescent="0.2">
      <c r="A2" s="22" t="s">
        <v>57</v>
      </c>
      <c r="B2" s="22" t="s">
        <v>168</v>
      </c>
      <c r="C2" s="22" t="s">
        <v>247</v>
      </c>
      <c r="D2" s="22" t="s">
        <v>248</v>
      </c>
      <c r="E2" s="22" t="s">
        <v>249</v>
      </c>
      <c r="F2" s="22" t="s">
        <v>250</v>
      </c>
      <c r="G2" s="22" t="s">
        <v>251</v>
      </c>
      <c r="H2" s="22" t="s">
        <v>252</v>
      </c>
      <c r="I2" s="22" t="s">
        <v>253</v>
      </c>
      <c r="J2" s="22" t="s">
        <v>254</v>
      </c>
      <c r="K2" s="22" t="s">
        <v>255</v>
      </c>
      <c r="L2" s="22" t="s">
        <v>256</v>
      </c>
      <c r="M2" s="22" t="s">
        <v>257</v>
      </c>
      <c r="N2" s="22" t="s">
        <v>258</v>
      </c>
      <c r="O2" s="22" t="s">
        <v>259</v>
      </c>
      <c r="P2" s="22" t="s">
        <v>260</v>
      </c>
      <c r="Q2" s="22" t="s">
        <v>261</v>
      </c>
      <c r="R2" s="22" t="s">
        <v>262</v>
      </c>
    </row>
    <row r="3" spans="1:18" ht="15" customHeight="1" x14ac:dyDescent="0.2">
      <c r="A3" s="45" t="str">
        <f>IF(Scoring!A3="","",Scoring!A3)</f>
        <v>MU</v>
      </c>
      <c r="B3" s="62" t="str">
        <f>IF(Scoring!B3="","",Scoring!B3)</f>
        <v>Micron Technology</v>
      </c>
      <c r="C3" s="45" t="str">
        <f>IF(Scoring!AG3="","",IF(OR(Scoring!AG3="STRONG BUY",Scoring!AG3="BUY"),"PASS","FAIL"))</f>
        <v>PASS</v>
      </c>
      <c r="D3" s="45" t="str">
        <f>IF(Scoring!AH3="","",IF(Scoring!AH3="OK","PASS","FAIL"))</f>
        <v>PASS</v>
      </c>
      <c r="E3" s="45" t="str">
        <f>IF(Scoring!AI3="","",IF(Scoring!AI3="OK","PASS","FAIL — mandatory review required"))</f>
        <v>PASS</v>
      </c>
      <c r="F3" s="26"/>
      <c r="G3" s="26"/>
      <c r="H3" s="45" t="str">
        <f t="shared" ref="H3:H27" si="0">IF(OR(F3="",G3=""),"",IF(AND(F3="Y",G3="Y"),"Standard initial size","50% of normal initial size + 90-day technical review"))</f>
        <v/>
      </c>
      <c r="I3" s="26"/>
      <c r="J3" s="26"/>
      <c r="K3" s="45" t="str">
        <f t="shared" ref="K3:K27" si="1">IF(I3="","",IF(I3="N","PASS",IF(J3="Y","PASS — risk documented in thesis","FAIL — undocumented binary risk")))</f>
        <v/>
      </c>
      <c r="L3" s="45" t="str">
        <f>IF('Implied-Return Calculator'!T4="","",'Implied-Return Calculator'!T4)</f>
        <v/>
      </c>
      <c r="M3" s="45" t="str">
        <f>IF('Implied-Return Calculator'!U4="","",'Implied-Return Calculator'!U4)</f>
        <v/>
      </c>
      <c r="N3" s="63"/>
      <c r="O3" s="64"/>
      <c r="P3" s="45" t="str">
        <f t="shared" ref="P3:P27" si="2">IF(OR(N3="",O3=""),"",IF(N3&lt;=50,"PASS — within ceiling",IF(AND(O3&gt;0.3,L3="PASS"),"PASS — growth+bear case exception met","FAIL — exceeds 50x, exception not met")))</f>
        <v/>
      </c>
      <c r="Q3" s="45" t="str">
        <f t="shared" ref="Q3:Q27" si="3">IF(OR(C3="",D3="",E3="",K3="",L3="",M3="",P3=""),"",IF(AND(C3="PASS",D3="PASS",LEFT(E3,4)="PASS",LEFT(K3,4)="PASS",L3="PASS",M3="OK",LEFT(P3,4)="PASS"),"YES","NO — see failing rule(s)"))</f>
        <v/>
      </c>
      <c r="R3" s="45" t="str">
        <f t="shared" ref="R3:R27" si="4">IF(Q3="","",IF(Q3="YES","Initiate: "&amp;H3,"DO NOT ENTER — resolve failing Entry Rule(s) above first"))</f>
        <v/>
      </c>
    </row>
    <row r="4" spans="1:18" ht="15" customHeight="1" x14ac:dyDescent="0.2">
      <c r="A4" s="45" t="str">
        <f>IF(Scoring!A4="","",Scoring!A4)</f>
        <v>AVGO</v>
      </c>
      <c r="B4" s="62" t="str">
        <f>IF(Scoring!B4="","",Scoring!B4)</f>
        <v>Broadcom Inc.</v>
      </c>
      <c r="C4" s="45" t="str">
        <f>IF(Scoring!AG4="","",IF(OR(Scoring!AG4="STRONG BUY",Scoring!AG4="BUY"),"PASS","FAIL"))</f>
        <v>PASS</v>
      </c>
      <c r="D4" s="45" t="str">
        <f>IF(Scoring!AH4="","",IF(Scoring!AH4="OK","PASS","FAIL"))</f>
        <v>PASS</v>
      </c>
      <c r="E4" s="45" t="str">
        <f>IF(Scoring!AI4="","",IF(Scoring!AI4="OK","PASS","FAIL — mandatory review required"))</f>
        <v>PASS</v>
      </c>
      <c r="F4" s="26"/>
      <c r="G4" s="26"/>
      <c r="H4" s="45" t="str">
        <f t="shared" si="0"/>
        <v/>
      </c>
      <c r="I4" s="26"/>
      <c r="J4" s="26"/>
      <c r="K4" s="45" t="str">
        <f t="shared" si="1"/>
        <v/>
      </c>
      <c r="L4" s="45" t="str">
        <f>IF('Implied-Return Calculator'!T5="","",'Implied-Return Calculator'!T5)</f>
        <v/>
      </c>
      <c r="M4" s="45" t="str">
        <f>IF('Implied-Return Calculator'!U5="","",'Implied-Return Calculator'!U5)</f>
        <v/>
      </c>
      <c r="N4" s="63"/>
      <c r="O4" s="64"/>
      <c r="P4" s="45" t="str">
        <f t="shared" si="2"/>
        <v/>
      </c>
      <c r="Q4" s="45" t="str">
        <f t="shared" si="3"/>
        <v/>
      </c>
      <c r="R4" s="45" t="str">
        <f t="shared" si="4"/>
        <v/>
      </c>
    </row>
    <row r="5" spans="1:18" ht="15" customHeight="1" x14ac:dyDescent="0.2">
      <c r="A5" s="45" t="str">
        <f>IF(Scoring!A5="","",Scoring!A5)</f>
        <v>PLTR</v>
      </c>
      <c r="B5" s="62" t="str">
        <f>IF(Scoring!B5="","",Scoring!B5)</f>
        <v>Palantir Technologies</v>
      </c>
      <c r="C5" s="45" t="str">
        <f>IF(Scoring!AG5="","",IF(OR(Scoring!AG5="STRONG BUY",Scoring!AG5="BUY"),"PASS","FAIL"))</f>
        <v>PASS</v>
      </c>
      <c r="D5" s="45" t="str">
        <f>IF(Scoring!AH5="","",IF(Scoring!AH5="OK","PASS","FAIL"))</f>
        <v>PASS</v>
      </c>
      <c r="E5" s="45" t="str">
        <f>IF(Scoring!AI5="","",IF(Scoring!AI5="OK","PASS","FAIL — mandatory review required"))</f>
        <v>PASS</v>
      </c>
      <c r="F5" s="26"/>
      <c r="G5" s="26"/>
      <c r="H5" s="45" t="str">
        <f t="shared" si="0"/>
        <v/>
      </c>
      <c r="I5" s="26"/>
      <c r="J5" s="26"/>
      <c r="K5" s="45" t="str">
        <f t="shared" si="1"/>
        <v/>
      </c>
      <c r="L5" s="45" t="str">
        <f>IF('Implied-Return Calculator'!T6="","",'Implied-Return Calculator'!T6)</f>
        <v/>
      </c>
      <c r="M5" s="45" t="str">
        <f>IF('Implied-Return Calculator'!U6="","",'Implied-Return Calculator'!U6)</f>
        <v/>
      </c>
      <c r="N5" s="63"/>
      <c r="O5" s="64"/>
      <c r="P5" s="45" t="str">
        <f t="shared" si="2"/>
        <v/>
      </c>
      <c r="Q5" s="45" t="str">
        <f t="shared" si="3"/>
        <v/>
      </c>
      <c r="R5" s="45" t="str">
        <f t="shared" si="4"/>
        <v/>
      </c>
    </row>
    <row r="6" spans="1:18" ht="15" customHeight="1" x14ac:dyDescent="0.2">
      <c r="A6" s="45" t="str">
        <f>IF(Scoring!A6="","",Scoring!A6)</f>
        <v>NVDA</v>
      </c>
      <c r="B6" s="62" t="str">
        <f>IF(Scoring!B6="","",Scoring!B6)</f>
        <v>NVIDIA Corporation</v>
      </c>
      <c r="C6" s="45" t="str">
        <f>IF(Scoring!AG6="","",IF(OR(Scoring!AG6="STRONG BUY",Scoring!AG6="BUY"),"PASS","FAIL"))</f>
        <v>PASS</v>
      </c>
      <c r="D6" s="45" t="str">
        <f>IF(Scoring!AH6="","",IF(Scoring!AH6="OK","PASS","FAIL"))</f>
        <v>PASS</v>
      </c>
      <c r="E6" s="45" t="str">
        <f>IF(Scoring!AI6="","",IF(Scoring!AI6="OK","PASS","FAIL — mandatory review required"))</f>
        <v>PASS</v>
      </c>
      <c r="F6" s="26"/>
      <c r="G6" s="26"/>
      <c r="H6" s="45" t="str">
        <f t="shared" si="0"/>
        <v/>
      </c>
      <c r="I6" s="26"/>
      <c r="J6" s="26"/>
      <c r="K6" s="45" t="str">
        <f t="shared" si="1"/>
        <v/>
      </c>
      <c r="L6" s="45" t="str">
        <f>IF('Implied-Return Calculator'!T7="","",'Implied-Return Calculator'!T7)</f>
        <v/>
      </c>
      <c r="M6" s="45" t="str">
        <f>IF('Implied-Return Calculator'!U7="","",'Implied-Return Calculator'!U7)</f>
        <v/>
      </c>
      <c r="N6" s="63"/>
      <c r="O6" s="64"/>
      <c r="P6" s="45" t="str">
        <f t="shared" si="2"/>
        <v/>
      </c>
      <c r="Q6" s="45" t="str">
        <f t="shared" si="3"/>
        <v/>
      </c>
      <c r="R6" s="45" t="str">
        <f t="shared" si="4"/>
        <v/>
      </c>
    </row>
    <row r="7" spans="1:18" ht="15" customHeight="1" x14ac:dyDescent="0.2">
      <c r="A7" s="45" t="str">
        <f>IF(Scoring!A7="","",Scoring!A7)</f>
        <v>VRTX</v>
      </c>
      <c r="B7" s="62" t="str">
        <f>IF(Scoring!B7="","",Scoring!B7)</f>
        <v>Vertex Pharmaceuticals</v>
      </c>
      <c r="C7" s="45" t="str">
        <f>IF(Scoring!AG7="","",IF(OR(Scoring!AG7="STRONG BUY",Scoring!AG7="BUY"),"PASS","FAIL"))</f>
        <v>PASS</v>
      </c>
      <c r="D7" s="45" t="str">
        <f>IF(Scoring!AH7="","",IF(Scoring!AH7="OK","PASS","FAIL"))</f>
        <v>PASS</v>
      </c>
      <c r="E7" s="45" t="str">
        <f>IF(Scoring!AI7="","",IF(Scoring!AI7="OK","PASS","FAIL — mandatory review required"))</f>
        <v>PASS</v>
      </c>
      <c r="F7" s="26"/>
      <c r="G7" s="26"/>
      <c r="H7" s="45" t="str">
        <f t="shared" si="0"/>
        <v/>
      </c>
      <c r="I7" s="26"/>
      <c r="J7" s="26"/>
      <c r="K7" s="45" t="str">
        <f t="shared" si="1"/>
        <v/>
      </c>
      <c r="L7" s="45" t="str">
        <f>IF('Implied-Return Calculator'!T8="","",'Implied-Return Calculator'!T8)</f>
        <v/>
      </c>
      <c r="M7" s="45" t="str">
        <f>IF('Implied-Return Calculator'!U8="","",'Implied-Return Calculator'!U8)</f>
        <v/>
      </c>
      <c r="N7" s="63"/>
      <c r="O7" s="64"/>
      <c r="P7" s="45" t="str">
        <f t="shared" si="2"/>
        <v/>
      </c>
      <c r="Q7" s="45" t="str">
        <f t="shared" si="3"/>
        <v/>
      </c>
      <c r="R7" s="45" t="str">
        <f t="shared" si="4"/>
        <v/>
      </c>
    </row>
    <row r="8" spans="1:18" ht="15" customHeight="1" x14ac:dyDescent="0.2">
      <c r="A8" s="45" t="str">
        <f>IF(Scoring!A8="","",Scoring!A8)</f>
        <v>PLD</v>
      </c>
      <c r="B8" s="62" t="str">
        <f>IF(Scoring!B8="","",Scoring!B8)</f>
        <v>Prologis Inc. (REIT-adapted)</v>
      </c>
      <c r="C8" s="45" t="str">
        <f>IF(Scoring!AG8="","",IF(OR(Scoring!AG8="STRONG BUY",Scoring!AG8="BUY"),"PASS","FAIL"))</f>
        <v>PASS</v>
      </c>
      <c r="D8" s="45" t="str">
        <f>IF(Scoring!AH8="","",IF(Scoring!AH8="OK","PASS","FAIL"))</f>
        <v>PASS</v>
      </c>
      <c r="E8" s="45" t="str">
        <f>IF(Scoring!AI8="","",IF(Scoring!AI8="OK","PASS","FAIL — mandatory review required"))</f>
        <v>PASS</v>
      </c>
      <c r="F8" s="26"/>
      <c r="G8" s="26"/>
      <c r="H8" s="45" t="str">
        <f t="shared" si="0"/>
        <v/>
      </c>
      <c r="I8" s="26"/>
      <c r="J8" s="26"/>
      <c r="K8" s="45" t="str">
        <f t="shared" si="1"/>
        <v/>
      </c>
      <c r="L8" s="45" t="str">
        <f>IF('Implied-Return Calculator'!T9="","",'Implied-Return Calculator'!T9)</f>
        <v/>
      </c>
      <c r="M8" s="45" t="str">
        <f>IF('Implied-Return Calculator'!U9="","",'Implied-Return Calculator'!U9)</f>
        <v/>
      </c>
      <c r="N8" s="63"/>
      <c r="O8" s="64"/>
      <c r="P8" s="45" t="str">
        <f t="shared" si="2"/>
        <v/>
      </c>
      <c r="Q8" s="45" t="str">
        <f t="shared" si="3"/>
        <v/>
      </c>
      <c r="R8" s="45" t="str">
        <f t="shared" si="4"/>
        <v/>
      </c>
    </row>
    <row r="9" spans="1:18" ht="15" customHeight="1" x14ac:dyDescent="0.2">
      <c r="A9" s="45" t="str">
        <f>IF(Scoring!A9="","",Scoring!A9)</f>
        <v>SFM</v>
      </c>
      <c r="B9" s="62" t="str">
        <f>IF(Scoring!B9="","",Scoring!B9)</f>
        <v>Sprouts Farmers Market</v>
      </c>
      <c r="C9" s="45" t="str">
        <f>IF(Scoring!AG9="","",IF(OR(Scoring!AG9="STRONG BUY",Scoring!AG9="BUY"),"PASS","FAIL"))</f>
        <v/>
      </c>
      <c r="D9" s="45" t="str">
        <f>IF(Scoring!AH9="","",IF(Scoring!AH9="OK","PASS","FAIL"))</f>
        <v>FAIL</v>
      </c>
      <c r="E9" s="45" t="str">
        <f>IF(Scoring!AI9="","",IF(Scoring!AI9="OK","PASS","FAIL — mandatory review required"))</f>
        <v>FAIL — mandatory review required</v>
      </c>
      <c r="F9" s="26"/>
      <c r="G9" s="26"/>
      <c r="H9" s="45" t="str">
        <f t="shared" si="0"/>
        <v/>
      </c>
      <c r="I9" s="26"/>
      <c r="J9" s="26"/>
      <c r="K9" s="45" t="str">
        <f t="shared" si="1"/>
        <v/>
      </c>
      <c r="L9" s="45" t="str">
        <f>IF('Implied-Return Calculator'!T10="","",'Implied-Return Calculator'!T10)</f>
        <v/>
      </c>
      <c r="M9" s="45" t="str">
        <f>IF('Implied-Return Calculator'!U10="","",'Implied-Return Calculator'!U10)</f>
        <v/>
      </c>
      <c r="N9" s="63"/>
      <c r="O9" s="64"/>
      <c r="P9" s="45" t="str">
        <f t="shared" si="2"/>
        <v/>
      </c>
      <c r="Q9" s="45" t="str">
        <f t="shared" si="3"/>
        <v/>
      </c>
      <c r="R9" s="45" t="str">
        <f t="shared" si="4"/>
        <v/>
      </c>
    </row>
    <row r="10" spans="1:18" ht="15" customHeight="1" x14ac:dyDescent="0.2">
      <c r="A10" s="45" t="str">
        <f>IF(Scoring!A10="","",Scoring!A10)</f>
        <v>ONON</v>
      </c>
      <c r="B10" s="62" t="str">
        <f>IF(Scoring!B10="","",Scoring!B10)</f>
        <v>On Holding AG</v>
      </c>
      <c r="C10" s="45" t="str">
        <f>IF(Scoring!AG10="","",IF(OR(Scoring!AG10="STRONG BUY",Scoring!AG10="BUY"),"PASS","FAIL"))</f>
        <v/>
      </c>
      <c r="D10" s="45" t="str">
        <f>IF(Scoring!AH10="","",IF(Scoring!AH10="OK","PASS","FAIL"))</f>
        <v>FAIL</v>
      </c>
      <c r="E10" s="45" t="str">
        <f>IF(Scoring!AI10="","",IF(Scoring!AI10="OK","PASS","FAIL — mandatory review required"))</f>
        <v>PASS</v>
      </c>
      <c r="F10" s="26"/>
      <c r="G10" s="26"/>
      <c r="H10" s="45" t="str">
        <f t="shared" si="0"/>
        <v/>
      </c>
      <c r="I10" s="26"/>
      <c r="J10" s="26"/>
      <c r="K10" s="45" t="str">
        <f t="shared" si="1"/>
        <v/>
      </c>
      <c r="L10" s="45" t="str">
        <f>IF('Implied-Return Calculator'!T11="","",'Implied-Return Calculator'!T11)</f>
        <v/>
      </c>
      <c r="M10" s="45" t="str">
        <f>IF('Implied-Return Calculator'!U11="","",'Implied-Return Calculator'!U11)</f>
        <v/>
      </c>
      <c r="N10" s="63"/>
      <c r="O10" s="64"/>
      <c r="P10" s="45" t="str">
        <f t="shared" si="2"/>
        <v/>
      </c>
      <c r="Q10" s="45" t="str">
        <f t="shared" si="3"/>
        <v/>
      </c>
      <c r="R10" s="45" t="str">
        <f t="shared" si="4"/>
        <v/>
      </c>
    </row>
    <row r="11" spans="1:18" ht="15" customHeight="1" x14ac:dyDescent="0.2">
      <c r="A11" s="45" t="str">
        <f>IF(Scoring!A11="","",Scoring!A11)</f>
        <v>TSLA</v>
      </c>
      <c r="B11" s="62" t="str">
        <f>IF(Scoring!B11="","",Scoring!B11)</f>
        <v>Tesla Inc.</v>
      </c>
      <c r="C11" s="45" t="str">
        <f>IF(Scoring!AG11="","",IF(OR(Scoring!AG11="STRONG BUY",Scoring!AG11="BUY"),"PASS","FAIL"))</f>
        <v/>
      </c>
      <c r="D11" s="45" t="str">
        <f>IF(Scoring!AH11="","",IF(Scoring!AH11="OK","PASS","FAIL"))</f>
        <v>FAIL</v>
      </c>
      <c r="E11" s="45" t="str">
        <f>IF(Scoring!AI11="","",IF(Scoring!AI11="OK","PASS","FAIL — mandatory review required"))</f>
        <v>FAIL — mandatory review required</v>
      </c>
      <c r="F11" s="26"/>
      <c r="G11" s="26"/>
      <c r="H11" s="45" t="str">
        <f t="shared" si="0"/>
        <v/>
      </c>
      <c r="I11" s="26"/>
      <c r="J11" s="26"/>
      <c r="K11" s="45" t="str">
        <f t="shared" si="1"/>
        <v/>
      </c>
      <c r="L11" s="45" t="str">
        <f>IF('Implied-Return Calculator'!T12="","",'Implied-Return Calculator'!T12)</f>
        <v/>
      </c>
      <c r="M11" s="45" t="str">
        <f>IF('Implied-Return Calculator'!U12="","",'Implied-Return Calculator'!U12)</f>
        <v/>
      </c>
      <c r="N11" s="63"/>
      <c r="O11" s="64"/>
      <c r="P11" s="45" t="str">
        <f t="shared" si="2"/>
        <v/>
      </c>
      <c r="Q11" s="45" t="str">
        <f t="shared" si="3"/>
        <v/>
      </c>
      <c r="R11" s="45" t="str">
        <f t="shared" si="4"/>
        <v/>
      </c>
    </row>
    <row r="12" spans="1:18" ht="15" customHeight="1" x14ac:dyDescent="0.2">
      <c r="A12" s="45" t="str">
        <f>IF(Scoring!A12="","",Scoring!A12)</f>
        <v>ADBE</v>
      </c>
      <c r="B12" s="62" t="str">
        <f>IF(Scoring!B12="","",Scoring!B12)</f>
        <v>Adobe Inc.</v>
      </c>
      <c r="C12" s="45" t="str">
        <f>IF(Scoring!AG12="","",IF(OR(Scoring!AG12="STRONG BUY",Scoring!AG12="BUY"),"PASS","FAIL"))</f>
        <v>PASS</v>
      </c>
      <c r="D12" s="45" t="str">
        <f>IF(Scoring!AH12="","",IF(Scoring!AH12="OK","PASS","FAIL"))</f>
        <v>PASS</v>
      </c>
      <c r="E12" s="45" t="str">
        <f>IF(Scoring!AI12="","",IF(Scoring!AI12="OK","PASS","FAIL — mandatory review required"))</f>
        <v>PASS</v>
      </c>
      <c r="F12" s="26"/>
      <c r="G12" s="26"/>
      <c r="H12" s="45" t="str">
        <f t="shared" si="0"/>
        <v/>
      </c>
      <c r="I12" s="26"/>
      <c r="J12" s="26"/>
      <c r="K12" s="45" t="str">
        <f t="shared" si="1"/>
        <v/>
      </c>
      <c r="L12" s="45" t="str">
        <f>IF('Implied-Return Calculator'!T13="","",'Implied-Return Calculator'!T13)</f>
        <v/>
      </c>
      <c r="M12" s="45" t="str">
        <f>IF('Implied-Return Calculator'!U13="","",'Implied-Return Calculator'!U13)</f>
        <v/>
      </c>
      <c r="N12" s="63"/>
      <c r="O12" s="64"/>
      <c r="P12" s="45" t="str">
        <f t="shared" si="2"/>
        <v/>
      </c>
      <c r="Q12" s="45" t="str">
        <f t="shared" si="3"/>
        <v/>
      </c>
      <c r="R12" s="45" t="str">
        <f t="shared" si="4"/>
        <v/>
      </c>
    </row>
    <row r="13" spans="1:18" ht="15" customHeight="1" x14ac:dyDescent="0.2">
      <c r="A13" s="45" t="str">
        <f>IF(Scoring!A13="","",Scoring!A13)</f>
        <v>ANET</v>
      </c>
      <c r="B13" s="62" t="str">
        <f>IF(Scoring!B13="","",Scoring!B13)</f>
        <v>Arista Networks</v>
      </c>
      <c r="C13" s="45" t="str">
        <f>IF(Scoring!AG13="","",IF(OR(Scoring!AG13="STRONG BUY",Scoring!AG13="BUY"),"PASS","FAIL"))</f>
        <v>PASS</v>
      </c>
      <c r="D13" s="45" t="str">
        <f>IF(Scoring!AH13="","",IF(Scoring!AH13="OK","PASS","FAIL"))</f>
        <v>PASS</v>
      </c>
      <c r="E13" s="45" t="str">
        <f>IF(Scoring!AI13="","",IF(Scoring!AI13="OK","PASS","FAIL — mandatory review required"))</f>
        <v>PASS</v>
      </c>
      <c r="F13" s="26"/>
      <c r="G13" s="26"/>
      <c r="H13" s="45" t="str">
        <f t="shared" si="0"/>
        <v/>
      </c>
      <c r="I13" s="26"/>
      <c r="J13" s="26"/>
      <c r="K13" s="45" t="str">
        <f t="shared" si="1"/>
        <v/>
      </c>
      <c r="L13" s="45" t="str">
        <f>IF('Implied-Return Calculator'!T14="","",'Implied-Return Calculator'!T14)</f>
        <v/>
      </c>
      <c r="M13" s="45" t="str">
        <f>IF('Implied-Return Calculator'!U14="","",'Implied-Return Calculator'!U14)</f>
        <v/>
      </c>
      <c r="N13" s="63"/>
      <c r="O13" s="64"/>
      <c r="P13" s="45" t="str">
        <f t="shared" si="2"/>
        <v/>
      </c>
      <c r="Q13" s="45" t="str">
        <f t="shared" si="3"/>
        <v/>
      </c>
      <c r="R13" s="45" t="str">
        <f t="shared" si="4"/>
        <v/>
      </c>
    </row>
    <row r="14" spans="1:18" ht="15" customHeight="1" x14ac:dyDescent="0.2">
      <c r="A14" s="45" t="str">
        <f>IF(Scoring!A14="","",Scoring!A14)</f>
        <v>ASML</v>
      </c>
      <c r="B14" s="62" t="str">
        <f>IF(Scoring!B14="","",Scoring!B14)</f>
        <v>ASML Holding</v>
      </c>
      <c r="C14" s="45" t="str">
        <f>IF(Scoring!AG14="","",IF(OR(Scoring!AG14="STRONG BUY",Scoring!AG14="BUY"),"PASS","FAIL"))</f>
        <v>PASS</v>
      </c>
      <c r="D14" s="45" t="str">
        <f>IF(Scoring!AH14="","",IF(Scoring!AH14="OK","PASS","FAIL"))</f>
        <v>PASS</v>
      </c>
      <c r="E14" s="45" t="str">
        <f>IF(Scoring!AI14="","",IF(Scoring!AI14="OK","PASS","FAIL — mandatory review required"))</f>
        <v>PASS</v>
      </c>
      <c r="F14" s="26"/>
      <c r="G14" s="26"/>
      <c r="H14" s="45" t="str">
        <f t="shared" si="0"/>
        <v/>
      </c>
      <c r="I14" s="26"/>
      <c r="J14" s="26"/>
      <c r="K14" s="45" t="str">
        <f t="shared" si="1"/>
        <v/>
      </c>
      <c r="L14" s="45" t="str">
        <f>IF('Implied-Return Calculator'!T15="","",'Implied-Return Calculator'!T15)</f>
        <v/>
      </c>
      <c r="M14" s="45" t="str">
        <f>IF('Implied-Return Calculator'!U15="","",'Implied-Return Calculator'!U15)</f>
        <v/>
      </c>
      <c r="N14" s="63"/>
      <c r="O14" s="64"/>
      <c r="P14" s="45" t="str">
        <f t="shared" si="2"/>
        <v/>
      </c>
      <c r="Q14" s="45" t="str">
        <f t="shared" si="3"/>
        <v/>
      </c>
      <c r="R14" s="45" t="str">
        <f t="shared" si="4"/>
        <v/>
      </c>
    </row>
    <row r="15" spans="1:18" ht="15" customHeight="1" x14ac:dyDescent="0.2">
      <c r="A15" s="45" t="str">
        <f>IF(Scoring!A15="","",Scoring!A15)</f>
        <v>CRWD</v>
      </c>
      <c r="B15" s="62" t="str">
        <f>IF(Scoring!B15="","",Scoring!B15)</f>
        <v>CrowdStrike Holdings</v>
      </c>
      <c r="C15" s="45" t="str">
        <f>IF(Scoring!AG15="","",IF(OR(Scoring!AG15="STRONG BUY",Scoring!AG15="BUY"),"PASS","FAIL"))</f>
        <v>PASS</v>
      </c>
      <c r="D15" s="45" t="str">
        <f>IF(Scoring!AH15="","",IF(Scoring!AH15="OK","PASS","FAIL"))</f>
        <v>PASS</v>
      </c>
      <c r="E15" s="45" t="str">
        <f>IF(Scoring!AI15="","",IF(Scoring!AI15="OK","PASS","FAIL — mandatory review required"))</f>
        <v>PASS</v>
      </c>
      <c r="F15" s="26"/>
      <c r="G15" s="26"/>
      <c r="H15" s="45" t="str">
        <f t="shared" si="0"/>
        <v/>
      </c>
      <c r="I15" s="26"/>
      <c r="J15" s="26"/>
      <c r="K15" s="45" t="str">
        <f t="shared" si="1"/>
        <v/>
      </c>
      <c r="L15" s="45" t="str">
        <f>IF('Implied-Return Calculator'!T16="","",'Implied-Return Calculator'!T16)</f>
        <v/>
      </c>
      <c r="M15" s="45" t="str">
        <f>IF('Implied-Return Calculator'!U16="","",'Implied-Return Calculator'!U16)</f>
        <v/>
      </c>
      <c r="N15" s="63"/>
      <c r="O15" s="64"/>
      <c r="P15" s="45" t="str">
        <f t="shared" si="2"/>
        <v/>
      </c>
      <c r="Q15" s="45" t="str">
        <f t="shared" si="3"/>
        <v/>
      </c>
      <c r="R15" s="45" t="str">
        <f t="shared" si="4"/>
        <v/>
      </c>
    </row>
    <row r="16" spans="1:18" ht="15" customHeight="1" x14ac:dyDescent="0.2">
      <c r="A16" s="45" t="str">
        <f>IF(Scoring!A16="","",Scoring!A16)</f>
        <v>KLAC</v>
      </c>
      <c r="B16" s="62" t="str">
        <f>IF(Scoring!B16="","",Scoring!B16)</f>
        <v>KLA Corporation</v>
      </c>
      <c r="C16" s="45" t="str">
        <f>IF(Scoring!AG16="","",IF(OR(Scoring!AG16="STRONG BUY",Scoring!AG16="BUY"),"PASS","FAIL"))</f>
        <v>PASS</v>
      </c>
      <c r="D16" s="45" t="str">
        <f>IF(Scoring!AH16="","",IF(Scoring!AH16="OK","PASS","FAIL"))</f>
        <v>PASS</v>
      </c>
      <c r="E16" s="45" t="str">
        <f>IF(Scoring!AI16="","",IF(Scoring!AI16="OK","PASS","FAIL — mandatory review required"))</f>
        <v>PASS</v>
      </c>
      <c r="F16" s="26"/>
      <c r="G16" s="26"/>
      <c r="H16" s="45" t="str">
        <f t="shared" si="0"/>
        <v/>
      </c>
      <c r="I16" s="26"/>
      <c r="J16" s="26"/>
      <c r="K16" s="45" t="str">
        <f t="shared" si="1"/>
        <v/>
      </c>
      <c r="L16" s="45" t="str">
        <f>IF('Implied-Return Calculator'!T17="","",'Implied-Return Calculator'!T17)</f>
        <v/>
      </c>
      <c r="M16" s="45" t="str">
        <f>IF('Implied-Return Calculator'!U17="","",'Implied-Return Calculator'!U17)</f>
        <v/>
      </c>
      <c r="N16" s="63"/>
      <c r="O16" s="64"/>
      <c r="P16" s="45" t="str">
        <f t="shared" si="2"/>
        <v/>
      </c>
      <c r="Q16" s="45" t="str">
        <f t="shared" si="3"/>
        <v/>
      </c>
      <c r="R16" s="45" t="str">
        <f t="shared" si="4"/>
        <v/>
      </c>
    </row>
    <row r="17" spans="1:18" ht="15" customHeight="1" x14ac:dyDescent="0.2">
      <c r="A17" s="45" t="str">
        <f>IF(Scoring!A17="","",Scoring!A17)</f>
        <v>TSM</v>
      </c>
      <c r="B17" s="62" t="str">
        <f>IF(Scoring!B17="","",Scoring!B17)</f>
        <v>Taiwan Semiconductor Mfg.</v>
      </c>
      <c r="C17" s="45" t="str">
        <f>IF(Scoring!AG17="","",IF(OR(Scoring!AG17="STRONG BUY",Scoring!AG17="BUY"),"PASS","FAIL"))</f>
        <v>PASS</v>
      </c>
      <c r="D17" s="45" t="str">
        <f>IF(Scoring!AH17="","",IF(Scoring!AH17="OK","PASS","FAIL"))</f>
        <v>PASS</v>
      </c>
      <c r="E17" s="45" t="str">
        <f>IF(Scoring!AI17="","",IF(Scoring!AI17="OK","PASS","FAIL — mandatory review required"))</f>
        <v>PASS</v>
      </c>
      <c r="F17" s="26"/>
      <c r="G17" s="26"/>
      <c r="H17" s="45" t="str">
        <f t="shared" si="0"/>
        <v/>
      </c>
      <c r="I17" s="26"/>
      <c r="J17" s="26"/>
      <c r="K17" s="45" t="str">
        <f t="shared" si="1"/>
        <v/>
      </c>
      <c r="L17" s="45" t="str">
        <f>IF('Implied-Return Calculator'!T18="","",'Implied-Return Calculator'!T18)</f>
        <v/>
      </c>
      <c r="M17" s="45" t="str">
        <f>IF('Implied-Return Calculator'!U18="","",'Implied-Return Calculator'!U18)</f>
        <v/>
      </c>
      <c r="N17" s="63"/>
      <c r="O17" s="64"/>
      <c r="P17" s="45" t="str">
        <f t="shared" si="2"/>
        <v/>
      </c>
      <c r="Q17" s="45" t="str">
        <f t="shared" si="3"/>
        <v/>
      </c>
      <c r="R17" s="45" t="str">
        <f t="shared" si="4"/>
        <v/>
      </c>
    </row>
    <row r="18" spans="1:18" ht="15" customHeight="1" x14ac:dyDescent="0.2">
      <c r="A18" s="45" t="str">
        <f>IF(Scoring!A18="","",Scoring!A18)</f>
        <v>VRT</v>
      </c>
      <c r="B18" s="62" t="str">
        <f>IF(Scoring!B18="","",Scoring!B18)</f>
        <v>Vertiv Holdings</v>
      </c>
      <c r="C18" s="45" t="str">
        <f>IF(Scoring!AG18="","",IF(OR(Scoring!AG18="STRONG BUY",Scoring!AG18="BUY"),"PASS","FAIL"))</f>
        <v>PASS</v>
      </c>
      <c r="D18" s="45" t="str">
        <f>IF(Scoring!AH18="","",IF(Scoring!AH18="OK","PASS","FAIL"))</f>
        <v>PASS</v>
      </c>
      <c r="E18" s="45" t="str">
        <f>IF(Scoring!AI18="","",IF(Scoring!AI18="OK","PASS","FAIL — mandatory review required"))</f>
        <v>PASS</v>
      </c>
      <c r="F18" s="26"/>
      <c r="G18" s="26"/>
      <c r="H18" s="45" t="str">
        <f t="shared" si="0"/>
        <v/>
      </c>
      <c r="I18" s="26"/>
      <c r="J18" s="26"/>
      <c r="K18" s="45" t="str">
        <f t="shared" si="1"/>
        <v/>
      </c>
      <c r="L18" s="45" t="str">
        <f>IF('Implied-Return Calculator'!T19="","",'Implied-Return Calculator'!T19)</f>
        <v/>
      </c>
      <c r="M18" s="45" t="str">
        <f>IF('Implied-Return Calculator'!U19="","",'Implied-Return Calculator'!U19)</f>
        <v/>
      </c>
      <c r="N18" s="63"/>
      <c r="O18" s="64"/>
      <c r="P18" s="45" t="str">
        <f t="shared" si="2"/>
        <v/>
      </c>
      <c r="Q18" s="45" t="str">
        <f t="shared" si="3"/>
        <v/>
      </c>
      <c r="R18" s="45" t="str">
        <f t="shared" si="4"/>
        <v/>
      </c>
    </row>
    <row r="19" spans="1:18" ht="15" customHeight="1" x14ac:dyDescent="0.2">
      <c r="A19" s="45" t="str">
        <f>IF(Scoring!A19="","",Scoring!A19)</f>
        <v>COST</v>
      </c>
      <c r="B19" s="62" t="str">
        <f>IF(Scoring!B19="","",Scoring!B19)</f>
        <v>Costco Wholesale Corp.</v>
      </c>
      <c r="C19" s="45" t="str">
        <f>IF(Scoring!AG19="","",IF(OR(Scoring!AG19="STRONG BUY",Scoring!AG19="BUY"),"PASS","FAIL"))</f>
        <v>PASS</v>
      </c>
      <c r="D19" s="45" t="str">
        <f>IF(Scoring!AH19="","",IF(Scoring!AH19="OK","PASS","FAIL"))</f>
        <v>PASS</v>
      </c>
      <c r="E19" s="45" t="str">
        <f>IF(Scoring!AI19="","",IF(Scoring!AI19="OK","PASS","FAIL — mandatory review required"))</f>
        <v>PASS</v>
      </c>
      <c r="F19" s="26"/>
      <c r="G19" s="26"/>
      <c r="H19" s="45" t="str">
        <f t="shared" si="0"/>
        <v/>
      </c>
      <c r="I19" s="26"/>
      <c r="J19" s="26"/>
      <c r="K19" s="45" t="str">
        <f t="shared" si="1"/>
        <v/>
      </c>
      <c r="L19" s="45" t="str">
        <f>IF('Implied-Return Calculator'!T20="","",'Implied-Return Calculator'!T20)</f>
        <v/>
      </c>
      <c r="M19" s="45" t="str">
        <f>IF('Implied-Return Calculator'!U20="","",'Implied-Return Calculator'!U20)</f>
        <v/>
      </c>
      <c r="N19" s="63"/>
      <c r="O19" s="64"/>
      <c r="P19" s="45" t="str">
        <f t="shared" si="2"/>
        <v/>
      </c>
      <c r="Q19" s="45" t="str">
        <f t="shared" si="3"/>
        <v/>
      </c>
      <c r="R19" s="45" t="str">
        <f t="shared" si="4"/>
        <v/>
      </c>
    </row>
    <row r="20" spans="1:18" ht="15" customHeight="1" x14ac:dyDescent="0.2">
      <c r="A20" s="45" t="str">
        <f>IF(Scoring!A20="","",Scoring!A20)</f>
        <v>V</v>
      </c>
      <c r="B20" s="62" t="str">
        <f>IF(Scoring!B20="","",Scoring!B20)</f>
        <v>Visa Inc.</v>
      </c>
      <c r="C20" s="45" t="str">
        <f>IF(Scoring!AG20="","",IF(OR(Scoring!AG20="STRONG BUY",Scoring!AG20="BUY"),"PASS","FAIL"))</f>
        <v>PASS</v>
      </c>
      <c r="D20" s="45" t="str">
        <f>IF(Scoring!AH20="","",IF(Scoring!AH20="OK","PASS","FAIL"))</f>
        <v>PASS</v>
      </c>
      <c r="E20" s="45" t="str">
        <f>IF(Scoring!AI20="","",IF(Scoring!AI20="OK","PASS","FAIL — mandatory review required"))</f>
        <v>PASS</v>
      </c>
      <c r="F20" s="26"/>
      <c r="G20" s="26"/>
      <c r="H20" s="45" t="str">
        <f t="shared" si="0"/>
        <v/>
      </c>
      <c r="I20" s="26"/>
      <c r="J20" s="26"/>
      <c r="K20" s="45" t="str">
        <f t="shared" si="1"/>
        <v/>
      </c>
      <c r="L20" s="45" t="str">
        <f>IF('Implied-Return Calculator'!T21="","",'Implied-Return Calculator'!T21)</f>
        <v/>
      </c>
      <c r="M20" s="45" t="str">
        <f>IF('Implied-Return Calculator'!U21="","",'Implied-Return Calculator'!U21)</f>
        <v/>
      </c>
      <c r="N20" s="63"/>
      <c r="O20" s="64"/>
      <c r="P20" s="45" t="str">
        <f t="shared" si="2"/>
        <v/>
      </c>
      <c r="Q20" s="45" t="str">
        <f t="shared" si="3"/>
        <v/>
      </c>
      <c r="R20" s="45" t="str">
        <f t="shared" si="4"/>
        <v/>
      </c>
    </row>
    <row r="21" spans="1:18" ht="15" customHeight="1" x14ac:dyDescent="0.2">
      <c r="A21" s="45" t="str">
        <f>IF(Scoring!A21="","",Scoring!A21)</f>
        <v>NEE</v>
      </c>
      <c r="B21" s="62" t="str">
        <f>IF(Scoring!B21="","",Scoring!B21)</f>
        <v>NextEra Energy Inc.</v>
      </c>
      <c r="C21" s="45" t="str">
        <f>IF(Scoring!AG21="","",IF(OR(Scoring!AG21="STRONG BUY",Scoring!AG21="BUY"),"PASS","FAIL"))</f>
        <v/>
      </c>
      <c r="D21" s="45" t="str">
        <f>IF(Scoring!AH21="","",IF(Scoring!AH21="OK","PASS","FAIL"))</f>
        <v>FAIL</v>
      </c>
      <c r="E21" s="45" t="str">
        <f>IF(Scoring!AI21="","",IF(Scoring!AI21="OK","PASS","FAIL — mandatory review required"))</f>
        <v>FAIL — mandatory review required</v>
      </c>
      <c r="F21" s="26"/>
      <c r="G21" s="26"/>
      <c r="H21" s="45" t="str">
        <f t="shared" si="0"/>
        <v/>
      </c>
      <c r="I21" s="26"/>
      <c r="J21" s="26"/>
      <c r="K21" s="45" t="str">
        <f t="shared" si="1"/>
        <v/>
      </c>
      <c r="L21" s="45" t="str">
        <f>IF('Implied-Return Calculator'!T22="","",'Implied-Return Calculator'!T22)</f>
        <v/>
      </c>
      <c r="M21" s="45" t="str">
        <f>IF('Implied-Return Calculator'!U22="","",'Implied-Return Calculator'!U22)</f>
        <v/>
      </c>
      <c r="N21" s="63"/>
      <c r="O21" s="64"/>
      <c r="P21" s="45" t="str">
        <f t="shared" si="2"/>
        <v/>
      </c>
      <c r="Q21" s="45" t="str">
        <f t="shared" si="3"/>
        <v/>
      </c>
      <c r="R21" s="45" t="str">
        <f t="shared" si="4"/>
        <v/>
      </c>
    </row>
    <row r="22" spans="1:18" ht="15" customHeight="1" x14ac:dyDescent="0.2">
      <c r="A22" s="45" t="str">
        <f>IF(Scoring!A22="","",Scoring!A22)</f>
        <v>CRK</v>
      </c>
      <c r="B22" s="62" t="str">
        <f>IF(Scoring!B22="","",Scoring!B22)</f>
        <v>Comstock Resources Inc.</v>
      </c>
      <c r="C22" s="45" t="str">
        <f>IF(Scoring!AG22="","",IF(OR(Scoring!AG22="STRONG BUY",Scoring!AG22="BUY"),"PASS","FAIL"))</f>
        <v/>
      </c>
      <c r="D22" s="45" t="str">
        <f>IF(Scoring!AH22="","",IF(Scoring!AH22="OK","PASS","FAIL"))</f>
        <v>FAIL</v>
      </c>
      <c r="E22" s="45" t="str">
        <f>IF(Scoring!AI22="","",IF(Scoring!AI22="OK","PASS","FAIL — mandatory review required"))</f>
        <v>FAIL — mandatory review required</v>
      </c>
      <c r="F22" s="26"/>
      <c r="G22" s="26"/>
      <c r="H22" s="45" t="str">
        <f t="shared" si="0"/>
        <v/>
      </c>
      <c r="I22" s="26"/>
      <c r="J22" s="26"/>
      <c r="K22" s="45" t="str">
        <f t="shared" si="1"/>
        <v/>
      </c>
      <c r="L22" s="45" t="str">
        <f>IF('Implied-Return Calculator'!T23="","",'Implied-Return Calculator'!T23)</f>
        <v/>
      </c>
      <c r="M22" s="45" t="str">
        <f>IF('Implied-Return Calculator'!U23="","",'Implied-Return Calculator'!U23)</f>
        <v/>
      </c>
      <c r="N22" s="63"/>
      <c r="O22" s="64"/>
      <c r="P22" s="45" t="str">
        <f t="shared" si="2"/>
        <v/>
      </c>
      <c r="Q22" s="45" t="str">
        <f t="shared" si="3"/>
        <v/>
      </c>
      <c r="R22" s="45" t="str">
        <f t="shared" si="4"/>
        <v/>
      </c>
    </row>
    <row r="23" spans="1:18" ht="15" customHeight="1" x14ac:dyDescent="0.2">
      <c r="A23" s="45" t="str">
        <f>IF(Scoring!A23="","",Scoring!A23)</f>
        <v>ET</v>
      </c>
      <c r="B23" s="62" t="str">
        <f>IF(Scoring!B23="","",Scoring!B23)</f>
        <v>Energy Transfer LP</v>
      </c>
      <c r="C23" s="45" t="str">
        <f>IF(Scoring!AG23="","",IF(OR(Scoring!AG23="STRONG BUY",Scoring!AG23="BUY"),"PASS","FAIL"))</f>
        <v/>
      </c>
      <c r="D23" s="45" t="str">
        <f>IF(Scoring!AH23="","",IF(Scoring!AH23="OK","PASS","FAIL"))</f>
        <v>PASS</v>
      </c>
      <c r="E23" s="45" t="str">
        <f>IF(Scoring!AI23="","",IF(Scoring!AI23="OK","PASS","FAIL — mandatory review required"))</f>
        <v>PASS</v>
      </c>
      <c r="F23" s="26"/>
      <c r="G23" s="26"/>
      <c r="H23" s="45" t="str">
        <f t="shared" si="0"/>
        <v/>
      </c>
      <c r="I23" s="26"/>
      <c r="J23" s="26"/>
      <c r="K23" s="45" t="str">
        <f t="shared" si="1"/>
        <v/>
      </c>
      <c r="L23" s="45" t="str">
        <f>IF('Implied-Return Calculator'!T24="","",'Implied-Return Calculator'!T24)</f>
        <v/>
      </c>
      <c r="M23" s="45" t="str">
        <f>IF('Implied-Return Calculator'!U24="","",'Implied-Return Calculator'!U24)</f>
        <v/>
      </c>
      <c r="N23" s="63"/>
      <c r="O23" s="64"/>
      <c r="P23" s="45" t="str">
        <f t="shared" si="2"/>
        <v/>
      </c>
      <c r="Q23" s="45" t="str">
        <f t="shared" si="3"/>
        <v/>
      </c>
      <c r="R23" s="45" t="str">
        <f t="shared" si="4"/>
        <v/>
      </c>
    </row>
    <row r="24" spans="1:18" ht="15" customHeight="1" x14ac:dyDescent="0.2">
      <c r="A24" s="45" t="str">
        <f>IF(Scoring!A24="","",Scoring!A24)</f>
        <v>LBRT</v>
      </c>
      <c r="B24" s="62" t="str">
        <f>IF(Scoring!B24="","",Scoring!B24)</f>
        <v>Liberty Energy Inc.</v>
      </c>
      <c r="C24" s="45" t="str">
        <f>IF(Scoring!AG24="","",IF(OR(Scoring!AG24="STRONG BUY",Scoring!AG24="BUY"),"PASS","FAIL"))</f>
        <v/>
      </c>
      <c r="D24" s="45" t="str">
        <f>IF(Scoring!AH24="","",IF(Scoring!AH24="OK","PASS","FAIL"))</f>
        <v>FAIL</v>
      </c>
      <c r="E24" s="45" t="str">
        <f>IF(Scoring!AI24="","",IF(Scoring!AI24="OK","PASS","FAIL — mandatory review required"))</f>
        <v>FAIL — mandatory review required</v>
      </c>
      <c r="F24" s="26"/>
      <c r="G24" s="26"/>
      <c r="H24" s="45" t="str">
        <f t="shared" si="0"/>
        <v/>
      </c>
      <c r="I24" s="26"/>
      <c r="J24" s="26"/>
      <c r="K24" s="45" t="str">
        <f t="shared" si="1"/>
        <v/>
      </c>
      <c r="L24" s="45" t="str">
        <f>IF('Implied-Return Calculator'!T25="","",'Implied-Return Calculator'!T25)</f>
        <v/>
      </c>
      <c r="M24" s="45" t="str">
        <f>IF('Implied-Return Calculator'!U25="","",'Implied-Return Calculator'!U25)</f>
        <v/>
      </c>
      <c r="N24" s="63"/>
      <c r="O24" s="64"/>
      <c r="P24" s="45" t="str">
        <f t="shared" si="2"/>
        <v/>
      </c>
      <c r="Q24" s="45" t="str">
        <f t="shared" si="3"/>
        <v/>
      </c>
      <c r="R24" s="45" t="str">
        <f t="shared" si="4"/>
        <v/>
      </c>
    </row>
    <row r="25" spans="1:18" ht="15" customHeight="1" x14ac:dyDescent="0.2">
      <c r="A25" s="45" t="str">
        <f>IF(Scoring!A25="","",Scoring!A25)</f>
        <v>NOV</v>
      </c>
      <c r="B25" s="62" t="str">
        <f>IF(Scoring!B25="","",Scoring!B25)</f>
        <v>NOV Inc.</v>
      </c>
      <c r="C25" s="45" t="str">
        <f>IF(Scoring!AG25="","",IF(OR(Scoring!AG25="STRONG BUY",Scoring!AG25="BUY"),"PASS","FAIL"))</f>
        <v/>
      </c>
      <c r="D25" s="45" t="str">
        <f>IF(Scoring!AH25="","",IF(Scoring!AH25="OK","PASS","FAIL"))</f>
        <v>FAIL</v>
      </c>
      <c r="E25" s="45" t="str">
        <f>IF(Scoring!AI25="","",IF(Scoring!AI25="OK","PASS","FAIL — mandatory review required"))</f>
        <v>PASS</v>
      </c>
      <c r="F25" s="26"/>
      <c r="G25" s="26"/>
      <c r="H25" s="45" t="str">
        <f t="shared" si="0"/>
        <v/>
      </c>
      <c r="I25" s="26"/>
      <c r="J25" s="26"/>
      <c r="K25" s="45" t="str">
        <f t="shared" si="1"/>
        <v/>
      </c>
      <c r="L25" s="45" t="str">
        <f>IF('Implied-Return Calculator'!T26="","",'Implied-Return Calculator'!T26)</f>
        <v/>
      </c>
      <c r="M25" s="45" t="str">
        <f>IF('Implied-Return Calculator'!U26="","",'Implied-Return Calculator'!U26)</f>
        <v/>
      </c>
      <c r="N25" s="63"/>
      <c r="O25" s="64"/>
      <c r="P25" s="45" t="str">
        <f t="shared" si="2"/>
        <v/>
      </c>
      <c r="Q25" s="45" t="str">
        <f t="shared" si="3"/>
        <v/>
      </c>
      <c r="R25" s="45" t="str">
        <f t="shared" si="4"/>
        <v/>
      </c>
    </row>
    <row r="26" spans="1:18" ht="15" customHeight="1" x14ac:dyDescent="0.2">
      <c r="A26" s="45" t="str">
        <f>IF(Scoring!A26="","",Scoring!A26)</f>
        <v>CE</v>
      </c>
      <c r="B26" s="62" t="str">
        <f>IF(Scoring!B26="","",Scoring!B26)</f>
        <v>Celanese Corp.</v>
      </c>
      <c r="C26" s="45" t="str">
        <f>IF(Scoring!AG26="","",IF(OR(Scoring!AG26="STRONG BUY",Scoring!AG26="BUY"),"PASS","FAIL"))</f>
        <v/>
      </c>
      <c r="D26" s="45" t="str">
        <f>IF(Scoring!AH26="","",IF(Scoring!AH26="OK","PASS","FAIL"))</f>
        <v>FAIL</v>
      </c>
      <c r="E26" s="45" t="str">
        <f>IF(Scoring!AI26="","",IF(Scoring!AI26="OK","PASS","FAIL — mandatory review required"))</f>
        <v>FAIL — mandatory review required</v>
      </c>
      <c r="F26" s="26"/>
      <c r="G26" s="26"/>
      <c r="H26" s="45" t="str">
        <f t="shared" si="0"/>
        <v/>
      </c>
      <c r="I26" s="26"/>
      <c r="J26" s="26"/>
      <c r="K26" s="45" t="str">
        <f t="shared" si="1"/>
        <v/>
      </c>
      <c r="L26" s="45" t="str">
        <f>IF('Implied-Return Calculator'!T27="","",'Implied-Return Calculator'!T27)</f>
        <v/>
      </c>
      <c r="M26" s="45" t="str">
        <f>IF('Implied-Return Calculator'!U27="","",'Implied-Return Calculator'!U27)</f>
        <v/>
      </c>
      <c r="N26" s="63"/>
      <c r="O26" s="64"/>
      <c r="P26" s="45" t="str">
        <f t="shared" si="2"/>
        <v/>
      </c>
      <c r="Q26" s="45" t="str">
        <f t="shared" si="3"/>
        <v/>
      </c>
      <c r="R26" s="45" t="str">
        <f t="shared" si="4"/>
        <v/>
      </c>
    </row>
    <row r="27" spans="1:18" ht="15" customHeight="1" x14ac:dyDescent="0.2">
      <c r="A27" s="45" t="str">
        <f>IF(Scoring!A27="","",Scoring!A27)</f>
        <v>CLF</v>
      </c>
      <c r="B27" s="62" t="str">
        <f>IF(Scoring!B27="","",Scoring!B27)</f>
        <v>Cleveland-Cliffs Inc.</v>
      </c>
      <c r="C27" s="45" t="str">
        <f>IF(Scoring!AG27="","",IF(OR(Scoring!AG27="STRONG BUY",Scoring!AG27="BUY"),"PASS","FAIL"))</f>
        <v/>
      </c>
      <c r="D27" s="45" t="str">
        <f>IF(Scoring!AH27="","",IF(Scoring!AH27="OK","PASS","FAIL"))</f>
        <v>FAIL</v>
      </c>
      <c r="E27" s="45" t="str">
        <f>IF(Scoring!AI27="","",IF(Scoring!AI27="OK","PASS","FAIL — mandatory review required"))</f>
        <v>FAIL — mandatory review required</v>
      </c>
      <c r="F27" s="26"/>
      <c r="G27" s="26"/>
      <c r="H27" s="45" t="str">
        <f t="shared" si="0"/>
        <v/>
      </c>
      <c r="I27" s="26"/>
      <c r="J27" s="26"/>
      <c r="K27" s="45" t="str">
        <f t="shared" si="1"/>
        <v/>
      </c>
      <c r="L27" s="45" t="str">
        <f>IF('Implied-Return Calculator'!T28="","",'Implied-Return Calculator'!T28)</f>
        <v/>
      </c>
      <c r="M27" s="45" t="str">
        <f>IF('Implied-Return Calculator'!U28="","",'Implied-Return Calculator'!U28)</f>
        <v/>
      </c>
      <c r="N27" s="63"/>
      <c r="O27" s="64"/>
      <c r="P27" s="45" t="str">
        <f t="shared" si="2"/>
        <v/>
      </c>
      <c r="Q27" s="45" t="str">
        <f t="shared" si="3"/>
        <v/>
      </c>
      <c r="R27" s="45" t="str">
        <f t="shared" si="4"/>
        <v/>
      </c>
    </row>
  </sheetData>
  <mergeCells count="1">
    <mergeCell ref="A1:R1"/>
  </mergeCells>
  <conditionalFormatting sqref="C3:C27">
    <cfRule type="cellIs" dxfId="49" priority="2" operator="equal">
      <formula>"PASS"</formula>
    </cfRule>
    <cfRule type="cellIs" dxfId="48" priority="3" operator="equal">
      <formula>"FAIL"</formula>
    </cfRule>
  </conditionalFormatting>
  <conditionalFormatting sqref="D3:D27">
    <cfRule type="cellIs" dxfId="47" priority="4" operator="equal">
      <formula>"PASS"</formula>
    </cfRule>
    <cfRule type="cellIs" dxfId="46" priority="5" operator="equal">
      <formula>"FAIL"</formula>
    </cfRule>
  </conditionalFormatting>
  <conditionalFormatting sqref="E3:E27">
    <cfRule type="expression" dxfId="45" priority="6">
      <formula>LEFT(E3,4)="PASS"</formula>
    </cfRule>
    <cfRule type="expression" dxfId="44" priority="7">
      <formula>LEFT(E3,4)="FAIL"</formula>
    </cfRule>
  </conditionalFormatting>
  <conditionalFormatting sqref="H3:H27">
    <cfRule type="cellIs" dxfId="43" priority="18" operator="equal">
      <formula>"Standard initial size"</formula>
    </cfRule>
    <cfRule type="expression" dxfId="42" priority="19">
      <formula>ISNUMBER(SEARCH("50%",H3))</formula>
    </cfRule>
  </conditionalFormatting>
  <conditionalFormatting sqref="K3:K27">
    <cfRule type="expression" dxfId="41" priority="8">
      <formula>LEFT(K3,4)="PASS"</formula>
    </cfRule>
    <cfRule type="expression" dxfId="40" priority="9">
      <formula>LEFT(K3,4)="FAIL"</formula>
    </cfRule>
  </conditionalFormatting>
  <conditionalFormatting sqref="L3:L27">
    <cfRule type="cellIs" dxfId="39" priority="12" operator="equal">
      <formula>"PASS"</formula>
    </cfRule>
    <cfRule type="cellIs" dxfId="38" priority="13" operator="equal">
      <formula>"FAIL"</formula>
    </cfRule>
  </conditionalFormatting>
  <conditionalFormatting sqref="M3:M27">
    <cfRule type="cellIs" dxfId="37" priority="14" operator="equal">
      <formula>"OK"</formula>
    </cfRule>
    <cfRule type="cellIs" dxfId="36" priority="15" operator="equal">
      <formula>"CHECK TAGS"</formula>
    </cfRule>
  </conditionalFormatting>
  <conditionalFormatting sqref="P3:P27">
    <cfRule type="expression" dxfId="35" priority="10">
      <formula>LEFT(P3,4)="PASS"</formula>
    </cfRule>
    <cfRule type="expression" dxfId="34" priority="11">
      <formula>LEFT(P3,4)="FAIL"</formula>
    </cfRule>
  </conditionalFormatting>
  <conditionalFormatting sqref="Q3:Q27">
    <cfRule type="cellIs" dxfId="33" priority="16" operator="equal">
      <formula>"YES"</formula>
    </cfRule>
    <cfRule type="expression" dxfId="32" priority="17">
      <formula>LEFT(Q3,2)="NO"</formula>
    </cfRule>
  </conditionalFormatting>
  <dataValidations count="1">
    <dataValidation type="list" allowBlank="1" sqref="F3:G27 I3:J27" xr:uid="{00000000-0002-0000-0700-000000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5"/>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0" customWidth="1"/>
    <col min="2" max="2" width="20" customWidth="1"/>
    <col min="3" max="3" width="11" customWidth="1"/>
    <col min="4" max="4" width="13" customWidth="1"/>
    <col min="5" max="5" width="15" customWidth="1"/>
    <col min="6" max="6" width="9" customWidth="1"/>
    <col min="7" max="8" width="11" customWidth="1"/>
    <col min="9" max="9" width="12" customWidth="1"/>
  </cols>
  <sheetData>
    <row r="1" spans="1:9" ht="15" customHeight="1" x14ac:dyDescent="0.2">
      <c r="A1" s="80" t="s">
        <v>263</v>
      </c>
      <c r="B1" s="80"/>
      <c r="C1" s="80"/>
      <c r="D1" s="80"/>
      <c r="E1" s="80"/>
      <c r="F1" s="80"/>
      <c r="G1" s="80"/>
      <c r="H1" s="80"/>
      <c r="I1" s="80"/>
    </row>
    <row r="2" spans="1:9" ht="25.5" customHeight="1" x14ac:dyDescent="0.2">
      <c r="A2" s="49" t="s">
        <v>57</v>
      </c>
      <c r="B2" s="49" t="s">
        <v>168</v>
      </c>
      <c r="C2" s="49" t="s">
        <v>61</v>
      </c>
      <c r="D2" s="49" t="s">
        <v>264</v>
      </c>
      <c r="E2" s="49" t="s">
        <v>265</v>
      </c>
      <c r="F2" s="49" t="s">
        <v>266</v>
      </c>
      <c r="G2" s="49" t="s">
        <v>267</v>
      </c>
      <c r="H2" s="49" t="s">
        <v>268</v>
      </c>
      <c r="I2" s="49" t="s">
        <v>269</v>
      </c>
    </row>
    <row r="3" spans="1:9" ht="15" customHeight="1" x14ac:dyDescent="0.2">
      <c r="A3" s="59"/>
      <c r="B3" s="59"/>
      <c r="C3" s="65"/>
      <c r="D3" s="66"/>
      <c r="E3" s="24"/>
      <c r="F3" s="67"/>
      <c r="G3" s="65"/>
      <c r="H3" s="65"/>
      <c r="I3" s="68"/>
    </row>
    <row r="4" spans="1:9" ht="15" customHeight="1" x14ac:dyDescent="0.2">
      <c r="A4" s="59"/>
      <c r="B4" s="59"/>
      <c r="C4" s="65"/>
      <c r="D4" s="66"/>
      <c r="E4" s="24"/>
      <c r="F4" s="67"/>
      <c r="G4" s="65"/>
      <c r="H4" s="65"/>
      <c r="I4" s="68"/>
    </row>
    <row r="5" spans="1:9" ht="15" customHeight="1" x14ac:dyDescent="0.2">
      <c r="A5" s="59"/>
      <c r="B5" s="59"/>
      <c r="C5" s="65"/>
      <c r="D5" s="66"/>
      <c r="E5" s="24"/>
      <c r="F5" s="67"/>
      <c r="G5" s="65"/>
      <c r="H5" s="65"/>
      <c r="I5" s="68"/>
    </row>
    <row r="6" spans="1:9" ht="15" customHeight="1" x14ac:dyDescent="0.2">
      <c r="A6" s="59"/>
      <c r="B6" s="59"/>
      <c r="C6" s="65"/>
      <c r="D6" s="66"/>
      <c r="E6" s="24"/>
      <c r="F6" s="67"/>
      <c r="G6" s="65"/>
      <c r="H6" s="65"/>
      <c r="I6" s="68"/>
    </row>
    <row r="7" spans="1:9" ht="15" customHeight="1" x14ac:dyDescent="0.2">
      <c r="A7" s="59"/>
      <c r="B7" s="59"/>
      <c r="C7" s="65"/>
      <c r="D7" s="66"/>
      <c r="E7" s="24"/>
      <c r="F7" s="67"/>
      <c r="G7" s="65"/>
      <c r="H7" s="65"/>
      <c r="I7" s="68"/>
    </row>
    <row r="8" spans="1:9" ht="15" customHeight="1" x14ac:dyDescent="0.2">
      <c r="A8" s="59"/>
      <c r="B8" s="59"/>
      <c r="C8" s="65"/>
      <c r="D8" s="66"/>
      <c r="E8" s="24"/>
      <c r="F8" s="67"/>
      <c r="G8" s="65"/>
      <c r="H8" s="65"/>
      <c r="I8" s="68"/>
    </row>
    <row r="9" spans="1:9" ht="15" customHeight="1" x14ac:dyDescent="0.2">
      <c r="A9" s="59"/>
      <c r="B9" s="59"/>
      <c r="C9" s="65"/>
      <c r="D9" s="66"/>
      <c r="E9" s="24"/>
      <c r="F9" s="67"/>
      <c r="G9" s="65"/>
      <c r="H9" s="65"/>
      <c r="I9" s="68"/>
    </row>
    <row r="10" spans="1:9" ht="15" customHeight="1" x14ac:dyDescent="0.2">
      <c r="A10" s="59"/>
      <c r="B10" s="59"/>
      <c r="C10" s="65"/>
      <c r="D10" s="66"/>
      <c r="E10" s="24"/>
      <c r="F10" s="67"/>
      <c r="G10" s="65"/>
      <c r="H10" s="65"/>
      <c r="I10" s="68"/>
    </row>
    <row r="11" spans="1:9" ht="15" customHeight="1" x14ac:dyDescent="0.2">
      <c r="A11" s="59"/>
      <c r="B11" s="59"/>
      <c r="C11" s="65"/>
      <c r="D11" s="66"/>
      <c r="E11" s="24"/>
      <c r="F11" s="67"/>
      <c r="G11" s="65"/>
      <c r="H11" s="65"/>
      <c r="I11" s="68"/>
    </row>
    <row r="12" spans="1:9" ht="15" customHeight="1" x14ac:dyDescent="0.2">
      <c r="A12" s="59"/>
      <c r="B12" s="59"/>
      <c r="C12" s="65"/>
      <c r="D12" s="66"/>
      <c r="E12" s="24"/>
      <c r="F12" s="67"/>
      <c r="G12" s="65"/>
      <c r="H12" s="65"/>
      <c r="I12" s="68"/>
    </row>
    <row r="13" spans="1:9" ht="15" customHeight="1" x14ac:dyDescent="0.2">
      <c r="A13" s="59"/>
      <c r="B13" s="59"/>
      <c r="C13" s="65"/>
      <c r="D13" s="66"/>
      <c r="E13" s="24"/>
      <c r="F13" s="67"/>
      <c r="G13" s="65"/>
      <c r="H13" s="65"/>
      <c r="I13" s="68"/>
    </row>
    <row r="14" spans="1:9" ht="15" customHeight="1" x14ac:dyDescent="0.2">
      <c r="A14" s="59"/>
      <c r="B14" s="59"/>
      <c r="C14" s="65"/>
      <c r="D14" s="66"/>
      <c r="E14" s="24"/>
      <c r="F14" s="67"/>
      <c r="G14" s="65"/>
      <c r="H14" s="65"/>
      <c r="I14" s="68"/>
    </row>
    <row r="15" spans="1:9" ht="15" customHeight="1" x14ac:dyDescent="0.2">
      <c r="A15" s="59"/>
      <c r="B15" s="59"/>
      <c r="C15" s="65"/>
      <c r="D15" s="66"/>
      <c r="E15" s="24"/>
      <c r="F15" s="67"/>
      <c r="G15" s="65"/>
      <c r="H15" s="65"/>
      <c r="I15" s="68"/>
    </row>
    <row r="16" spans="1:9" ht="15" customHeight="1" x14ac:dyDescent="0.2">
      <c r="A16" s="59"/>
      <c r="B16" s="59"/>
      <c r="C16" s="65"/>
      <c r="D16" s="66"/>
      <c r="E16" s="24"/>
      <c r="F16" s="67"/>
      <c r="G16" s="65"/>
      <c r="H16" s="65"/>
      <c r="I16" s="68"/>
    </row>
    <row r="17" spans="1:9" ht="15" customHeight="1" x14ac:dyDescent="0.2">
      <c r="A17" s="59"/>
      <c r="B17" s="59"/>
      <c r="C17" s="65"/>
      <c r="D17" s="66"/>
      <c r="E17" s="24"/>
      <c r="F17" s="67"/>
      <c r="G17" s="65"/>
      <c r="H17" s="65"/>
      <c r="I17" s="68"/>
    </row>
    <row r="18" spans="1:9" ht="15" customHeight="1" x14ac:dyDescent="0.2">
      <c r="A18" s="59"/>
      <c r="B18" s="59"/>
      <c r="C18" s="65"/>
      <c r="D18" s="66"/>
      <c r="E18" s="24"/>
      <c r="F18" s="67"/>
      <c r="G18" s="65"/>
      <c r="H18" s="65"/>
      <c r="I18" s="68"/>
    </row>
    <row r="19" spans="1:9" ht="15" customHeight="1" x14ac:dyDescent="0.2">
      <c r="A19" s="59"/>
      <c r="B19" s="59"/>
      <c r="C19" s="65"/>
      <c r="D19" s="66"/>
      <c r="E19" s="24"/>
      <c r="F19" s="67"/>
      <c r="G19" s="65"/>
      <c r="H19" s="65"/>
      <c r="I19" s="68"/>
    </row>
    <row r="20" spans="1:9" ht="15" customHeight="1" x14ac:dyDescent="0.2">
      <c r="A20" s="59"/>
      <c r="B20" s="59"/>
      <c r="C20" s="65"/>
      <c r="D20" s="66"/>
      <c r="E20" s="24"/>
      <c r="F20" s="67"/>
      <c r="G20" s="65"/>
      <c r="H20" s="65"/>
      <c r="I20" s="68"/>
    </row>
    <row r="21" spans="1:9" ht="15" customHeight="1" x14ac:dyDescent="0.2">
      <c r="A21" s="59"/>
      <c r="B21" s="59"/>
      <c r="C21" s="65"/>
      <c r="D21" s="66"/>
      <c r="E21" s="24"/>
      <c r="F21" s="67"/>
      <c r="G21" s="65"/>
      <c r="H21" s="65"/>
      <c r="I21" s="68"/>
    </row>
    <row r="22" spans="1:9" ht="15" customHeight="1" x14ac:dyDescent="0.2">
      <c r="A22" s="59"/>
      <c r="B22" s="59"/>
      <c r="C22" s="65"/>
      <c r="D22" s="66"/>
      <c r="E22" s="24"/>
      <c r="F22" s="67"/>
      <c r="G22" s="65"/>
      <c r="H22" s="65"/>
      <c r="I22" s="68"/>
    </row>
    <row r="23" spans="1:9" ht="15" customHeight="1" x14ac:dyDescent="0.2">
      <c r="A23" s="59"/>
      <c r="B23" s="59"/>
      <c r="C23" s="65"/>
      <c r="D23" s="66"/>
      <c r="E23" s="24"/>
      <c r="F23" s="67"/>
      <c r="G23" s="65"/>
      <c r="H23" s="65"/>
      <c r="I23" s="68"/>
    </row>
    <row r="24" spans="1:9" ht="15" customHeight="1" x14ac:dyDescent="0.2">
      <c r="A24" s="59"/>
      <c r="B24" s="59"/>
      <c r="C24" s="65"/>
      <c r="D24" s="66"/>
      <c r="E24" s="24"/>
      <c r="F24" s="67"/>
      <c r="G24" s="65"/>
      <c r="H24" s="65"/>
      <c r="I24" s="68"/>
    </row>
    <row r="25" spans="1:9" ht="15" customHeight="1" x14ac:dyDescent="0.2">
      <c r="A25" s="59"/>
      <c r="B25" s="59"/>
      <c r="C25" s="65"/>
      <c r="D25" s="66"/>
      <c r="E25" s="24"/>
      <c r="F25" s="67"/>
      <c r="G25" s="65"/>
      <c r="H25" s="65"/>
      <c r="I25" s="68"/>
    </row>
    <row r="26" spans="1:9" ht="15" customHeight="1" x14ac:dyDescent="0.2">
      <c r="A26" s="59"/>
      <c r="B26" s="59"/>
      <c r="C26" s="65"/>
      <c r="D26" s="66"/>
      <c r="E26" s="24"/>
      <c r="F26" s="67"/>
      <c r="G26" s="65"/>
      <c r="H26" s="65"/>
      <c r="I26" s="68"/>
    </row>
    <row r="27" spans="1:9" ht="15" customHeight="1" x14ac:dyDescent="0.2">
      <c r="A27" s="59"/>
      <c r="B27" s="59"/>
      <c r="C27" s="65"/>
      <c r="D27" s="66"/>
      <c r="E27" s="24"/>
      <c r="F27" s="67"/>
      <c r="G27" s="65"/>
      <c r="H27" s="65"/>
      <c r="I27" s="68"/>
    </row>
    <row r="30" spans="1:9" ht="15" customHeight="1" x14ac:dyDescent="0.2">
      <c r="A30" s="3" t="s">
        <v>270</v>
      </c>
      <c r="B30" s="3"/>
      <c r="C30" s="3"/>
      <c r="D30" s="3"/>
      <c r="E30" s="3"/>
      <c r="F30" s="3"/>
      <c r="G30" s="3"/>
      <c r="H30" s="3"/>
      <c r="I30" s="3"/>
    </row>
    <row r="31" spans="1:9" ht="15" customHeight="1" x14ac:dyDescent="0.2">
      <c r="A31" s="3" t="s">
        <v>271</v>
      </c>
      <c r="B31" s="3"/>
      <c r="C31" s="3"/>
      <c r="D31" s="3"/>
      <c r="E31" s="3"/>
      <c r="F31" s="3"/>
      <c r="G31" s="3"/>
      <c r="H31" s="3"/>
      <c r="I31" s="3"/>
    </row>
    <row r="32" spans="1:9" ht="15" customHeight="1" x14ac:dyDescent="0.2">
      <c r="A32" s="3" t="s">
        <v>272</v>
      </c>
      <c r="B32" s="3"/>
      <c r="C32" s="3"/>
      <c r="D32" s="3"/>
      <c r="E32" s="3"/>
      <c r="F32" s="3"/>
      <c r="G32" s="3"/>
      <c r="H32" s="3"/>
      <c r="I32" s="3"/>
    </row>
    <row r="33" spans="1:9" ht="15" customHeight="1" x14ac:dyDescent="0.2">
      <c r="A33" s="3" t="s">
        <v>273</v>
      </c>
      <c r="B33" s="3"/>
      <c r="C33" s="3"/>
      <c r="D33" s="3"/>
      <c r="E33" s="3"/>
      <c r="F33" s="3"/>
      <c r="G33" s="3"/>
      <c r="H33" s="3"/>
      <c r="I33" s="3"/>
    </row>
    <row r="34" spans="1:9" ht="15" customHeight="1" x14ac:dyDescent="0.2">
      <c r="A34" s="3" t="s">
        <v>274</v>
      </c>
      <c r="B34" s="3"/>
      <c r="C34" s="3"/>
      <c r="D34" s="3"/>
      <c r="E34" s="3"/>
      <c r="F34" s="3"/>
      <c r="G34" s="3"/>
      <c r="H34" s="3"/>
      <c r="I34" s="3"/>
    </row>
    <row r="35" spans="1:9" ht="15" customHeight="1" x14ac:dyDescent="0.2">
      <c r="A35" s="3" t="s">
        <v>275</v>
      </c>
      <c r="B35" s="3"/>
      <c r="C35" s="3"/>
      <c r="D35" s="3"/>
      <c r="E35" s="3"/>
      <c r="F35" s="3"/>
      <c r="G35" s="3"/>
      <c r="H35" s="3"/>
      <c r="I35" s="3"/>
    </row>
  </sheetData>
  <mergeCells count="7">
    <mergeCell ref="A34:I34"/>
    <mergeCell ref="A35:I35"/>
    <mergeCell ref="A1:I1"/>
    <mergeCell ref="A30:I30"/>
    <mergeCell ref="A31:I31"/>
    <mergeCell ref="A32:I32"/>
    <mergeCell ref="A33:I3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161"/>
  <sheetViews>
    <sheetView showGridLines="0" zoomScaleNormal="100" workbookViewId="0"/>
  </sheetViews>
  <sheetFormatPr baseColWidth="10" defaultColWidth="8.6640625" defaultRowHeight="15" x14ac:dyDescent="0.2"/>
  <cols>
    <col min="1" max="1" width="12" customWidth="1"/>
    <col min="2" max="21" width="11" customWidth="1"/>
  </cols>
  <sheetData>
    <row r="1" spans="1:21" ht="15" customHeight="1" x14ac:dyDescent="0.2">
      <c r="A1" s="6" t="s">
        <v>276</v>
      </c>
      <c r="B1" s="6"/>
      <c r="C1" s="6"/>
      <c r="D1" s="6"/>
      <c r="E1" s="6"/>
      <c r="F1" s="6"/>
      <c r="G1" s="6"/>
      <c r="H1" s="6"/>
      <c r="I1" s="6"/>
      <c r="J1" s="6"/>
      <c r="K1" s="6"/>
      <c r="L1" s="6"/>
      <c r="M1" s="6"/>
      <c r="N1" s="6"/>
      <c r="O1" s="6"/>
      <c r="P1" s="6"/>
      <c r="Q1" s="6"/>
      <c r="R1" s="6"/>
      <c r="S1" s="6"/>
      <c r="T1" s="6"/>
      <c r="U1" s="6"/>
    </row>
    <row r="2" spans="1:21" ht="15" customHeight="1" x14ac:dyDescent="0.2">
      <c r="A2" s="49" t="s">
        <v>167</v>
      </c>
      <c r="B2" s="49" t="str">
        <f>'Price History'!B2</f>
        <v>ADBE</v>
      </c>
      <c r="C2" s="49" t="str">
        <f>'Price History'!C2</f>
        <v>ANET</v>
      </c>
      <c r="D2" s="49" t="str">
        <f>'Price History'!D2</f>
        <v>ASML</v>
      </c>
      <c r="E2" s="49" t="str">
        <f>'Price History'!E2</f>
        <v>AVGO</v>
      </c>
      <c r="F2" s="49" t="str">
        <f>'Price History'!F2</f>
        <v>CRWD</v>
      </c>
      <c r="G2" s="49" t="str">
        <f>'Price History'!G2</f>
        <v>KLAC</v>
      </c>
      <c r="H2" s="49" t="str">
        <f>'Price History'!H2</f>
        <v>MU</v>
      </c>
      <c r="I2" s="49" t="str">
        <f>'Price History'!I2</f>
        <v>NVDA</v>
      </c>
      <c r="J2" s="49" t="str">
        <f>'Price History'!J2</f>
        <v>PLD</v>
      </c>
      <c r="K2" s="49" t="str">
        <f>'Price History'!K2</f>
        <v>PLTR</v>
      </c>
      <c r="L2" s="49" t="str">
        <f>'Price History'!L2</f>
        <v>TSM</v>
      </c>
      <c r="M2" s="49" t="str">
        <f>'Price History'!M2</f>
        <v>VRT</v>
      </c>
      <c r="N2" s="49" t="str">
        <f>'Price History'!N2</f>
        <v>VRTX</v>
      </c>
      <c r="O2" s="49" t="str">
        <f>'Price History'!O2</f>
        <v>AVUV</v>
      </c>
      <c r="P2" s="49">
        <f>'Price History'!P2</f>
        <v>0</v>
      </c>
      <c r="Q2" s="49" t="str">
        <f>'Price History'!Q2</f>
        <v>HELO</v>
      </c>
      <c r="R2" s="49" t="str">
        <f>'Price History'!R2</f>
        <v>JEPQ</v>
      </c>
      <c r="S2" s="49" t="str">
        <f>'Price History'!S2</f>
        <v>SPMO</v>
      </c>
      <c r="T2" s="49" t="str">
        <f>'Price History'!T2</f>
        <v>VFLO</v>
      </c>
      <c r="U2" s="49">
        <f>'Price History'!U2</f>
        <v>0</v>
      </c>
    </row>
    <row r="3" spans="1:21" ht="15" customHeight="1" x14ac:dyDescent="0.2">
      <c r="A3" s="52">
        <f>'Price History'!A4</f>
        <v>45156</v>
      </c>
      <c r="B3" s="69">
        <f>IFERROR(IF(OR(NOT(ISNUMBER('Price History'!B4)),NOT(ISNUMBER('Price History'!B3)),'Price History'!B3=0),"",'Price History'!B4/'Price History'!B3-1),"")</f>
        <v>-6.2936375258138E-4</v>
      </c>
      <c r="C3" s="69">
        <f>IFERROR(IF(OR(NOT(ISNUMBER('Price History'!C4)),NOT(ISNUMBER('Price History'!C3)),'Price History'!C3=0),"",'Price History'!C4/'Price History'!C3-1),"")</f>
        <v>3.2007315957933269E-2</v>
      </c>
      <c r="D3" s="69">
        <f>IFERROR(IF(OR(NOT(ISNUMBER('Price History'!D4)),NOT(ISNUMBER('Price History'!D3)),'Price History'!D3=0),"",'Price History'!D4/'Price History'!D3-1),"")</f>
        <v>-9.7464414155761236E-3</v>
      </c>
      <c r="E3" s="69">
        <f>IFERROR(IF(OR(NOT(ISNUMBER('Price History'!E4)),NOT(ISNUMBER('Price History'!E3)),'Price History'!E3=0),"",'Price History'!E4/'Price History'!E3-1),"")</f>
        <v>-4.8204386599181026E-3</v>
      </c>
      <c r="F3" s="69">
        <f>IFERROR(IF(OR(NOT(ISNUMBER('Price History'!F4)),NOT(ISNUMBER('Price History'!F3)),'Price History'!F3=0),"",'Price History'!F4/'Price History'!F3-1),"")</f>
        <v>-9.7139773340528812E-3</v>
      </c>
      <c r="G3" s="69">
        <f>IFERROR(IF(OR(NOT(ISNUMBER('Price History'!G4)),NOT(ISNUMBER('Price History'!G3)),'Price History'!G3=0),"",'Price History'!G4/'Price History'!G3-1),"")</f>
        <v>-2.0876826722338038E-3</v>
      </c>
      <c r="H3" s="69">
        <f>IFERROR(IF(OR(NOT(ISNUMBER('Price History'!H4)),NOT(ISNUMBER('Price History'!H3)),'Price History'!H3=0),"",'Price History'!H4/'Price History'!H3-1),"")</f>
        <v>-1.2117446015224465E-2</v>
      </c>
      <c r="I3" s="69">
        <f>IFERROR(IF(OR(NOT(ISNUMBER('Price History'!I4)),NOT(ISNUMBER('Price History'!I3)),'Price History'!I3=0),"",'Price History'!I4/'Price History'!I3-1),"")</f>
        <v>5.9975520195838294E-2</v>
      </c>
      <c r="J3" s="69">
        <f>IFERROR(IF(OR(NOT(ISNUMBER('Price History'!J4)),NOT(ISNUMBER('Price History'!J3)),'Price History'!J3=0),"",'Price History'!J4/'Price History'!J3-1),"")</f>
        <v>-1.651688122419237E-2</v>
      </c>
      <c r="K3" s="69">
        <f>IFERROR(IF(OR(NOT(ISNUMBER('Price History'!K4)),NOT(ISNUMBER('Price History'!K3)),'Price History'!K3=0),"",'Price History'!K4/'Price History'!K3-1),"")</f>
        <v>-6.5541855937702787E-2</v>
      </c>
      <c r="L3" s="69">
        <f>IFERROR(IF(OR(NOT(ISNUMBER('Price History'!L4)),NOT(ISNUMBER('Price History'!L3)),'Price History'!L3=0),"",'Price History'!L4/'Price History'!L3-1),"")</f>
        <v>-9.6749646700728942E-3</v>
      </c>
      <c r="M3" s="69">
        <f>IFERROR(IF(OR(NOT(ISNUMBER('Price History'!M4)),NOT(ISNUMBER('Price History'!M3)),'Price History'!M3=0),"",'Price History'!M4/'Price History'!M3-1),"")</f>
        <v>1.372724559832883E-2</v>
      </c>
      <c r="N3" s="69">
        <f>IFERROR(IF(OR(NOT(ISNUMBER('Price History'!N4)),NOT(ISNUMBER('Price History'!N3)),'Price History'!N3=0),"",'Price History'!N4/'Price History'!N3-1),"")</f>
        <v>-1.4405762304922076E-2</v>
      </c>
      <c r="O3" s="69">
        <f>IFERROR(IF(OR(NOT(ISNUMBER('Price History'!O4)),NOT(ISNUMBER('Price History'!O3)),'Price History'!O3=0),"",'Price History'!O4/'Price History'!O3-1),"")</f>
        <v>-3.0778515389257688E-2</v>
      </c>
      <c r="P3" s="69" t="str">
        <f>IFERROR(IF(OR(NOT(ISNUMBER('Price History'!P4)),NOT(ISNUMBER('Price History'!P3)),'Price History'!P3=0),"",'Price History'!P4/'Price History'!P3-1),"")</f>
        <v/>
      </c>
      <c r="Q3" s="69">
        <f>IFERROR(IF(OR(NOT(ISNUMBER('Price History'!Q4)),NOT(ISNUMBER('Price History'!Q3)),'Price History'!Q3=0),"",'Price History'!Q4/'Price History'!Q3-1),"")</f>
        <v>3.2102728731941976E-3</v>
      </c>
      <c r="R3" s="69">
        <f>IFERROR(IF(OR(NOT(ISNUMBER('Price History'!R4)),NOT(ISNUMBER('Price History'!R3)),'Price History'!R3=0),"",'Price History'!R4/'Price History'!R3-1),"")</f>
        <v>-1.8611459640317851E-2</v>
      </c>
      <c r="S3" s="69">
        <f>IFERROR(IF(OR(NOT(ISNUMBER('Price History'!S4)),NOT(ISNUMBER('Price History'!S3)),'Price History'!S3=0),"",'Price History'!S4/'Price History'!S3-1),"")</f>
        <v>-8.370345063204665E-3</v>
      </c>
      <c r="T3" s="69">
        <f>IFERROR(IF(OR(NOT(ISNUMBER('Price History'!T4)),NOT(ISNUMBER('Price History'!T3)),'Price History'!T3=0),"",'Price History'!T4/'Price History'!T3-1),"")</f>
        <v>-2.6755852842809347E-2</v>
      </c>
      <c r="U3" s="69" t="str">
        <f>IFERROR(IF(OR(NOT(ISNUMBER('Price History'!U4)),NOT(ISNUMBER('Price History'!U3)),'Price History'!U3=0),"",'Price History'!U4/'Price History'!U3-1),"")</f>
        <v/>
      </c>
    </row>
    <row r="4" spans="1:21" ht="15" customHeight="1" x14ac:dyDescent="0.2">
      <c r="A4" s="52">
        <f>'Price History'!A5</f>
        <v>45163</v>
      </c>
      <c r="B4" s="69">
        <f>IFERROR(IF(OR(NOT(ISNUMBER('Price History'!B5)),NOT(ISNUMBER('Price History'!B4)),'Price History'!B4=0),"",'Price History'!B5/'Price History'!B4-1),"")</f>
        <v>3.3318245330919094E-2</v>
      </c>
      <c r="C4" s="69">
        <f>IFERROR(IF(OR(NOT(ISNUMBER('Price History'!C5)),NOT(ISNUMBER('Price History'!C4)),'Price History'!C4=0),"",'Price History'!C5/'Price History'!C4-1),"")</f>
        <v>1.9937970757641921E-3</v>
      </c>
      <c r="D4" s="69">
        <f>IFERROR(IF(OR(NOT(ISNUMBER('Price History'!D5)),NOT(ISNUMBER('Price History'!D4)),'Price History'!D4=0),"",'Price History'!D5/'Price History'!D4-1),"")</f>
        <v>-6.5920986373277923E-3</v>
      </c>
      <c r="E4" s="69">
        <f>IFERROR(IF(OR(NOT(ISNUMBER('Price History'!E5)),NOT(ISNUMBER('Price History'!E4)),'Price History'!E4=0),"",'Price History'!E5/'Price History'!E4-1),"")</f>
        <v>3.1484620973601496E-2</v>
      </c>
      <c r="F4" s="69">
        <f>IFERROR(IF(OR(NOT(ISNUMBER('Price History'!F5)),NOT(ISNUMBER('Price History'!F4)),'Price History'!F4=0),"",'Price History'!F5/'Price History'!F4-1),"")</f>
        <v>1.9073569482288777E-2</v>
      </c>
      <c r="G4" s="69">
        <f>IFERROR(IF(OR(NOT(ISNUMBER('Price History'!G5)),NOT(ISNUMBER('Price History'!G4)),'Price History'!G4=0),"",'Price History'!G5/'Price History'!G4-1),"")</f>
        <v>7.7405857740586725E-3</v>
      </c>
      <c r="H4" s="69">
        <f>IFERROR(IF(OR(NOT(ISNUMBER('Price History'!H5)),NOT(ISNUMBER('Price History'!H4)),'Price History'!H4=0),"",'Price History'!H5/'Price History'!H4-1),"")</f>
        <v>2.0443465953765561E-3</v>
      </c>
      <c r="I4" s="69">
        <f>IFERROR(IF(OR(NOT(ISNUMBER('Price History'!I5)),NOT(ISNUMBER('Price History'!I4)),'Price History'!I4=0),"",'Price History'!I5/'Price History'!I4-1),"")</f>
        <v>6.2817551963048723E-2</v>
      </c>
      <c r="J4" s="69">
        <f>IFERROR(IF(OR(NOT(ISNUMBER('Price History'!J5)),NOT(ISNUMBER('Price History'!J4)),'Price History'!J4=0),"",'Price History'!J5/'Price History'!J4-1),"")</f>
        <v>9.7966576109327352E-3</v>
      </c>
      <c r="K4" s="69">
        <f>IFERROR(IF(OR(NOT(ISNUMBER('Price History'!K5)),NOT(ISNUMBER('Price History'!K4)),'Price History'!K4=0),"",'Price History'!K5/'Price History'!K4-1),"")</f>
        <v>9.0277777777776347E-3</v>
      </c>
      <c r="L4" s="69">
        <f>IFERROR(IF(OR(NOT(ISNUMBER('Price History'!L5)),NOT(ISNUMBER('Price History'!L4)),'Price History'!L4=0),"",'Price History'!L5/'Price History'!L4-1),"")</f>
        <v>2.1953896816685026E-2</v>
      </c>
      <c r="M4" s="69">
        <f>IFERROR(IF(OR(NOT(ISNUMBER('Price History'!M5)),NOT(ISNUMBER('Price History'!M4)),'Price History'!M4=0),"",'Price History'!M5/'Price History'!M4-1),"")</f>
        <v>0.10391521931115699</v>
      </c>
      <c r="N4" s="69">
        <f>IFERROR(IF(OR(NOT(ISNUMBER('Price History'!N5)),NOT(ISNUMBER('Price History'!N4)),'Price History'!N4=0),"",'Price History'!N5/'Price History'!N4-1),"")</f>
        <v>1.5196334319355076E-2</v>
      </c>
      <c r="O4" s="69">
        <f>IFERROR(IF(OR(NOT(ISNUMBER('Price History'!O5)),NOT(ISNUMBER('Price History'!O4)),'Price History'!O4=0),"",'Price History'!O5/'Price History'!O4-1),"")</f>
        <v>-1.6189290161892855E-2</v>
      </c>
      <c r="P4" s="69" t="str">
        <f>IFERROR(IF(OR(NOT(ISNUMBER('Price History'!P5)),NOT(ISNUMBER('Price History'!P4)),'Price History'!P4=0),"",'Price History'!P5/'Price History'!P4-1),"")</f>
        <v/>
      </c>
      <c r="Q4" s="69">
        <f>IFERROR(IF(OR(NOT(ISNUMBER('Price History'!Q5)),NOT(ISNUMBER('Price History'!Q4)),'Price History'!Q4=0),"",'Price History'!Q5/'Price History'!Q4-1),"")</f>
        <v>3.4000000000000696E-3</v>
      </c>
      <c r="R4" s="69">
        <f>IFERROR(IF(OR(NOT(ISNUMBER('Price History'!R5)),NOT(ISNUMBER('Price History'!R4)),'Price History'!R4=0),"",'Price History'!R5/'Price History'!R4-1),"")</f>
        <v>1.5981248668229364E-2</v>
      </c>
      <c r="S4" s="69">
        <f>IFERROR(IF(OR(NOT(ISNUMBER('Price History'!S5)),NOT(ISNUMBER('Price History'!S4)),'Price History'!S4=0),"",'Price History'!S5/'Price History'!S4-1),"")</f>
        <v>-2.7562446167096466E-3</v>
      </c>
      <c r="T4" s="69">
        <f>IFERROR(IF(OR(NOT(ISNUMBER('Price History'!T5)),NOT(ISNUMBER('Price History'!T4)),'Price History'!T4=0),"",'Price History'!T5/'Price History'!T4-1),"")</f>
        <v>-8.0183276059565545E-3</v>
      </c>
      <c r="U4" s="69" t="str">
        <f>IFERROR(IF(OR(NOT(ISNUMBER('Price History'!U5)),NOT(ISNUMBER('Price History'!U4)),'Price History'!U4=0),"",'Price History'!U5/'Price History'!U4-1),"")</f>
        <v/>
      </c>
    </row>
    <row r="5" spans="1:21" ht="15" customHeight="1" x14ac:dyDescent="0.2">
      <c r="A5" s="52">
        <f>'Price History'!A6</f>
        <v>45170</v>
      </c>
      <c r="B5" s="69">
        <f>IFERROR(IF(OR(NOT(ISNUMBER('Price History'!B6)),NOT(ISNUMBER('Price History'!B5)),'Price History'!B5=0),"",'Price History'!B6/'Price History'!B5-1),"")</f>
        <v>7.2658362853769365E-2</v>
      </c>
      <c r="C5" s="69">
        <f>IFERROR(IF(OR(NOT(ISNUMBER('Price History'!C6)),NOT(ISNUMBER('Price History'!C5)),'Price History'!C5=0),"",'Price History'!C6/'Price History'!C5-1),"")</f>
        <v>9.0868892328100914E-2</v>
      </c>
      <c r="D5" s="69">
        <f>IFERROR(IF(OR(NOT(ISNUMBER('Price History'!D6)),NOT(ISNUMBER('Price History'!D5)),'Price History'!D5=0),"",'Price History'!D6/'Price History'!D5-1),"")</f>
        <v>1.7680219965899191E-2</v>
      </c>
      <c r="E5" s="69">
        <f>IFERROR(IF(OR(NOT(ISNUMBER('Price History'!E6)),NOT(ISNUMBER('Price History'!E5)),'Price History'!E5=0),"",'Price History'!E6/'Price History'!E5-1),"")</f>
        <v>2.4301479220474098E-2</v>
      </c>
      <c r="F5" s="69">
        <f>IFERROR(IF(OR(NOT(ISNUMBER('Price History'!F6)),NOT(ISNUMBER('Price History'!F5)),'Price History'!F5=0),"",'Price History'!F6/'Price History'!F5-1),"")</f>
        <v>7.780748663101611E-2</v>
      </c>
      <c r="G5" s="69">
        <f>IFERROR(IF(OR(NOT(ISNUMBER('Price History'!G6)),NOT(ISNUMBER('Price History'!G5)),'Price History'!G5=0),"",'Price History'!G6/'Price History'!G5-1),"")</f>
        <v>5.2522316794685553E-2</v>
      </c>
      <c r="H5" s="69">
        <f>IFERROR(IF(OR(NOT(ISNUMBER('Price History'!H6)),NOT(ISNUMBER('Price History'!H5)),'Price History'!H5=0),"",'Price History'!H6/'Price History'!H5-1),"")</f>
        <v>0.10467671060891393</v>
      </c>
      <c r="I5" s="69">
        <f>IFERROR(IF(OR(NOT(ISNUMBER('Price History'!I6)),NOT(ISNUMBER('Price History'!I5)),'Price History'!I5=0),"",'Price History'!I6/'Price History'!I5-1),"")</f>
        <v>5.4106910039113387E-2</v>
      </c>
      <c r="J5" s="69">
        <f>IFERROR(IF(OR(NOT(ISNUMBER('Price History'!J6)),NOT(ISNUMBER('Price History'!J5)),'Price History'!J5=0),"",'Price History'!J6/'Price History'!J5-1),"")</f>
        <v>1.5734550790803992E-2</v>
      </c>
      <c r="K5" s="69">
        <f>IFERROR(IF(OR(NOT(ISNUMBER('Price History'!K6)),NOT(ISNUMBER('Price History'!K5)),'Price History'!K5=0),"",'Price History'!K6/'Price History'!K5-1),"")</f>
        <v>4.4735030970405987E-2</v>
      </c>
      <c r="L5" s="69">
        <f>IFERROR(IF(OR(NOT(ISNUMBER('Price History'!L6)),NOT(ISNUMBER('Price History'!L5)),'Price History'!L5=0),"",'Price History'!L6/'Price History'!L5-1),"")</f>
        <v>9.6670247046182212E-4</v>
      </c>
      <c r="M5" s="69">
        <f>IFERROR(IF(OR(NOT(ISNUMBER('Price History'!M6)),NOT(ISNUMBER('Price History'!M5)),'Price History'!M5=0),"",'Price History'!M6/'Price History'!M5-1),"")</f>
        <v>6.3199999999999923E-2</v>
      </c>
      <c r="N5" s="69">
        <f>IFERROR(IF(OR(NOT(ISNUMBER('Price History'!N6)),NOT(ISNUMBER('Price History'!N5)),'Price History'!N5=0),"",'Price History'!N6/'Price History'!N5-1),"")</f>
        <v>2.9709192709821419E-3</v>
      </c>
      <c r="O5" s="69">
        <f>IFERROR(IF(OR(NOT(ISNUMBER('Price History'!O6)),NOT(ISNUMBER('Price History'!O5)),'Price History'!O5=0),"",'Price History'!O6/'Price History'!O5-1),"")</f>
        <v>4.6708860759493653E-2</v>
      </c>
      <c r="P5" s="69" t="str">
        <f>IFERROR(IF(OR(NOT(ISNUMBER('Price History'!P6)),NOT(ISNUMBER('Price History'!P5)),'Price History'!P5=0),"",'Price History'!P6/'Price History'!P5-1),"")</f>
        <v/>
      </c>
      <c r="Q5" s="69">
        <f>IFERROR(IF(OR(NOT(ISNUMBER('Price History'!Q6)),NOT(ISNUMBER('Price History'!Q5)),'Price History'!Q5=0),"",'Price History'!Q6/'Price History'!Q5-1),"")</f>
        <v>-1.116204903328688E-2</v>
      </c>
      <c r="R5" s="69">
        <f>IFERROR(IF(OR(NOT(ISNUMBER('Price History'!R6)),NOT(ISNUMBER('Price History'!R5)),'Price History'!R5=0),"",'Price History'!R6/'Price History'!R5-1),"")</f>
        <v>1.8246644295301984E-2</v>
      </c>
      <c r="S5" s="69">
        <f>IFERROR(IF(OR(NOT(ISNUMBER('Price History'!S6)),NOT(ISNUMBER('Price History'!S5)),'Price History'!S5=0),"",'Price History'!S6/'Price History'!S5-1),"")</f>
        <v>1.6064950768699182E-2</v>
      </c>
      <c r="T5" s="69">
        <f>IFERROR(IF(OR(NOT(ISNUMBER('Price History'!T6)),NOT(ISNUMBER('Price History'!T5)),'Price History'!T5=0),"",'Price History'!T6/'Price History'!T5-1),"")</f>
        <v>2.6173979984603468E-2</v>
      </c>
      <c r="U5" s="69" t="str">
        <f>IFERROR(IF(OR(NOT(ISNUMBER('Price History'!U6)),NOT(ISNUMBER('Price History'!U5)),'Price History'!U5=0),"",'Price History'!U6/'Price History'!U5-1),"")</f>
        <v/>
      </c>
    </row>
    <row r="6" spans="1:21" ht="15" customHeight="1" x14ac:dyDescent="0.2">
      <c r="A6" s="52">
        <f>'Price History'!A7</f>
        <v>45177</v>
      </c>
      <c r="B6" s="69">
        <f>IFERROR(IF(OR(NOT(ISNUMBER('Price History'!B7)),NOT(ISNUMBER('Price History'!B6)),'Price History'!B6=0),"",'Price History'!B7/'Price History'!B6-1),"")</f>
        <v>-5.0602794694697417E-3</v>
      </c>
      <c r="C6" s="69">
        <f>IFERROR(IF(OR(NOT(ISNUMBER('Price History'!C7)),NOT(ISNUMBER('Price History'!C6)),'Price History'!C6=0),"",'Price History'!C7/'Price History'!C6-1),"")</f>
        <v>-4.4588569112283816E-3</v>
      </c>
      <c r="D6" s="69">
        <f>IFERROR(IF(OR(NOT(ISNUMBER('Price History'!D7)),NOT(ISNUMBER('Price History'!D6)),'Price History'!D6=0),"",'Price History'!D7/'Price History'!D6-1),"")</f>
        <v>-5.2315401799190919E-2</v>
      </c>
      <c r="E6" s="69">
        <f>IFERROR(IF(OR(NOT(ISNUMBER('Price History'!E7)),NOT(ISNUMBER('Price History'!E6)),'Price History'!E6=0),"",'Price History'!E7/'Price History'!E6-1),"")</f>
        <v>-1.7077363896848108E-2</v>
      </c>
      <c r="F6" s="69">
        <f>IFERROR(IF(OR(NOT(ISNUMBER('Price History'!F7)),NOT(ISNUMBER('Price History'!F6)),'Price History'!F6=0),"",'Price History'!F7/'Price History'!F6-1),"")</f>
        <v>4.242123542545273E-2</v>
      </c>
      <c r="G6" s="69">
        <f>IFERROR(IF(OR(NOT(ISNUMBER('Price History'!G7)),NOT(ISNUMBER('Price History'!G6)),'Price History'!G6=0),"",'Price History'!G7/'Price History'!G6-1),"")</f>
        <v>-1.834319526627215E-2</v>
      </c>
      <c r="H6" s="69">
        <f>IFERROR(IF(OR(NOT(ISNUMBER('Price History'!H7)),NOT(ISNUMBER('Price History'!H6)),'Price History'!H6=0),"",'Price History'!H7/'Price History'!H6-1),"")</f>
        <v>-2.9833783207841025E-3</v>
      </c>
      <c r="I6" s="69">
        <f>IFERROR(IF(OR(NOT(ISNUMBER('Price History'!I7)),NOT(ISNUMBER('Price History'!I6)),'Price History'!I6=0),"",'Price History'!I7/'Price History'!I6-1),"")</f>
        <v>-6.0606060606060552E-2</v>
      </c>
      <c r="J6" s="69">
        <f>IFERROR(IF(OR(NOT(ISNUMBER('Price History'!J7)),NOT(ISNUMBER('Price History'!J6)),'Price History'!J6=0),"",'Price History'!J7/'Price History'!J6-1),"")</f>
        <v>-1.6935548599406047E-2</v>
      </c>
      <c r="K6" s="69">
        <f>IFERROR(IF(OR(NOT(ISNUMBER('Price History'!K7)),NOT(ISNUMBER('Price History'!K6)),'Price History'!K6=0),"",'Price History'!K7/'Price History'!K6-1),"")</f>
        <v>-3.2938076416336726E-3</v>
      </c>
      <c r="L6" s="69">
        <f>IFERROR(IF(OR(NOT(ISNUMBER('Price History'!L7)),NOT(ISNUMBER('Price History'!L6)),'Price History'!L6=0),"",'Price History'!L7/'Price History'!L6-1),"")</f>
        <v>-3.8094216117609103E-2</v>
      </c>
      <c r="M6" s="69">
        <f>IFERROR(IF(OR(NOT(ISNUMBER('Price History'!M7)),NOT(ISNUMBER('Price History'!M6)),'Price History'!M6=0),"",'Price History'!M7/'Price History'!M6-1),"")</f>
        <v>-1.6804614998745748E-2</v>
      </c>
      <c r="N6" s="69">
        <f>IFERROR(IF(OR(NOT(ISNUMBER('Price History'!N7)),NOT(ISNUMBER('Price History'!N6)),'Price History'!N6=0),"",'Price History'!N7/'Price History'!N6-1),"")</f>
        <v>-2.2927940757618948E-2</v>
      </c>
      <c r="O6" s="69">
        <f>IFERROR(IF(OR(NOT(ISNUMBER('Price History'!O7)),NOT(ISNUMBER('Price History'!O6)),'Price History'!O6=0),"",'Price History'!O7/'Price History'!O6-1),"")</f>
        <v>-3.8456887168944132E-2</v>
      </c>
      <c r="P6" s="69" t="str">
        <f>IFERROR(IF(OR(NOT(ISNUMBER('Price History'!P7)),NOT(ISNUMBER('Price History'!P6)),'Price History'!P6=0),"",'Price History'!P7/'Price History'!P6-1),"")</f>
        <v/>
      </c>
      <c r="Q6" s="69">
        <f>IFERROR(IF(OR(NOT(ISNUMBER('Price History'!Q7)),NOT(ISNUMBER('Price History'!Q6)),'Price History'!Q6=0),"",'Price History'!Q7/'Price History'!Q6-1),"")</f>
        <v>-1.7335214674460753E-2</v>
      </c>
      <c r="R6" s="69">
        <f>IFERROR(IF(OR(NOT(ISNUMBER('Price History'!R7)),NOT(ISNUMBER('Price History'!R6)),'Price History'!R6=0),"",'Price History'!R7/'Price History'!R6-1),"")</f>
        <v>-6.5911431513903107E-3</v>
      </c>
      <c r="S6" s="69">
        <f>IFERROR(IF(OR(NOT(ISNUMBER('Price History'!S7)),NOT(ISNUMBER('Price History'!S6)),'Price History'!S6=0),"",'Price History'!S7/'Price History'!S6-1),"")</f>
        <v>5.9503570214212154E-3</v>
      </c>
      <c r="T6" s="69">
        <f>IFERROR(IF(OR(NOT(ISNUMBER('Price History'!T7)),NOT(ISNUMBER('Price History'!T6)),'Price History'!T6=0),"",'Price History'!T7/'Price History'!T6-1),"")</f>
        <v>-7.1267816954239116E-3</v>
      </c>
      <c r="U6" s="69" t="str">
        <f>IFERROR(IF(OR(NOT(ISNUMBER('Price History'!U7)),NOT(ISNUMBER('Price History'!U6)),'Price History'!U6=0),"",'Price History'!U7/'Price History'!U6-1),"")</f>
        <v/>
      </c>
    </row>
    <row r="7" spans="1:21" ht="15" customHeight="1" x14ac:dyDescent="0.2">
      <c r="A7" s="52">
        <f>'Price History'!A8</f>
        <v>45184</v>
      </c>
      <c r="B7" s="69">
        <f>IFERROR(IF(OR(NOT(ISNUMBER('Price History'!B8)),NOT(ISNUMBER('Price History'!B7)),'Price History'!B7=0),"",'Price History'!B8/'Price History'!B7-1),"")</f>
        <v>-5.6160325505032471E-2</v>
      </c>
      <c r="C7" s="69">
        <f>IFERROR(IF(OR(NOT(ISNUMBER('Price History'!C8)),NOT(ISNUMBER('Price History'!C7)),'Price History'!C7=0),"",'Price History'!C8/'Price History'!C7-1),"")</f>
        <v>-5.985342019543971E-2</v>
      </c>
      <c r="D7" s="69">
        <f>IFERROR(IF(OR(NOT(ISNUMBER('Price History'!D8)),NOT(ISNUMBER('Price History'!D7)),'Price History'!D7=0),"",'Price History'!D8/'Price History'!D7-1),"")</f>
        <v>-4.9692606632051772E-2</v>
      </c>
      <c r="E7" s="69">
        <f>IFERROR(IF(OR(NOT(ISNUMBER('Price History'!E8)),NOT(ISNUMBER('Price History'!E7)),'Price History'!E7=0),"",'Price History'!E8/'Price History'!E7-1),"")</f>
        <v>-6.8796641791045721E-3</v>
      </c>
      <c r="F7" s="69">
        <f>IFERROR(IF(OR(NOT(ISNUMBER('Price History'!F8)),NOT(ISNUMBER('Price History'!F7)),'Price History'!F7=0),"",'Price History'!F8/'Price History'!F7-1),"")</f>
        <v>-1.5706806282722585E-2</v>
      </c>
      <c r="G7" s="69">
        <f>IFERROR(IF(OR(NOT(ISNUMBER('Price History'!G8)),NOT(ISNUMBER('Price History'!G7)),'Price History'!G7=0),"",'Price History'!G8/'Price History'!G7-1),"")</f>
        <v>-8.7402049427365958E-2</v>
      </c>
      <c r="H7" s="69">
        <f>IFERROR(IF(OR(NOT(ISNUMBER('Price History'!H8)),NOT(ISNUMBER('Price History'!H7)),'Price History'!H7=0),"",'Price History'!H8/'Price History'!H7-1),"")</f>
        <v>-4.274722143060905E-3</v>
      </c>
      <c r="I7" s="69">
        <f>IFERROR(IF(OR(NOT(ISNUMBER('Price History'!I8)),NOT(ISNUMBER('Price History'!I7)),'Price History'!I7=0),"",'Price History'!I8/'Price History'!I7-1),"")</f>
        <v>-3.6646916831248655E-2</v>
      </c>
      <c r="J7" s="69">
        <f>IFERROR(IF(OR(NOT(ISNUMBER('Price History'!J8)),NOT(ISNUMBER('Price History'!J7)),'Price History'!J7=0),"",'Price History'!J8/'Price History'!J7-1),"")</f>
        <v>5.7152188112346014E-3</v>
      </c>
      <c r="K7" s="69">
        <f>IFERROR(IF(OR(NOT(ISNUMBER('Price History'!K8)),NOT(ISNUMBER('Price History'!K7)),'Price History'!K7=0),"",'Price History'!K8/'Price History'!K7-1),"")</f>
        <v>1.3218770654329193E-2</v>
      </c>
      <c r="L7" s="69">
        <f>IFERROR(IF(OR(NOT(ISNUMBER('Price History'!L8)),NOT(ISNUMBER('Price History'!L7)),'Price History'!L7=0),"",'Price History'!L8/'Price History'!L7-1),"")</f>
        <v>-4.3507362784471759E-3</v>
      </c>
      <c r="M7" s="69">
        <f>IFERROR(IF(OR(NOT(ISNUMBER('Price History'!M8)),NOT(ISNUMBER('Price History'!M7)),'Price History'!M7=0),"",'Price History'!M8/'Price History'!M7-1),"")</f>
        <v>-2.6275510204081698E-2</v>
      </c>
      <c r="N7" s="69">
        <f>IFERROR(IF(OR(NOT(ISNUMBER('Price History'!N8)),NOT(ISNUMBER('Price History'!N7)),'Price History'!N7=0),"",'Price History'!N8/'Price History'!N7-1),"")</f>
        <v>1.7052907739396383E-2</v>
      </c>
      <c r="O7" s="69">
        <f>IFERROR(IF(OR(NOT(ISNUMBER('Price History'!O8)),NOT(ISNUMBER('Price History'!O7)),'Price History'!O7=0),"",'Price History'!O8/'Price History'!O7-1),"")</f>
        <v>-1.8865551502956768E-3</v>
      </c>
      <c r="P7" s="69" t="str">
        <f>IFERROR(IF(OR(NOT(ISNUMBER('Price History'!P8)),NOT(ISNUMBER('Price History'!P7)),'Price History'!P7=0),"",'Price History'!P8/'Price History'!P7-1),"")</f>
        <v/>
      </c>
      <c r="Q7" s="69">
        <f>IFERROR(IF(OR(NOT(ISNUMBER('Price History'!Q8)),NOT(ISNUMBER('Price History'!Q7)),'Price History'!Q7=0),"",'Price History'!Q8/'Price History'!Q7-1),"")</f>
        <v>4.0205128205128116E-2</v>
      </c>
      <c r="R7" s="69">
        <f>IFERROR(IF(OR(NOT(ISNUMBER('Price History'!R8)),NOT(ISNUMBER('Price History'!R7)),'Price History'!R7=0),"",'Price History'!R8/'Price History'!R7-1),"")</f>
        <v>-4.1467965996255796E-4</v>
      </c>
      <c r="S7" s="69">
        <f>IFERROR(IF(OR(NOT(ISNUMBER('Price History'!S8)),NOT(ISNUMBER('Price History'!S7)),'Price History'!S7=0),"",'Price History'!S8/'Price History'!S7-1),"")</f>
        <v>0</v>
      </c>
      <c r="T7" s="69">
        <f>IFERROR(IF(OR(NOT(ISNUMBER('Price History'!T8)),NOT(ISNUMBER('Price History'!T7)),'Price History'!T7=0),"",'Price History'!T8/'Price History'!T7-1),"")</f>
        <v>-6.4223649414431039E-3</v>
      </c>
      <c r="U7" s="69" t="str">
        <f>IFERROR(IF(OR(NOT(ISNUMBER('Price History'!U8)),NOT(ISNUMBER('Price History'!U7)),'Price History'!U7=0),"",'Price History'!U8/'Price History'!U7-1),"")</f>
        <v/>
      </c>
    </row>
    <row r="8" spans="1:21" ht="15" customHeight="1" x14ac:dyDescent="0.2">
      <c r="A8" s="52">
        <f>'Price History'!A9</f>
        <v>45191</v>
      </c>
      <c r="B8" s="69">
        <f>IFERROR(IF(OR(NOT(ISNUMBER('Price History'!B9)),NOT(ISNUMBER('Price History'!B8)),'Price History'!B8=0),"",'Price History'!B9/'Price History'!B8-1),"")</f>
        <v>-3.02331297623325E-2</v>
      </c>
      <c r="C8" s="69">
        <f>IFERROR(IF(OR(NOT(ISNUMBER('Price History'!C9)),NOT(ISNUMBER('Price History'!C8)),'Price History'!C8=0),"",'Price History'!C9/'Price History'!C8-1),"")</f>
        <v>-2.3603291468167975E-2</v>
      </c>
      <c r="D8" s="69">
        <f>IFERROR(IF(OR(NOT(ISNUMBER('Price History'!D9)),NOT(ISNUMBER('Price History'!D8)),'Price History'!D8=0),"",'Price History'!D9/'Price History'!D8-1),"")</f>
        <v>-1.6022525391345077E-2</v>
      </c>
      <c r="E8" s="69">
        <f>IFERROR(IF(OR(NOT(ISNUMBER('Price History'!E9)),NOT(ISNUMBER('Price History'!E8)),'Price History'!E8=0),"",'Price History'!E9/'Price History'!E8-1),"")</f>
        <v>-2.6535164964189284E-2</v>
      </c>
      <c r="F8" s="69">
        <f>IFERROR(IF(OR(NOT(ISNUMBER('Price History'!F9)),NOT(ISNUMBER('Price History'!F8)),'Price History'!F8=0),"",'Price History'!F9/'Price History'!F8-1),"")</f>
        <v>-1.7408123791102459E-2</v>
      </c>
      <c r="G8" s="69">
        <f>IFERROR(IF(OR(NOT(ISNUMBER('Price History'!G9)),NOT(ISNUMBER('Price History'!G8)),'Price History'!G8=0),"",'Price History'!G9/'Price History'!G8-1),"")</f>
        <v>-5.2840158520476299E-3</v>
      </c>
      <c r="H8" s="69">
        <f>IFERROR(IF(OR(NOT(ISNUMBER('Price History'!H9)),NOT(ISNUMBER('Price History'!H8)),'Price History'!H8=0),"",'Price History'!H9/'Price History'!H8-1),"")</f>
        <v>-1.4310246136233551E-2</v>
      </c>
      <c r="I8" s="69">
        <f>IFERROR(IF(OR(NOT(ISNUMBER('Price History'!I9)),NOT(ISNUMBER('Price History'!I8)),'Price History'!I8=0),"",'Price History'!I9/'Price History'!I8-1),"")</f>
        <v>-5.2164009111617338E-2</v>
      </c>
      <c r="J8" s="69">
        <f>IFERROR(IF(OR(NOT(ISNUMBER('Price History'!J9)),NOT(ISNUMBER('Price History'!J8)),'Price History'!J8=0),"",'Price History'!J9/'Price History'!J8-1),"")</f>
        <v>-7.3956811170644676E-2</v>
      </c>
      <c r="K8" s="69">
        <f>IFERROR(IF(OR(NOT(ISNUMBER('Price History'!K9)),NOT(ISNUMBER('Price History'!K8)),'Price History'!K8=0),"",'Price History'!K9/'Price History'!K8-1),"")</f>
        <v>-7.8277886497064575E-2</v>
      </c>
      <c r="L8" s="69">
        <f>IFERROR(IF(OR(NOT(ISNUMBER('Price History'!L9)),NOT(ISNUMBER('Price History'!L8)),'Price History'!L8=0),"",'Price History'!L9/'Price History'!L8-1),"")</f>
        <v>-4.0448179271708629E-2</v>
      </c>
      <c r="M8" s="69">
        <f>IFERROR(IF(OR(NOT(ISNUMBER('Price History'!M9)),NOT(ISNUMBER('Price History'!M8)),'Price History'!M8=0),"",'Price History'!M9/'Price History'!M8-1),"")</f>
        <v>-4.5061566675399511E-2</v>
      </c>
      <c r="N8" s="69">
        <f>IFERROR(IF(OR(NOT(ISNUMBER('Price History'!N9)),NOT(ISNUMBER('Price History'!N8)),'Price History'!N8=0),"",'Price History'!N9/'Price History'!N8-1),"")</f>
        <v>1.8056749785038129E-3</v>
      </c>
      <c r="O8" s="69">
        <f>IFERROR(IF(OR(NOT(ISNUMBER('Price History'!O9)),NOT(ISNUMBER('Price History'!O8)),'Price History'!O8=0),"",'Price History'!O9/'Price History'!O8-1),"")</f>
        <v>-3.3644153225806495E-2</v>
      </c>
      <c r="P8" s="69" t="str">
        <f>IFERROR(IF(OR(NOT(ISNUMBER('Price History'!P9)),NOT(ISNUMBER('Price History'!P8)),'Price History'!P8=0),"",'Price History'!P9/'Price History'!P8-1),"")</f>
        <v/>
      </c>
      <c r="Q8" s="69">
        <f>IFERROR(IF(OR(NOT(ISNUMBER('Price History'!Q9)),NOT(ISNUMBER('Price History'!Q8)),'Price History'!Q8=0),"",'Price History'!Q9/'Price History'!Q8-1),"")</f>
        <v>1.0057187931374445E-2</v>
      </c>
      <c r="R8" s="69">
        <f>IFERROR(IF(OR(NOT(ISNUMBER('Price History'!R9)),NOT(ISNUMBER('Price History'!R8)),'Price History'!R8=0),"",'Price History'!R9/'Price History'!R8-1),"")</f>
        <v>-2.6965359883841633E-2</v>
      </c>
      <c r="S8" s="69">
        <f>IFERROR(IF(OR(NOT(ISNUMBER('Price History'!S9)),NOT(ISNUMBER('Price History'!S8)),'Price History'!S8=0),"",'Price History'!S9/'Price History'!S8-1),"")</f>
        <v>-2.8899780294067923E-2</v>
      </c>
      <c r="T8" s="69">
        <f>IFERROR(IF(OR(NOT(ISNUMBER('Price History'!T9)),NOT(ISNUMBER('Price History'!T8)),'Price History'!T8=0),"",'Price History'!T9/'Price History'!T8-1),"")</f>
        <v>-1.4828897338403091E-2</v>
      </c>
      <c r="U8" s="69" t="str">
        <f>IFERROR(IF(OR(NOT(ISNUMBER('Price History'!U9)),NOT(ISNUMBER('Price History'!U8)),'Price History'!U8=0),"",'Price History'!U9/'Price History'!U8-1),"")</f>
        <v/>
      </c>
    </row>
    <row r="9" spans="1:21" ht="15" customHeight="1" x14ac:dyDescent="0.2">
      <c r="A9" s="52">
        <f>'Price History'!A10</f>
        <v>45198</v>
      </c>
      <c r="B9" s="69">
        <f>IFERROR(IF(OR(NOT(ISNUMBER('Price History'!B10)),NOT(ISNUMBER('Price History'!B9)),'Price History'!B9=0),"",'Price History'!B10/'Price History'!B9-1),"")</f>
        <v>-5.849093390524418E-3</v>
      </c>
      <c r="C9" s="69">
        <f>IFERROR(IF(OR(NOT(ISNUMBER('Price History'!C10)),NOT(ISNUMBER('Price History'!C9)),'Price History'!C9=0),"",'Price History'!C10/'Price History'!C9-1),"")</f>
        <v>1.9738301175426853E-2</v>
      </c>
      <c r="D9" s="69">
        <f>IFERROR(IF(OR(NOT(ISNUMBER('Price History'!D10)),NOT(ISNUMBER('Price History'!D9)),'Price History'!D9=0),"",'Price History'!D10/'Price History'!D9-1),"")</f>
        <v>2.6571282575369448E-3</v>
      </c>
      <c r="E9" s="69">
        <f>IFERROR(IF(OR(NOT(ISNUMBER('Price History'!E10)),NOT(ISNUMBER('Price History'!E9)),'Price History'!E9=0),"",'Price History'!E10/'Price History'!E9-1),"")</f>
        <v>1.8091906886985587E-3</v>
      </c>
      <c r="F9" s="69">
        <f>IFERROR(IF(OR(NOT(ISNUMBER('Price History'!F10)),NOT(ISNUMBER('Price History'!F9)),'Price History'!F9=0),"",'Price History'!F10/'Price History'!F9-1),"")</f>
        <v>2.9773622047244208E-2</v>
      </c>
      <c r="G9" s="69">
        <f>IFERROR(IF(OR(NOT(ISNUMBER('Price History'!G10)),NOT(ISNUMBER('Price History'!G9)),'Price History'!G9=0),"",'Price History'!G10/'Price History'!G9-1),"")</f>
        <v>1.5272244355909681E-2</v>
      </c>
      <c r="H9" s="69">
        <f>IFERROR(IF(OR(NOT(ISNUMBER('Price History'!H10)),NOT(ISNUMBER('Price History'!H9)),'Price History'!H9=0),"",'Price History'!H10/'Price History'!H9-1),"")</f>
        <v>-1.2340301974448242E-2</v>
      </c>
      <c r="I9" s="69">
        <f>IFERROR(IF(OR(NOT(ISNUMBER('Price History'!I10)),NOT(ISNUMBER('Price History'!I9)),'Price History'!I9=0),"",'Price History'!I10/'Price History'!I9-1),"")</f>
        <v>4.5421773612112526E-2</v>
      </c>
      <c r="J9" s="69">
        <f>IFERROR(IF(OR(NOT(ISNUMBER('Price History'!J10)),NOT(ISNUMBER('Price History'!J9)),'Price History'!J9=0),"",'Price History'!J10/'Price History'!J9-1),"")</f>
        <v>-1.6305777154378864E-2</v>
      </c>
      <c r="K9" s="69">
        <f>IFERROR(IF(OR(NOT(ISNUMBER('Price History'!K10)),NOT(ISNUMBER('Price History'!K9)),'Price History'!K9=0),"",'Price History'!K10/'Price History'!K9-1),"")</f>
        <v>0.13234253361641901</v>
      </c>
      <c r="L9" s="69">
        <f>IFERROR(IF(OR(NOT(ISNUMBER('Price History'!L10)),NOT(ISNUMBER('Price History'!L9)),'Price History'!L9=0),"",'Price History'!L10/'Price History'!L9-1),"")</f>
        <v>1.4712751050910855E-2</v>
      </c>
      <c r="M9" s="69">
        <f>IFERROR(IF(OR(NOT(ISNUMBER('Price History'!M10)),NOT(ISNUMBER('Price History'!M9)),'Price History'!M9=0),"",'Price History'!M10/'Price History'!M9-1),"")</f>
        <v>2.0576131687242816E-2</v>
      </c>
      <c r="N9" s="69">
        <f>IFERROR(IF(OR(NOT(ISNUMBER('Price History'!N10)),NOT(ISNUMBER('Price History'!N9)),'Price History'!N9=0),"",'Price History'!N10/'Price History'!N9-1),"")</f>
        <v>-5.1211627042027086E-3</v>
      </c>
      <c r="O9" s="69">
        <f>IFERROR(IF(OR(NOT(ISNUMBER('Price History'!O10)),NOT(ISNUMBER('Price History'!O9)),'Price History'!O9=0),"",'Price History'!O10/'Price History'!O9-1),"")</f>
        <v>1.6429782240187762E-2</v>
      </c>
      <c r="P9" s="69" t="str">
        <f>IFERROR(IF(OR(NOT(ISNUMBER('Price History'!P10)),NOT(ISNUMBER('Price History'!P9)),'Price History'!P9=0),"",'Price History'!P10/'Price History'!P9-1),"")</f>
        <v/>
      </c>
      <c r="Q9" s="69">
        <f>IFERROR(IF(OR(NOT(ISNUMBER('Price History'!Q10)),NOT(ISNUMBER('Price History'!Q9)),'Price History'!Q9=0),"",'Price History'!Q10/'Price History'!Q9-1),"")</f>
        <v>1.3080827801640105E-2</v>
      </c>
      <c r="R9" s="69">
        <f>IFERROR(IF(OR(NOT(ISNUMBER('Price History'!R10)),NOT(ISNUMBER('Price History'!R9)),'Price History'!R9=0),"",'Price History'!R10/'Price History'!R9-1),"")</f>
        <v>4.2634832658294819E-4</v>
      </c>
      <c r="S9" s="69">
        <f>IFERROR(IF(OR(NOT(ISNUMBER('Price History'!S10)),NOT(ISNUMBER('Price History'!S9)),'Price History'!S9=0),"",'Price History'!S10/'Price History'!S9-1),"")</f>
        <v>-3.1326139923425478E-3</v>
      </c>
      <c r="T9" s="69">
        <f>IFERROR(IF(OR(NOT(ISNUMBER('Price History'!T10)),NOT(ISNUMBER('Price History'!T9)),'Price History'!T9=0),"",'Price History'!T10/'Price History'!T9-1),"")</f>
        <v>2.7016595908915253E-3</v>
      </c>
      <c r="U9" s="69" t="str">
        <f>IFERROR(IF(OR(NOT(ISNUMBER('Price History'!U10)),NOT(ISNUMBER('Price History'!U9)),'Price History'!U9=0),"",'Price History'!U10/'Price History'!U9-1),"")</f>
        <v/>
      </c>
    </row>
    <row r="10" spans="1:21" ht="15" customHeight="1" x14ac:dyDescent="0.2">
      <c r="A10" s="52">
        <f>'Price History'!A11</f>
        <v>45205</v>
      </c>
      <c r="B10" s="69">
        <f>IFERROR(IF(OR(NOT(ISNUMBER('Price History'!B11)),NOT(ISNUMBER('Price History'!B10)),'Price History'!B10=0),"",'Price History'!B11/'Price History'!B10-1),"")</f>
        <v>3.2908413414394877E-2</v>
      </c>
      <c r="C10" s="69">
        <f>IFERROR(IF(OR(NOT(ISNUMBER('Price History'!C11)),NOT(ISNUMBER('Price History'!C10)),'Price History'!C10=0),"",'Price History'!C11/'Price History'!C10-1),"")</f>
        <v>5.5023923444976086E-2</v>
      </c>
      <c r="D10" s="69">
        <f>IFERROR(IF(OR(NOT(ISNUMBER('Price History'!D11)),NOT(ISNUMBER('Price History'!D10)),'Price History'!D10=0),"",'Price History'!D11/'Price History'!D10-1),"")</f>
        <v>1.4779329324227986E-2</v>
      </c>
      <c r="E10" s="69">
        <f>IFERROR(IF(OR(NOT(ISNUMBER('Price History'!E11)),NOT(ISNUMBER('Price History'!E10)),'Price History'!E10=0),"",'Price History'!E11/'Price History'!E10-1),"")</f>
        <v>1.769804960269683E-2</v>
      </c>
      <c r="F10" s="69">
        <f>IFERROR(IF(OR(NOT(ISNUMBER('Price History'!F11)),NOT(ISNUMBER('Price History'!F10)),'Price History'!F10=0),"",'Price History'!F11/'Price History'!F10-1),"")</f>
        <v>5.5436081242532964E-2</v>
      </c>
      <c r="G10" s="69">
        <f>IFERROR(IF(OR(NOT(ISNUMBER('Price History'!G11)),NOT(ISNUMBER('Price History'!G10)),'Price History'!G10=0),"",'Price History'!G11/'Price History'!G10-1),"")</f>
        <v>2.0492696751689632E-2</v>
      </c>
      <c r="H10" s="69">
        <f>IFERROR(IF(OR(NOT(ISNUMBER('Price History'!H11)),NOT(ISNUMBER('Price History'!H10)),'Price History'!H10=0),"",'Price History'!H11/'Price History'!H10-1),"")</f>
        <v>2.8369836836689588E-2</v>
      </c>
      <c r="I10" s="69">
        <f>IFERROR(IF(OR(NOT(ISNUMBER('Price History'!I11)),NOT(ISNUMBER('Price History'!I10)),'Price History'!I10=0),"",'Price History'!I11/'Price History'!I10-1),"")</f>
        <v>5.1954022988505599E-2</v>
      </c>
      <c r="J10" s="69">
        <f>IFERROR(IF(OR(NOT(ISNUMBER('Price History'!J11)),NOT(ISNUMBER('Price History'!J10)),'Price History'!J10=0),"",'Price History'!J11/'Price History'!J10-1),"")</f>
        <v>-2.9409143570091723E-2</v>
      </c>
      <c r="K10" s="69">
        <f>IFERROR(IF(OR(NOT(ISNUMBER('Price History'!K11)),NOT(ISNUMBER('Price History'!K10)),'Price History'!K10=0),"",'Price History'!K11/'Price History'!K10-1),"")</f>
        <v>3.8124999999999964E-2</v>
      </c>
      <c r="L10" s="69">
        <f>IFERROR(IF(OR(NOT(ISNUMBER('Price History'!L11)),NOT(ISNUMBER('Price History'!L10)),'Price History'!L10=0),"",'Price History'!L11/'Price History'!L10-1),"")</f>
        <v>2.7502876869965442E-2</v>
      </c>
      <c r="M10" s="69">
        <f>IFERROR(IF(OR(NOT(ISNUMBER('Price History'!M11)),NOT(ISNUMBER('Price History'!M10)),'Price History'!M10=0),"",'Price History'!M11/'Price History'!M10-1),"")</f>
        <v>6.9086021505376349E-2</v>
      </c>
      <c r="N10" s="69">
        <f>IFERROR(IF(OR(NOT(ISNUMBER('Price History'!N11)),NOT(ISNUMBER('Price History'!N10)),'Price History'!N10=0),"",'Price History'!N11/'Price History'!N10-1),"")</f>
        <v>3.7039167193880562E-2</v>
      </c>
      <c r="O10" s="69">
        <f>IFERROR(IF(OR(NOT(ISNUMBER('Price History'!O11)),NOT(ISNUMBER('Price History'!O10)),'Price History'!O10=0),"",'Price History'!O11/'Price History'!O10-1),"")</f>
        <v>-3.0147530468249029E-2</v>
      </c>
      <c r="P10" s="69" t="str">
        <f>IFERROR(IF(OR(NOT(ISNUMBER('Price History'!P11)),NOT(ISNUMBER('Price History'!P10)),'Price History'!P10=0),"",'Price History'!P11/'Price History'!P10-1),"")</f>
        <v/>
      </c>
      <c r="Q10" s="69">
        <f>IFERROR(IF(OR(NOT(ISNUMBER('Price History'!Q11)),NOT(ISNUMBER('Price History'!Q10)),'Price History'!Q10=0),"",'Price History'!Q11/'Price History'!Q10-1),"")</f>
        <v>4.4324532665251937E-3</v>
      </c>
      <c r="R10" s="69">
        <f>IFERROR(IF(OR(NOT(ISNUMBER('Price History'!R11)),NOT(ISNUMBER('Price History'!R10)),'Price History'!R10=0),"",'Price History'!R11/'Price History'!R10-1),"")</f>
        <v>4.2616663115278008E-3</v>
      </c>
      <c r="S10" s="69">
        <f>IFERROR(IF(OR(NOT(ISNUMBER('Price History'!S11)),NOT(ISNUMBER('Price History'!S10)),'Price History'!S10=0),"",'Price History'!S11/'Price History'!S10-1),"")</f>
        <v>1.1173184357541999E-2</v>
      </c>
      <c r="T10" s="69">
        <f>IFERROR(IF(OR(NOT(ISNUMBER('Price History'!T11)),NOT(ISNUMBER('Price History'!T10)),'Price History'!T10=0),"",'Price History'!T11/'Price History'!T10-1),"")</f>
        <v>-1.8475750577367167E-2</v>
      </c>
      <c r="U10" s="69" t="str">
        <f>IFERROR(IF(OR(NOT(ISNUMBER('Price History'!U11)),NOT(ISNUMBER('Price History'!U10)),'Price History'!U10=0),"",'Price History'!U11/'Price History'!U10-1),"")</f>
        <v/>
      </c>
    </row>
    <row r="11" spans="1:21" ht="15" customHeight="1" x14ac:dyDescent="0.2">
      <c r="A11" s="52">
        <f>'Price History'!A12</f>
        <v>45212</v>
      </c>
      <c r="B11" s="69">
        <f>IFERROR(IF(OR(NOT(ISNUMBER('Price History'!B12)),NOT(ISNUMBER('Price History'!B11)),'Price History'!B11=0),"",'Price History'!B12/'Price History'!B11-1),"")</f>
        <v>4.1922989291410362E-2</v>
      </c>
      <c r="C11" s="69">
        <f>IFERROR(IF(OR(NOT(ISNUMBER('Price History'!C12)),NOT(ISNUMBER('Price History'!C11)),'Price History'!C11=0),"",'Price History'!C12/'Price History'!C11-1),"")</f>
        <v>-2.1645021645021578E-2</v>
      </c>
      <c r="D11" s="69">
        <f>IFERROR(IF(OR(NOT(ISNUMBER('Price History'!D12)),NOT(ISNUMBER('Price History'!D11)),'Price History'!D11=0),"",'Price History'!D12/'Price History'!D11-1),"")</f>
        <v>4.0009374581491119E-3</v>
      </c>
      <c r="E11" s="69">
        <f>IFERROR(IF(OR(NOT(ISNUMBER('Price History'!E12)),NOT(ISNUMBER('Price History'!E11)),'Price History'!E11=0),"",'Price History'!E12/'Price History'!E11-1),"")</f>
        <v>4.4836152845143751E-2</v>
      </c>
      <c r="F11" s="69">
        <f>IFERROR(IF(OR(NOT(ISNUMBER('Price History'!F12)),NOT(ISNUMBER('Price History'!F11)),'Price History'!F11=0),"",'Price History'!F12/'Price History'!F11-1),"")</f>
        <v>5.1165949739642169E-2</v>
      </c>
      <c r="G11" s="69">
        <f>IFERROR(IF(OR(NOT(ISNUMBER('Price History'!G12)),NOT(ISNUMBER('Price History'!G11)),'Price History'!G11=0),"",'Price History'!G12/'Price History'!G11-1),"")</f>
        <v>3.99487289040803E-2</v>
      </c>
      <c r="H11" s="69">
        <f>IFERROR(IF(OR(NOT(ISNUMBER('Price History'!H12)),NOT(ISNUMBER('Price History'!H11)),'Price History'!H11=0),"",'Price History'!H12/'Price History'!H11-1),"")</f>
        <v>-1.0720411663807883E-2</v>
      </c>
      <c r="I11" s="69">
        <f>IFERROR(IF(OR(NOT(ISNUMBER('Price History'!I12)),NOT(ISNUMBER('Price History'!I11)),'Price History'!I11=0),"",'Price History'!I12/'Price History'!I11-1),"")</f>
        <v>-6.5559440559439519E-3</v>
      </c>
      <c r="J11" s="69">
        <f>IFERROR(IF(OR(NOT(ISNUMBER('Price History'!J12)),NOT(ISNUMBER('Price History'!J11)),'Price History'!J11=0),"",'Price History'!J12/'Price History'!J11-1),"")</f>
        <v>6.7946010467359041E-3</v>
      </c>
      <c r="K11" s="69">
        <f>IFERROR(IF(OR(NOT(ISNUMBER('Price History'!K12)),NOT(ISNUMBER('Price History'!K11)),'Price History'!K11=0),"",'Price History'!K12/'Price History'!K11-1),"")</f>
        <v>4.5153521974714117E-2</v>
      </c>
      <c r="L11" s="69">
        <f>IFERROR(IF(OR(NOT(ISNUMBER('Price History'!L12)),NOT(ISNUMBER('Price History'!L11)),'Price History'!L11=0),"",'Price History'!L12/'Price History'!L11-1),"")</f>
        <v>1.3103371038190037E-2</v>
      </c>
      <c r="M11" s="69">
        <f>IFERROR(IF(OR(NOT(ISNUMBER('Price History'!M12)),NOT(ISNUMBER('Price History'!M11)),'Price History'!M11=0),"",'Price History'!M12/'Price History'!M11-1),"")</f>
        <v>-1.6846869499622885E-2</v>
      </c>
      <c r="N11" s="69">
        <f>IFERROR(IF(OR(NOT(ISNUMBER('Price History'!N12)),NOT(ISNUMBER('Price History'!N11)),'Price History'!N11=0),"",'Price History'!N12/'Price History'!N11-1),"")</f>
        <v>2.8783761299983279E-2</v>
      </c>
      <c r="O11" s="69">
        <f>IFERROR(IF(OR(NOT(ISNUMBER('Price History'!O12)),NOT(ISNUMBER('Price History'!O11)),'Price History'!O11=0),"",'Price History'!O12/'Price History'!O11-1),"")</f>
        <v>2.6455026455027841E-3</v>
      </c>
      <c r="P11" s="69" t="str">
        <f>IFERROR(IF(OR(NOT(ISNUMBER('Price History'!P12)),NOT(ISNUMBER('Price History'!P11)),'Price History'!P11=0),"",'Price History'!P12/'Price History'!P11-1),"")</f>
        <v/>
      </c>
      <c r="Q11" s="69">
        <f>IFERROR(IF(OR(NOT(ISNUMBER('Price History'!Q12)),NOT(ISNUMBER('Price History'!Q11)),'Price History'!Q11=0),"",'Price History'!Q12/'Price History'!Q11-1),"")</f>
        <v>9.593246354566709E-4</v>
      </c>
      <c r="R11" s="69">
        <f>IFERROR(IF(OR(NOT(ISNUMBER('Price History'!R12)),NOT(ISNUMBER('Price History'!R11)),'Price History'!R11=0),"",'Price History'!R12/'Price History'!R11-1),"")</f>
        <v>2.7583280288563383E-3</v>
      </c>
      <c r="S11" s="69">
        <f>IFERROR(IF(OR(NOT(ISNUMBER('Price History'!S12)),NOT(ISNUMBER('Price History'!S11)),'Price History'!S11=0),"",'Price History'!S12/'Price History'!S11-1),"")</f>
        <v>5.6975138121546642E-3</v>
      </c>
      <c r="T11" s="69">
        <f>IFERROR(IF(OR(NOT(ISNUMBER('Price History'!T12)),NOT(ISNUMBER('Price History'!T11)),'Price History'!T11=0),"",'Price History'!T12/'Price History'!T11-1),"")</f>
        <v>1.2941176470588234E-2</v>
      </c>
      <c r="U11" s="69" t="str">
        <f>IFERROR(IF(OR(NOT(ISNUMBER('Price History'!U12)),NOT(ISNUMBER('Price History'!U11)),'Price History'!U11=0),"",'Price History'!U12/'Price History'!U11-1),"")</f>
        <v/>
      </c>
    </row>
    <row r="12" spans="1:21" ht="15" customHeight="1" x14ac:dyDescent="0.2">
      <c r="A12" s="52">
        <f>'Price History'!A13</f>
        <v>45219</v>
      </c>
      <c r="B12" s="69">
        <f>IFERROR(IF(OR(NOT(ISNUMBER('Price History'!B13)),NOT(ISNUMBER('Price History'!B12)),'Price History'!B12=0),"",'Price History'!B13/'Price History'!B12-1),"")</f>
        <v>-1.4213863984255282E-2</v>
      </c>
      <c r="C12" s="69">
        <f>IFERROR(IF(OR(NOT(ISNUMBER('Price History'!C13)),NOT(ISNUMBER('Price History'!C12)),'Price History'!C12=0),"",'Price History'!C13/'Price History'!C12-1),"")</f>
        <v>-1.9595448798988668E-2</v>
      </c>
      <c r="D12" s="69">
        <f>IFERROR(IF(OR(NOT(ISNUMBER('Price History'!D13)),NOT(ISNUMBER('Price History'!D12)),'Price History'!D12=0),"",'Price History'!D13/'Price History'!D12-1),"")</f>
        <v>-3.2763651521467207E-2</v>
      </c>
      <c r="E12" s="69">
        <f>IFERROR(IF(OR(NOT(ISNUMBER('Price History'!E13)),NOT(ISNUMBER('Price History'!E12)),'Price History'!E12=0),"",'Price History'!E13/'Price History'!E12-1),"")</f>
        <v>-3.3514492753623171E-2</v>
      </c>
      <c r="F12" s="69">
        <f>IFERROR(IF(OR(NOT(ISNUMBER('Price History'!F13)),NOT(ISNUMBER('Price History'!F12)),'Price History'!F12=0),"",'Price History'!F13/'Price History'!F12-1),"")</f>
        <v>-3.7475769976308415E-2</v>
      </c>
      <c r="G12" s="69">
        <f>IFERROR(IF(OR(NOT(ISNUMBER('Price History'!G13)),NOT(ISNUMBER('Price History'!G12)),'Price History'!G12=0),"",'Price History'!G13/'Price History'!G12-1),"")</f>
        <v>-5.0123253903040177E-2</v>
      </c>
      <c r="H12" s="69">
        <f>IFERROR(IF(OR(NOT(ISNUMBER('Price History'!H13)),NOT(ISNUMBER('Price History'!H12)),'Price History'!H12=0),"",'Price History'!H13/'Price History'!H12-1),"")</f>
        <v>-2.8753070365554079E-2</v>
      </c>
      <c r="I12" s="69">
        <f>IFERROR(IF(OR(NOT(ISNUMBER('Price History'!I13)),NOT(ISNUMBER('Price History'!I12)),'Price History'!I12=0),"",'Price History'!I13/'Price History'!I12-1),"")</f>
        <v>-8.9529256489221276E-2</v>
      </c>
      <c r="J12" s="69">
        <f>IFERROR(IF(OR(NOT(ISNUMBER('Price History'!J13)),NOT(ISNUMBER('Price History'!J12)),'Price History'!J12=0),"",'Price History'!J13/'Price History'!J12-1),"")</f>
        <v>-6.5845873233014163E-2</v>
      </c>
      <c r="K12" s="69">
        <f>IFERROR(IF(OR(NOT(ISNUMBER('Price History'!K13)),NOT(ISNUMBER('Price History'!K12)),'Price History'!K12=0),"",'Price History'!K13/'Price History'!K12-1),"")</f>
        <v>-7.2004608294930827E-2</v>
      </c>
      <c r="L12" s="69">
        <f>IFERROR(IF(OR(NOT(ISNUMBER('Price History'!L13)),NOT(ISNUMBER('Price History'!L12)),'Price History'!L12=0),"",'Price History'!L13/'Price History'!L12-1),"")</f>
        <v>9.3964183064338958E-3</v>
      </c>
      <c r="M12" s="69">
        <f>IFERROR(IF(OR(NOT(ISNUMBER('Price History'!M13)),NOT(ISNUMBER('Price History'!M12)),'Price History'!M12=0),"",'Price History'!M13/'Price History'!M12-1),"")</f>
        <v>-6.0358056265984672E-2</v>
      </c>
      <c r="N12" s="69">
        <f>IFERROR(IF(OR(NOT(ISNUMBER('Price History'!N13)),NOT(ISNUMBER('Price History'!N12)),'Price History'!N12=0),"",'Price History'!N13/'Price History'!N12-1),"")</f>
        <v>-2.4636118598382661E-2</v>
      </c>
      <c r="O12" s="69">
        <f>IFERROR(IF(OR(NOT(ISNUMBER('Price History'!O13)),NOT(ISNUMBER('Price History'!O12)),'Price History'!O12=0),"",'Price History'!O13/'Price History'!O12-1),"")</f>
        <v>-1.6754617414247996E-2</v>
      </c>
      <c r="P12" s="69" t="str">
        <f>IFERROR(IF(OR(NOT(ISNUMBER('Price History'!P13)),NOT(ISNUMBER('Price History'!P12)),'Price History'!P12=0),"",'Price History'!P13/'Price History'!P12-1),"")</f>
        <v/>
      </c>
      <c r="Q12" s="69">
        <f>IFERROR(IF(OR(NOT(ISNUMBER('Price History'!Q13)),NOT(ISNUMBER('Price History'!Q12)),'Price History'!Q12=0),"",'Price History'!Q13/'Price History'!Q12-1),"")</f>
        <v>3.6419398121525504E-3</v>
      </c>
      <c r="R12" s="69">
        <f>IFERROR(IF(OR(NOT(ISNUMBER('Price History'!R13)),NOT(ISNUMBER('Price History'!R12)),'Price History'!R12=0),"",'Price History'!R13/'Price History'!R12-1),"")</f>
        <v>-1.9889970376639865E-2</v>
      </c>
      <c r="S12" s="69">
        <f>IFERROR(IF(OR(NOT(ISNUMBER('Price History'!S13)),NOT(ISNUMBER('Price History'!S12)),'Price History'!S12=0),"",'Price History'!S13/'Price History'!S12-1),"")</f>
        <v>-2.9012875536480687E-2</v>
      </c>
      <c r="T12" s="69">
        <f>IFERROR(IF(OR(NOT(ISNUMBER('Price History'!T13)),NOT(ISNUMBER('Price History'!T12)),'Price History'!T12=0),"",'Price History'!T13/'Price History'!T12-1),"")</f>
        <v>-1.2775842044134622E-2</v>
      </c>
      <c r="U12" s="69" t="str">
        <f>IFERROR(IF(OR(NOT(ISNUMBER('Price History'!U13)),NOT(ISNUMBER('Price History'!U12)),'Price History'!U12=0),"",'Price History'!U13/'Price History'!U12-1),"")</f>
        <v/>
      </c>
    </row>
    <row r="13" spans="1:21" ht="15" customHeight="1" x14ac:dyDescent="0.2">
      <c r="A13" s="52">
        <f>'Price History'!A14</f>
        <v>45226</v>
      </c>
      <c r="B13" s="69">
        <f>IFERROR(IF(OR(NOT(ISNUMBER('Price History'!B14)),NOT(ISNUMBER('Price History'!B13)),'Price History'!B13=0),"",'Price History'!B14/'Price History'!B13-1),"")</f>
        <v>-6.0706891452233069E-2</v>
      </c>
      <c r="C13" s="69">
        <f>IFERROR(IF(OR(NOT(ISNUMBER('Price History'!C14)),NOT(ISNUMBER('Price History'!C13)),'Price History'!C13=0),"",'Price History'!C14/'Price History'!C13-1),"")</f>
        <v>-5.3298946915968259E-2</v>
      </c>
      <c r="D13" s="69">
        <f>IFERROR(IF(OR(NOT(ISNUMBER('Price History'!D14)),NOT(ISNUMBER('Price History'!D13)),'Price History'!D13=0),"",'Price History'!D14/'Price History'!D13-1),"")</f>
        <v>1.7066023099465477E-2</v>
      </c>
      <c r="E13" s="69">
        <f>IFERROR(IF(OR(NOT(ISNUMBER('Price History'!E14)),NOT(ISNUMBER('Price History'!E13)),'Price History'!E13=0),"",'Price History'!E14/'Price History'!E13-1),"")</f>
        <v>-1.7806935332708496E-2</v>
      </c>
      <c r="F13" s="69">
        <f>IFERROR(IF(OR(NOT(ISNUMBER('Price History'!F14)),NOT(ISNUMBER('Price History'!F13)),'Price History'!F13=0),"",'Price History'!F14/'Price History'!F13-1),"")</f>
        <v>-3.3117028417990579E-2</v>
      </c>
      <c r="G13" s="69">
        <f>IFERROR(IF(OR(NOT(ISNUMBER('Price History'!G14)),NOT(ISNUMBER('Price History'!G13)),'Price History'!G13=0),"",'Price History'!G14/'Price History'!G13-1),"")</f>
        <v>-9.7318339100346263E-3</v>
      </c>
      <c r="H13" s="69">
        <f>IFERROR(IF(OR(NOT(ISNUMBER('Price History'!H14)),NOT(ISNUMBER('Price History'!H13)),'Price History'!H13=0),"",'Price History'!H14/'Price History'!H13-1),"")</f>
        <v>-2.3356144004760382E-2</v>
      </c>
      <c r="I13" s="69">
        <f>IFERROR(IF(OR(NOT(ISNUMBER('Price History'!I14)),NOT(ISNUMBER('Price History'!I13)),'Price History'!I13=0),"",'Price History'!I14/'Price History'!I13-1),"")</f>
        <v>-2.1502778448900695E-2</v>
      </c>
      <c r="J13" s="69">
        <f>IFERROR(IF(OR(NOT(ISNUMBER('Price History'!J14)),NOT(ISNUMBER('Price History'!J13)),'Price History'!J13=0),"",'Price History'!J14/'Price History'!J13-1),"")</f>
        <v>-4.9887728204627724E-2</v>
      </c>
      <c r="K13" s="69">
        <f>IFERROR(IF(OR(NOT(ISNUMBER('Price History'!K14)),NOT(ISNUMBER('Price History'!K13)),'Price History'!K13=0),"",'Price History'!K14/'Price History'!K13-1),"")</f>
        <v>-6.4556176288019795E-2</v>
      </c>
      <c r="L13" s="69">
        <f>IFERROR(IF(OR(NOT(ISNUMBER('Price History'!L14)),NOT(ISNUMBER('Price History'!L13)),'Price History'!L13=0),"",'Price History'!L14/'Price History'!L13-1),"")</f>
        <v>-5.8263059905815484E-2</v>
      </c>
      <c r="M13" s="69">
        <f>IFERROR(IF(OR(NOT(ISNUMBER('Price History'!M14)),NOT(ISNUMBER('Price History'!M13)),'Price History'!M13=0),"",'Price History'!M14/'Price History'!M13-1),"")</f>
        <v>-8.7098530212302849E-3</v>
      </c>
      <c r="N13" s="69">
        <f>IFERROR(IF(OR(NOT(ISNUMBER('Price History'!N14)),NOT(ISNUMBER('Price History'!N13)),'Price History'!N13=0),"",'Price History'!N14/'Price History'!N13-1),"")</f>
        <v>-1.8183827999779023E-2</v>
      </c>
      <c r="O13" s="69">
        <f>IFERROR(IF(OR(NOT(ISNUMBER('Price History'!O14)),NOT(ISNUMBER('Price History'!O13)),'Price History'!O13=0),"",'Price History'!O14/'Price History'!O13-1),"")</f>
        <v>-1.5430028176573241E-2</v>
      </c>
      <c r="P13" s="69" t="str">
        <f>IFERROR(IF(OR(NOT(ISNUMBER('Price History'!P14)),NOT(ISNUMBER('Price History'!P13)),'Price History'!P13=0),"",'Price History'!P14/'Price History'!P13-1),"")</f>
        <v/>
      </c>
      <c r="Q13" s="69">
        <f>IFERROR(IF(OR(NOT(ISNUMBER('Price History'!Q14)),NOT(ISNUMBER('Price History'!Q13)),'Price History'!Q13=0),"",'Price History'!Q14/'Price History'!Q13-1),"")</f>
        <v>8.9763177998471999E-3</v>
      </c>
      <c r="R13" s="69">
        <f>IFERROR(IF(OR(NOT(ISNUMBER('Price History'!R14)),NOT(ISNUMBER('Price History'!R13)),'Price History'!R13=0),"",'Price History'!R14/'Price History'!R13-1),"")</f>
        <v>-2.0725388601036343E-2</v>
      </c>
      <c r="S13" s="69">
        <f>IFERROR(IF(OR(NOT(ISNUMBER('Price History'!S14)),NOT(ISNUMBER('Price History'!S13)),'Price History'!S13=0),"",'Price History'!S14/'Price History'!S13-1),"")</f>
        <v>-2.0155586987270158E-2</v>
      </c>
      <c r="T13" s="69">
        <f>IFERROR(IF(OR(NOT(ISNUMBER('Price History'!T14)),NOT(ISNUMBER('Price History'!T13)),'Price History'!T13=0),"",'Price History'!T14/'Price History'!T13-1),"")</f>
        <v>-3.2941176470588251E-2</v>
      </c>
      <c r="U13" s="69" t="str">
        <f>IFERROR(IF(OR(NOT(ISNUMBER('Price History'!U14)),NOT(ISNUMBER('Price History'!U13)),'Price History'!U13=0),"",'Price History'!U14/'Price History'!U13-1),"")</f>
        <v/>
      </c>
    </row>
    <row r="14" spans="1:21" ht="15" customHeight="1" x14ac:dyDescent="0.2">
      <c r="A14" s="52">
        <f>'Price History'!A15</f>
        <v>45233</v>
      </c>
      <c r="B14" s="69">
        <f>IFERROR(IF(OR(NOT(ISNUMBER('Price History'!B15)),NOT(ISNUMBER('Price History'!B14)),'Price History'!B14=0),"",'Price History'!B15/'Price History'!B14-1),"")</f>
        <v>0.10930488860899001</v>
      </c>
      <c r="C14" s="69">
        <f>IFERROR(IF(OR(NOT(ISNUMBER('Price History'!C15)),NOT(ISNUMBER('Price History'!C14)),'Price History'!C14=0),"",'Price History'!C15/'Price History'!C14-1),"")</f>
        <v>0.20590238365493763</v>
      </c>
      <c r="D14" s="69">
        <f>IFERROR(IF(OR(NOT(ISNUMBER('Price History'!D15)),NOT(ISNUMBER('Price History'!D14)),'Price History'!D14=0),"",'Price History'!D15/'Price History'!D14-1),"")</f>
        <v>8.8830508474576186E-2</v>
      </c>
      <c r="E14" s="69">
        <f>IFERROR(IF(OR(NOT(ISNUMBER('Price History'!E15)),NOT(ISNUMBER('Price History'!E14)),'Price History'!E14=0),"",'Price History'!E15/'Price History'!E14-1),"")</f>
        <v>5.2838740458015288E-2</v>
      </c>
      <c r="F14" s="69">
        <f>IFERROR(IF(OR(NOT(ISNUMBER('Price History'!F15)),NOT(ISNUMBER('Price History'!F14)),'Price History'!F14=0),"",'Price History'!F15/'Price History'!F14-1),"")</f>
        <v>8.9099745429298771E-2</v>
      </c>
      <c r="G14" s="69">
        <f>IFERROR(IF(OR(NOT(ISNUMBER('Price History'!G15)),NOT(ISNUMBER('Price History'!G14)),'Price History'!G14=0),"",'Price History'!G15/'Price History'!G14-1),"")</f>
        <v>9.1067918759554445E-2</v>
      </c>
      <c r="H14" s="69">
        <f>IFERROR(IF(OR(NOT(ISNUMBER('Price History'!H15)),NOT(ISNUMBER('Price History'!H14)),'Price History'!H14=0),"",'Price History'!H15/'Price History'!H14-1),"")</f>
        <v>0.10555978674790545</v>
      </c>
      <c r="I14" s="69">
        <f>IFERROR(IF(OR(NOT(ISNUMBER('Price History'!I15)),NOT(ISNUMBER('Price History'!I14)),'Price History'!I14=0),"",'Price History'!I15/'Price History'!I14-1),"")</f>
        <v>0.11135802469135792</v>
      </c>
      <c r="J14" s="69">
        <f>IFERROR(IF(OR(NOT(ISNUMBER('Price History'!J15)),NOT(ISNUMBER('Price History'!J14)),'Price History'!J14=0),"",'Price History'!J15/'Price History'!J14-1),"")</f>
        <v>9.4841759145088522E-2</v>
      </c>
      <c r="K14" s="69">
        <f>IFERROR(IF(OR(NOT(ISNUMBER('Price History'!K15)),NOT(ISNUMBER('Price History'!K14)),'Price History'!K14=0),"",'Price History'!K15/'Price History'!K14-1),"")</f>
        <v>0.25348374253483752</v>
      </c>
      <c r="L14" s="69">
        <f>IFERROR(IF(OR(NOT(ISNUMBER('Price History'!L15)),NOT(ISNUMBER('Price History'!L14)),'Price History'!L14=0),"",'Price History'!L15/'Price History'!L14-1),"")</f>
        <v>6.744970345389012E-2</v>
      </c>
      <c r="M14" s="69">
        <f>IFERROR(IF(OR(NOT(ISNUMBER('Price History'!M15)),NOT(ISNUMBER('Price History'!M14)),'Price History'!M14=0),"",'Price History'!M15/'Price History'!M14-1),"")</f>
        <v>0.11037891268533762</v>
      </c>
      <c r="N14" s="69">
        <f>IFERROR(IF(OR(NOT(ISNUMBER('Price History'!N15)),NOT(ISNUMBER('Price History'!N14)),'Price History'!N14=0),"",'Price History'!N15/'Price History'!N14-1),"")</f>
        <v>5.8883134429182693E-2</v>
      </c>
      <c r="O14" s="69">
        <f>IFERROR(IF(OR(NOT(ISNUMBER('Price History'!O15)),NOT(ISNUMBER('Price History'!O14)),'Price History'!O14=0),"",'Price History'!O15/'Price History'!O14-1),"")</f>
        <v>7.1545380212592047E-2</v>
      </c>
      <c r="P14" s="69" t="str">
        <f>IFERROR(IF(OR(NOT(ISNUMBER('Price History'!P15)),NOT(ISNUMBER('Price History'!P14)),'Price History'!P14=0),"",'Price History'!P15/'Price History'!P14-1),"")</f>
        <v/>
      </c>
      <c r="Q14" s="69">
        <f>IFERROR(IF(OR(NOT(ISNUMBER('Price History'!Q15)),NOT(ISNUMBER('Price History'!Q14)),'Price History'!Q14=0),"",'Price History'!Q15/'Price History'!Q14-1),"")</f>
        <v>-7.5714556123418486E-4</v>
      </c>
      <c r="R14" s="69">
        <f>IFERROR(IF(OR(NOT(ISNUMBER('Price History'!R15)),NOT(ISNUMBER('Price History'!R14)),'Price History'!R14=0),"",'Price History'!R15/'Price History'!R14-1),"")</f>
        <v>4.7619047619047672E-2</v>
      </c>
      <c r="S14" s="69">
        <f>IFERROR(IF(OR(NOT(ISNUMBER('Price History'!S15)),NOT(ISNUMBER('Price History'!S14)),'Price History'!S14=0),"",'Price History'!S15/'Price History'!S14-1),"")</f>
        <v>5.8282208588956941E-2</v>
      </c>
      <c r="T14" s="69">
        <f>IFERROR(IF(OR(NOT(ISNUMBER('Price History'!T15)),NOT(ISNUMBER('Price History'!T14)),'Price History'!T14=0),"",'Price History'!T15/'Price History'!T14-1),"")</f>
        <v>5.8799675587996703E-2</v>
      </c>
      <c r="U14" s="69" t="str">
        <f>IFERROR(IF(OR(NOT(ISNUMBER('Price History'!U15)),NOT(ISNUMBER('Price History'!U14)),'Price History'!U14=0),"",'Price History'!U15/'Price History'!U14-1),"")</f>
        <v/>
      </c>
    </row>
    <row r="15" spans="1:21" ht="15" customHeight="1" x14ac:dyDescent="0.2">
      <c r="A15" s="52">
        <f>'Price History'!A16</f>
        <v>45240</v>
      </c>
      <c r="B15" s="69">
        <f>IFERROR(IF(OR(NOT(ISNUMBER('Price History'!B16)),NOT(ISNUMBER('Price History'!B15)),'Price History'!B15=0),"",'Price History'!B16/'Price History'!B15-1),"")</f>
        <v>5.953943866870115E-2</v>
      </c>
      <c r="C15" s="69">
        <f>IFERROR(IF(OR(NOT(ISNUMBER('Price History'!C16)),NOT(ISNUMBER('Price History'!C15)),'Price History'!C15=0),"",'Price History'!C16/'Price History'!C15-1),"")</f>
        <v>-2.654367469879515E-2</v>
      </c>
      <c r="D15" s="69">
        <f>IFERROR(IF(OR(NOT(ISNUMBER('Price History'!D16)),NOT(ISNUMBER('Price History'!D15)),'Price History'!D15=0),"",'Price History'!D16/'Price History'!D15-1),"")</f>
        <v>2.9373764418362036E-2</v>
      </c>
      <c r="E15" s="69">
        <f>IFERROR(IF(OR(NOT(ISNUMBER('Price History'!E16)),NOT(ISNUMBER('Price History'!E15)),'Price History'!E15=0),"",'Price History'!E16/'Price History'!E15-1),"")</f>
        <v>8.4740002265775605E-2</v>
      </c>
      <c r="F15" s="69">
        <f>IFERROR(IF(OR(NOT(ISNUMBER('Price History'!F16)),NOT(ISNUMBER('Price History'!F15)),'Price History'!F15=0),"",'Price History'!F16/'Price History'!F15-1),"")</f>
        <v>4.2923926901827336E-2</v>
      </c>
      <c r="G15" s="69">
        <f>IFERROR(IF(OR(NOT(ISNUMBER('Price History'!G16)),NOT(ISNUMBER('Price History'!G15)),'Price History'!G15=0),"",'Price History'!G16/'Price History'!G15-1),"")</f>
        <v>6.9455564451561314E-2</v>
      </c>
      <c r="H15" s="69">
        <f>IFERROR(IF(OR(NOT(ISNUMBER('Price History'!H16)),NOT(ISNUMBER('Price History'!H15)),'Price History'!H15=0),"",'Price History'!H16/'Price History'!H15-1),"")</f>
        <v>3.8302562689446207E-2</v>
      </c>
      <c r="I15" s="69">
        <f>IFERROR(IF(OR(NOT(ISNUMBER('Price History'!I16)),NOT(ISNUMBER('Price History'!I15)),'Price History'!I15=0),"",'Price History'!I16/'Price History'!I15-1),"")</f>
        <v>7.3983559209064742E-2</v>
      </c>
      <c r="J15" s="69">
        <f>IFERROR(IF(OR(NOT(ISNUMBER('Price History'!J16)),NOT(ISNUMBER('Price History'!J15)),'Price History'!J15=0),"",'Price History'!J16/'Price History'!J15-1),"")</f>
        <v>-1.8770530267480101E-2</v>
      </c>
      <c r="K15" s="69">
        <f>IFERROR(IF(OR(NOT(ISNUMBER('Price History'!K16)),NOT(ISNUMBER('Price History'!K15)),'Price History'!K15=0),"",'Price History'!K16/'Price History'!K15-1),"")</f>
        <v>4.1291688724192754E-2</v>
      </c>
      <c r="L15" s="69">
        <f>IFERROR(IF(OR(NOT(ISNUMBER('Price History'!L16)),NOT(ISNUMBER('Price History'!L15)),'Price History'!L15=0),"",'Price History'!L16/'Price History'!L15-1),"")</f>
        <v>6.155354613792352E-2</v>
      </c>
      <c r="M15" s="69">
        <f>IFERROR(IF(OR(NOT(ISNUMBER('Price History'!M16)),NOT(ISNUMBER('Price History'!M15)),'Price History'!M15=0),"",'Price History'!M16/'Price History'!M15-1),"")</f>
        <v>3.4371909000989076E-2</v>
      </c>
      <c r="N15" s="69">
        <f>IFERROR(IF(OR(NOT(ISNUMBER('Price History'!N16)),NOT(ISNUMBER('Price History'!N15)),'Price History'!N15=0),"",'Price History'!N16/'Price History'!N15-1),"")</f>
        <v>-6.7783094098884389E-3</v>
      </c>
      <c r="O15" s="69">
        <f>IFERROR(IF(OR(NOT(ISNUMBER('Price History'!O16)),NOT(ISNUMBER('Price History'!O15)),'Price History'!O15=0),"",'Price History'!O16/'Price History'!O15-1),"")</f>
        <v>-3.4083683072618554E-2</v>
      </c>
      <c r="P15" s="69" t="str">
        <f>IFERROR(IF(OR(NOT(ISNUMBER('Price History'!P16)),NOT(ISNUMBER('Price History'!P15)),'Price History'!P15=0),"",'Price History'!P16/'Price History'!P15-1),"")</f>
        <v/>
      </c>
      <c r="Q15" s="69">
        <f>IFERROR(IF(OR(NOT(ISNUMBER('Price History'!Q16)),NOT(ISNUMBER('Price History'!Q15)),'Price History'!Q15=0),"",'Price History'!Q16/'Price History'!Q15-1),"")</f>
        <v>1.7048683462776992E-3</v>
      </c>
      <c r="R15" s="69">
        <f>IFERROR(IF(OR(NOT(ISNUMBER('Price History'!R16)),NOT(ISNUMBER('Price History'!R15)),'Price History'!R15=0),"",'Price History'!R16/'Price History'!R15-1),"")</f>
        <v>2.0833333333333259E-2</v>
      </c>
      <c r="S15" s="69">
        <f>IFERROR(IF(OR(NOT(ISNUMBER('Price History'!S16)),NOT(ISNUMBER('Price History'!S15)),'Price History'!S15=0),"",'Price History'!S16/'Price History'!S15-1),"")</f>
        <v>2.9497016197783443E-2</v>
      </c>
      <c r="T15" s="69">
        <f>IFERROR(IF(OR(NOT(ISNUMBER('Price History'!T16)),NOT(ISNUMBER('Price History'!T15)),'Price History'!T15=0),"",'Price History'!T16/'Price History'!T15-1),"")</f>
        <v>-6.8939103791650913E-3</v>
      </c>
      <c r="U15" s="69" t="str">
        <f>IFERROR(IF(OR(NOT(ISNUMBER('Price History'!U16)),NOT(ISNUMBER('Price History'!U15)),'Price History'!U15=0),"",'Price History'!U16/'Price History'!U15-1),"")</f>
        <v/>
      </c>
    </row>
    <row r="16" spans="1:21" ht="15" customHeight="1" x14ac:dyDescent="0.2">
      <c r="A16" s="52">
        <f>'Price History'!A17</f>
        <v>45247</v>
      </c>
      <c r="B16" s="69">
        <f>IFERROR(IF(OR(NOT(ISNUMBER('Price History'!B17)),NOT(ISNUMBER('Price History'!B16)),'Price History'!B16=0),"",'Price History'!B17/'Price History'!B16-1),"")</f>
        <v>9.1088711027760283E-3</v>
      </c>
      <c r="C16" s="69">
        <f>IFERROR(IF(OR(NOT(ISNUMBER('Price History'!C17)),NOT(ISNUMBER('Price History'!C16)),'Price History'!C16=0),"",'Price History'!C17/'Price History'!C16-1),"")</f>
        <v>3.7710307484045469E-2</v>
      </c>
      <c r="D16" s="69">
        <f>IFERROR(IF(OR(NOT(ISNUMBER('Price History'!D17)),NOT(ISNUMBER('Price History'!D16)),'Price History'!D16=0),"",'Price History'!D17/'Price History'!D16-1),"")</f>
        <v>3.7518146624727855E-2</v>
      </c>
      <c r="E16" s="69">
        <f>IFERROR(IF(OR(NOT(ISNUMBER('Price History'!E17)),NOT(ISNUMBER('Price History'!E16)),'Price History'!E16=0),"",'Price History'!E17/'Price History'!E16-1),"")</f>
        <v>2.1096605744125307E-2</v>
      </c>
      <c r="F16" s="69">
        <f>IFERROR(IF(OR(NOT(ISNUMBER('Price History'!F17)),NOT(ISNUMBER('Price History'!F16)),'Price History'!F16=0),"",'Price History'!F17/'Price History'!F16-1),"")</f>
        <v>5.4808475957620395E-2</v>
      </c>
      <c r="G16" s="69">
        <f>IFERROR(IF(OR(NOT(ISNUMBER('Price History'!G17)),NOT(ISNUMBER('Price History'!G16)),'Price History'!G16=0),"",'Price History'!G17/'Price History'!G16-1),"")</f>
        <v>1.9090398652442442E-2</v>
      </c>
      <c r="H16" s="69">
        <f>IFERROR(IF(OR(NOT(ISNUMBER('Price History'!H17)),NOT(ISNUMBER('Price History'!H16)),'Price History'!H16=0),"",'Price History'!H17/'Price History'!H16-1),"")</f>
        <v>2.9193205944798351E-2</v>
      </c>
      <c r="I16" s="69">
        <f>IFERROR(IF(OR(NOT(ISNUMBER('Price History'!I17)),NOT(ISNUMBER('Price History'!I16)),'Price History'!I16=0),"",'Price History'!I17/'Price History'!I16-1),"")</f>
        <v>1.9859329747620835E-2</v>
      </c>
      <c r="J16" s="69">
        <f>IFERROR(IF(OR(NOT(ISNUMBER('Price History'!J17)),NOT(ISNUMBER('Price History'!J16)),'Price History'!J16=0),"",'Price History'!J17/'Price History'!J16-1),"")</f>
        <v>5.2797704447632654E-2</v>
      </c>
      <c r="K16" s="69">
        <f>IFERROR(IF(OR(NOT(ISNUMBER('Price History'!K17)),NOT(ISNUMBER('Price History'!K16)),'Price History'!K16=0),"",'Price History'!K17/'Price History'!K16-1),"")</f>
        <v>4.1687849517030751E-2</v>
      </c>
      <c r="L16" s="69">
        <f>IFERROR(IF(OR(NOT(ISNUMBER('Price History'!L17)),NOT(ISNUMBER('Price History'!L16)),'Price History'!L16=0),"",'Price History'!L17/'Price History'!L16-1),"")</f>
        <v>2.1962233169129819E-2</v>
      </c>
      <c r="M16" s="69">
        <f>IFERROR(IF(OR(NOT(ISNUMBER('Price History'!M17)),NOT(ISNUMBER('Price History'!M16)),'Price History'!M16=0),"",'Price History'!M17/'Price History'!M16-1),"")</f>
        <v>3.4903179536218021E-2</v>
      </c>
      <c r="N16" s="69">
        <f>IFERROR(IF(OR(NOT(ISNUMBER('Price History'!N17)),NOT(ISNUMBER('Price History'!N16)),'Price History'!N16=0),"",'Price History'!N17/'Price History'!N16-1),"")</f>
        <v>-6.1956376287970016E-2</v>
      </c>
      <c r="O16" s="69">
        <f>IFERROR(IF(OR(NOT(ISNUMBER('Price History'!O17)),NOT(ISNUMBER('Price History'!O16)),'Price History'!O16=0),"",'Price History'!O17/'Price History'!O16-1),"")</f>
        <v>5.5431204739960327E-2</v>
      </c>
      <c r="P16" s="69" t="str">
        <f>IFERROR(IF(OR(NOT(ISNUMBER('Price History'!P17)),NOT(ISNUMBER('Price History'!P16)),'Price History'!P16=0),"",'Price History'!P17/'Price History'!P16-1),"")</f>
        <v/>
      </c>
      <c r="Q16" s="69">
        <f>IFERROR(IF(OR(NOT(ISNUMBER('Price History'!Q17)),NOT(ISNUMBER('Price History'!Q16)),'Price History'!Q16=0),"",'Price History'!Q17/'Price History'!Q16-1),"")</f>
        <v>-4.3494704992436128E-3</v>
      </c>
      <c r="R16" s="69">
        <f>IFERROR(IF(OR(NOT(ISNUMBER('Price History'!R17)),NOT(ISNUMBER('Price History'!R16)),'Price History'!R16=0),"",'Price History'!R17/'Price History'!R16-1),"")</f>
        <v>9.482580911152283E-3</v>
      </c>
      <c r="S16" s="69">
        <f>IFERROR(IF(OR(NOT(ISNUMBER('Price History'!S17)),NOT(ISNUMBER('Price History'!S16)),'Price History'!S16=0),"",'Price History'!S17/'Price History'!S16-1),"")</f>
        <v>2.1695925803246086E-2</v>
      </c>
      <c r="T16" s="69">
        <f>IFERROR(IF(OR(NOT(ISNUMBER('Price History'!T17)),NOT(ISNUMBER('Price History'!T16)),'Price History'!T16=0),"",'Price History'!T17/'Price History'!T16-1),"")</f>
        <v>2.5453143077516449E-2</v>
      </c>
      <c r="U16" s="69" t="str">
        <f>IFERROR(IF(OR(NOT(ISNUMBER('Price History'!U17)),NOT(ISNUMBER('Price History'!U16)),'Price History'!U16=0),"",'Price History'!U17/'Price History'!U16-1),"")</f>
        <v/>
      </c>
    </row>
    <row r="17" spans="1:21" ht="15" customHeight="1" x14ac:dyDescent="0.2">
      <c r="A17" s="52">
        <f>'Price History'!A18</f>
        <v>45254</v>
      </c>
      <c r="B17" s="69">
        <f>IFERROR(IF(OR(NOT(ISNUMBER('Price History'!B18)),NOT(ISNUMBER('Price History'!B17)),'Price History'!B17=0),"",'Price History'!B18/'Price History'!B17-1),"")</f>
        <v>2.7826635250389975E-2</v>
      </c>
      <c r="C17" s="69">
        <f>IFERROR(IF(OR(NOT(ISNUMBER('Price History'!C18)),NOT(ISNUMBER('Price History'!C17)),'Price History'!C17=0),"",'Price History'!C18/'Price History'!C17-1),"")</f>
        <v>1.7517704062616657E-2</v>
      </c>
      <c r="D17" s="69">
        <f>IFERROR(IF(OR(NOT(ISNUMBER('Price History'!D18)),NOT(ISNUMBER('Price History'!D17)),'Price History'!D17=0),"",'Price History'!D18/'Price History'!D17-1),"")</f>
        <v>7.4188517541429189E-3</v>
      </c>
      <c r="E17" s="69">
        <f>IFERROR(IF(OR(NOT(ISNUMBER('Price History'!E18)),NOT(ISNUMBER('Price History'!E17)),'Price History'!E17=0),"",'Price History'!E18/'Price History'!E17-1),"")</f>
        <v>1.227370359005775E-3</v>
      </c>
      <c r="F17" s="69">
        <f>IFERROR(IF(OR(NOT(ISNUMBER('Price History'!F18)),NOT(ISNUMBER('Price History'!F17)),'Price History'!F17=0),"",'Price History'!F18/'Price History'!F17-1),"")</f>
        <v>1.7384585667374886E-2</v>
      </c>
      <c r="G17" s="69">
        <f>IFERROR(IF(OR(NOT(ISNUMBER('Price History'!G18)),NOT(ISNUMBER('Price History'!G17)),'Price History'!G17=0),"",'Price History'!G18/'Price History'!G17-1),"")</f>
        <v>2.0385674931129527E-2</v>
      </c>
      <c r="H17" s="69">
        <f>IFERROR(IF(OR(NOT(ISNUMBER('Price History'!H18)),NOT(ISNUMBER('Price History'!H17)),'Price History'!H17=0),"",'Price History'!H18/'Price History'!H17-1),"")</f>
        <v>-8.8963383187209422E-3</v>
      </c>
      <c r="I17" s="69">
        <f>IFERROR(IF(OR(NOT(ISNUMBER('Price History'!I18)),NOT(ISNUMBER('Price History'!I17)),'Price History'!I17=0),"",'Price History'!I18/'Price History'!I17-1),"")</f>
        <v>-3.0831643002028342E-2</v>
      </c>
      <c r="J17" s="69">
        <f>IFERROR(IF(OR(NOT(ISNUMBER('Price History'!J18)),NOT(ISNUMBER('Price History'!J17)),'Price History'!J17=0),"",'Price History'!J18/'Price History'!J17-1),"")</f>
        <v>1.7534296356863877E-2</v>
      </c>
      <c r="K17" s="69">
        <f>IFERROR(IF(OR(NOT(ISNUMBER('Price History'!K18)),NOT(ISNUMBER('Price History'!K17)),'Price History'!K17=0),"",'Price History'!K18/'Price History'!K17-1),"")</f>
        <v>-6.2957540263543166E-2</v>
      </c>
      <c r="L17" s="69">
        <f>IFERROR(IF(OR(NOT(ISNUMBER('Price History'!L18)),NOT(ISNUMBER('Price History'!L17)),'Price History'!L17=0),"",'Price History'!L18/'Price History'!L17-1),"")</f>
        <v>-1.7573810002008416E-2</v>
      </c>
      <c r="M17" s="69">
        <f>IFERROR(IF(OR(NOT(ISNUMBER('Price History'!M18)),NOT(ISNUMBER('Price History'!M17)),'Price History'!M17=0),"",'Price History'!M18/'Price History'!M17-1),"")</f>
        <v>-1.4091014091014098E-2</v>
      </c>
      <c r="N17" s="69">
        <f>IFERROR(IF(OR(NOT(ISNUMBER('Price History'!N18)),NOT(ISNUMBER('Price History'!N17)),'Price History'!N17=0),"",'Price History'!N18/'Price History'!N17-1),"")</f>
        <v>7.2467902995720923E-3</v>
      </c>
      <c r="O17" s="69">
        <f>IFERROR(IF(OR(NOT(ISNUMBER('Price History'!O18)),NOT(ISNUMBER('Price History'!O17)),'Price History'!O17=0),"",'Price History'!O18/'Price History'!O17-1),"")</f>
        <v>1.2475049900206869E-4</v>
      </c>
      <c r="P17" s="69" t="str">
        <f>IFERROR(IF(OR(NOT(ISNUMBER('Price History'!P18)),NOT(ISNUMBER('Price History'!P17)),'Price History'!P17=0),"",'Price History'!P18/'Price History'!P17-1),"")</f>
        <v/>
      </c>
      <c r="Q17" s="69">
        <f>IFERROR(IF(OR(NOT(ISNUMBER('Price History'!Q18)),NOT(ISNUMBER('Price History'!Q17)),'Price History'!Q17=0),"",'Price History'!Q18/'Price History'!Q17-1),"")</f>
        <v>9.8765432098766315E-3</v>
      </c>
      <c r="R17" s="69">
        <f>IFERROR(IF(OR(NOT(ISNUMBER('Price History'!R18)),NOT(ISNUMBER('Price History'!R17)),'Price History'!R17=0),"",'Price History'!R18/'Price History'!R17-1),"")</f>
        <v>5.3093730855624521E-3</v>
      </c>
      <c r="S17" s="69">
        <f>IFERROR(IF(OR(NOT(ISNUMBER('Price History'!S18)),NOT(ISNUMBER('Price History'!S17)),'Price History'!S17=0),"",'Price History'!S18/'Price History'!S17-1),"")</f>
        <v>5.5114281082833116E-3</v>
      </c>
      <c r="T17" s="69">
        <f>IFERROR(IF(OR(NOT(ISNUMBER('Price History'!T18)),NOT(ISNUMBER('Price History'!T17)),'Price History'!T17=0),"",'Price History'!T18/'Price History'!T17-1),"")</f>
        <v>7.1455434373826066E-3</v>
      </c>
      <c r="U17" s="69" t="str">
        <f>IFERROR(IF(OR(NOT(ISNUMBER('Price History'!U18)),NOT(ISNUMBER('Price History'!U17)),'Price History'!U17=0),"",'Price History'!U18/'Price History'!U17-1),"")</f>
        <v/>
      </c>
    </row>
    <row r="18" spans="1:21" ht="15" customHeight="1" x14ac:dyDescent="0.2">
      <c r="A18" s="52">
        <f>'Price History'!A19</f>
        <v>45261</v>
      </c>
      <c r="B18" s="69">
        <f>IFERROR(IF(OR(NOT(ISNUMBER('Price History'!B19)),NOT(ISNUMBER('Price History'!B18)),'Price History'!B18=0),"",'Price History'!B19/'Price History'!B18-1),"")</f>
        <v>-1.1236136448024681E-2</v>
      </c>
      <c r="C18" s="69">
        <f>IFERROR(IF(OR(NOT(ISNUMBER('Price History'!C19)),NOT(ISNUMBER('Price History'!C18)),'Price History'!C18=0),"",'Price History'!C19/'Price History'!C18-1),"")</f>
        <v>-8.058608058608141E-3</v>
      </c>
      <c r="D18" s="69">
        <f>IFERROR(IF(OR(NOT(ISNUMBER('Price History'!D19)),NOT(ISNUMBER('Price History'!D18)),'Price History'!D18=0),"",'Price History'!D19/'Price History'!D18-1),"")</f>
        <v>1.4757371451721291E-3</v>
      </c>
      <c r="E18" s="69">
        <f>IFERROR(IF(OR(NOT(ISNUMBER('Price History'!E19)),NOT(ISNUMBER('Price History'!E18)),'Price History'!E18=0),"",'Price History'!E19/'Price History'!E18-1),"")</f>
        <v>-4.995403003371135E-2</v>
      </c>
      <c r="F18" s="69">
        <f>IFERROR(IF(OR(NOT(ISNUMBER('Price History'!F19)),NOT(ISNUMBER('Price History'!F18)),'Price History'!F18=0),"",'Price History'!F19/'Price History'!F18-1),"")</f>
        <v>0.11562559331687861</v>
      </c>
      <c r="G18" s="69">
        <f>IFERROR(IF(OR(NOT(ISNUMBER('Price History'!G19)),NOT(ISNUMBER('Price History'!G18)),'Price History'!G18=0),"",'Price History'!G19/'Price History'!G18-1),"")</f>
        <v>-1.1879049676025932E-2</v>
      </c>
      <c r="H18" s="69">
        <f>IFERROR(IF(OR(NOT(ISNUMBER('Price History'!H19)),NOT(ISNUMBER('Price History'!H18)),'Price History'!H18=0),"",'Price History'!H19/'Price History'!H18-1),"")</f>
        <v>-1.2228437621959132E-2</v>
      </c>
      <c r="I18" s="69">
        <f>IFERROR(IF(OR(NOT(ISNUMBER('Price History'!I19)),NOT(ISNUMBER('Price History'!I18)),'Price History'!I18=0),"",'Price History'!I19/'Price History'!I18-1),"")</f>
        <v>-2.1138551695269903E-2</v>
      </c>
      <c r="J18" s="69">
        <f>IFERROR(IF(OR(NOT(ISNUMBER('Price History'!J19)),NOT(ISNUMBER('Price History'!J18)),'Price History'!J18=0),"",'Price History'!J19/'Price History'!J18-1),"")</f>
        <v>5.5892857142857189E-2</v>
      </c>
      <c r="K18" s="69">
        <f>IFERROR(IF(OR(NOT(ISNUMBER('Price History'!K19)),NOT(ISNUMBER('Price History'!K18)),'Price History'!K18=0),"",'Price History'!K19/'Price History'!K18-1),"")</f>
        <v>5.5729166666666607E-2</v>
      </c>
      <c r="L18" s="69">
        <f>IFERROR(IF(OR(NOT(ISNUMBER('Price History'!L19)),NOT(ISNUMBER('Price History'!L18)),'Price History'!L18=0),"",'Price History'!L19/'Price History'!L18-1),"")</f>
        <v>7.3597056117755688E-3</v>
      </c>
      <c r="M18" s="69">
        <f>IFERROR(IF(OR(NOT(ISNUMBER('Price History'!M19)),NOT(ISNUMBER('Price History'!M18)),'Price History'!M18=0),"",'Price History'!M19/'Price History'!M18-1),"")</f>
        <v>5.7638238050609303E-2</v>
      </c>
      <c r="N18" s="69">
        <f>IFERROR(IF(OR(NOT(ISNUMBER('Price History'!N19)),NOT(ISNUMBER('Price History'!N18)),'Price History'!N18=0),"",'Price History'!N19/'Price History'!N18-1),"")</f>
        <v>-5.3251756174937936E-3</v>
      </c>
      <c r="O18" s="69">
        <f>IFERROR(IF(OR(NOT(ISNUMBER('Price History'!O19)),NOT(ISNUMBER('Price History'!O18)),'Price History'!O18=0),"",'Price History'!O19/'Price History'!O18-1),"")</f>
        <v>3.3553698390919262E-2</v>
      </c>
      <c r="P18" s="69" t="str">
        <f>IFERROR(IF(OR(NOT(ISNUMBER('Price History'!P19)),NOT(ISNUMBER('Price History'!P18)),'Price History'!P18=0),"",'Price History'!P19/'Price History'!P18-1),"")</f>
        <v/>
      </c>
      <c r="Q18" s="69">
        <f>IFERROR(IF(OR(NOT(ISNUMBER('Price History'!Q19)),NOT(ISNUMBER('Price History'!Q18)),'Price History'!Q18=0),"",'Price History'!Q19/'Price History'!Q18-1),"")</f>
        <v>5.8303554636072175E-3</v>
      </c>
      <c r="R18" s="69">
        <f>IFERROR(IF(OR(NOT(ISNUMBER('Price History'!R19)),NOT(ISNUMBER('Price History'!R18)),'Price History'!R18=0),"",'Price History'!R19/'Price History'!R18-1),"")</f>
        <v>-6.7032297379646666E-3</v>
      </c>
      <c r="S18" s="69">
        <f>IFERROR(IF(OR(NOT(ISNUMBER('Price History'!S19)),NOT(ISNUMBER('Price History'!S18)),'Price History'!S18=0),"",'Price History'!S19/'Price History'!S18-1),"")</f>
        <v>-2.256972432693849E-3</v>
      </c>
      <c r="T18" s="69">
        <f>IFERROR(IF(OR(NOT(ISNUMBER('Price History'!T19)),NOT(ISNUMBER('Price History'!T18)),'Price History'!T18=0),"",'Price History'!T19/'Price History'!T18-1),"")</f>
        <v>1.344286781179993E-2</v>
      </c>
      <c r="U18" s="69" t="str">
        <f>IFERROR(IF(OR(NOT(ISNUMBER('Price History'!U19)),NOT(ISNUMBER('Price History'!U18)),'Price History'!U18=0),"",'Price History'!U19/'Price History'!U18-1),"")</f>
        <v/>
      </c>
    </row>
    <row r="19" spans="1:21" ht="15" customHeight="1" x14ac:dyDescent="0.2">
      <c r="A19" s="52">
        <f>'Price History'!A20</f>
        <v>45268</v>
      </c>
      <c r="B19" s="69">
        <f>IFERROR(IF(OR(NOT(ISNUMBER('Price History'!B20)),NOT(ISNUMBER('Price History'!B19)),'Price History'!B19=0),"",'Price History'!B20/'Price History'!B19-1),"")</f>
        <v>-4.0165232582820565E-3</v>
      </c>
      <c r="C19" s="69">
        <f>IFERROR(IF(OR(NOT(ISNUMBER('Price History'!C20)),NOT(ISNUMBER('Price History'!C19)),'Price History'!C19=0),"",'Price History'!C20/'Price History'!C19-1),"")</f>
        <v>3.4158050221565706E-2</v>
      </c>
      <c r="D19" s="69">
        <f>IFERROR(IF(OR(NOT(ISNUMBER('Price History'!D20)),NOT(ISNUMBER('Price History'!D19)),'Price History'!D19=0),"",'Price History'!D20/'Price History'!D19-1),"")</f>
        <v>6.1109505923142571E-3</v>
      </c>
      <c r="E19" s="69">
        <f>IFERROR(IF(OR(NOT(ISNUMBER('Price History'!E20)),NOT(ISNUMBER('Price History'!E19)),'Price History'!E19=0),"",'Price History'!E20/'Price History'!E19-1),"")</f>
        <v>1.5376344086021509E-2</v>
      </c>
      <c r="F19" s="69">
        <f>IFERROR(IF(OR(NOT(ISNUMBER('Price History'!F20)),NOT(ISNUMBER('Price History'!F19)),'Price History'!F19=0),"",'Price History'!F20/'Price History'!F19-1),"")</f>
        <v>3.1994554118447871E-2</v>
      </c>
      <c r="G19" s="69">
        <f>IFERROR(IF(OR(NOT(ISNUMBER('Price History'!G20)),NOT(ISNUMBER('Price History'!G19)),'Price History'!G19=0),"",'Price History'!G20/'Price History'!G19-1),"")</f>
        <v>-2.6593806921675789E-2</v>
      </c>
      <c r="H19" s="69">
        <f>IFERROR(IF(OR(NOT(ISNUMBER('Price History'!H20)),NOT(ISNUMBER('Price History'!H19)),'Price History'!H19=0),"",'Price History'!H20/'Price History'!H19-1),"")</f>
        <v>-1.2774924272356269E-2</v>
      </c>
      <c r="I19" s="69">
        <f>IFERROR(IF(OR(NOT(ISNUMBER('Price History'!I20)),NOT(ISNUMBER('Price History'!I19)),'Price History'!I19=0),"",'Price History'!I20/'Price History'!I19-1),"")</f>
        <v>1.5822108189009976E-2</v>
      </c>
      <c r="J19" s="69">
        <f>IFERROR(IF(OR(NOT(ISNUMBER('Price History'!J20)),NOT(ISNUMBER('Price History'!J19)),'Price History'!J19=0),"",'Price History'!J20/'Price History'!J19-1),"")</f>
        <v>1.3444951801116156E-2</v>
      </c>
      <c r="K19" s="69">
        <f>IFERROR(IF(OR(NOT(ISNUMBER('Price History'!K20)),NOT(ISNUMBER('Price History'!K19)),'Price History'!K19=0),"",'Price History'!K20/'Price History'!K19-1),"")</f>
        <v>-0.12333497779970404</v>
      </c>
      <c r="L19" s="69">
        <f>IFERROR(IF(OR(NOT(ISNUMBER('Price History'!L20)),NOT(ISNUMBER('Price History'!L19)),'Price History'!L19=0),"",'Price History'!L20/'Price History'!L19-1),"")</f>
        <v>1.8264840182648401E-2</v>
      </c>
      <c r="M19" s="69">
        <f>IFERROR(IF(OR(NOT(ISNUMBER('Price History'!M20)),NOT(ISNUMBER('Price History'!M19)),'Price History'!M19=0),"",'Price History'!M20/'Price History'!M19-1),"")</f>
        <v>4.4306601683650859E-2</v>
      </c>
      <c r="N19" s="69">
        <f>IFERROR(IF(OR(NOT(ISNUMBER('Price History'!N20)),NOT(ISNUMBER('Price History'!N19)),'Price History'!N19=0),"",'Price History'!N20/'Price History'!N19-1),"")</f>
        <v>-2.8761817974713999E-3</v>
      </c>
      <c r="O19" s="69">
        <f>IFERROR(IF(OR(NOT(ISNUMBER('Price History'!O20)),NOT(ISNUMBER('Price History'!O19)),'Price History'!O19=0),"",'Price History'!O20/'Price History'!O19-1),"")</f>
        <v>8.3272990586531481E-3</v>
      </c>
      <c r="P19" s="69" t="str">
        <f>IFERROR(IF(OR(NOT(ISNUMBER('Price History'!P20)),NOT(ISNUMBER('Price History'!P19)),'Price History'!P19=0),"",'Price History'!P20/'Price History'!P19-1),"")</f>
        <v/>
      </c>
      <c r="Q19" s="69">
        <f>IFERROR(IF(OR(NOT(ISNUMBER('Price History'!Q20)),NOT(ISNUMBER('Price History'!Q19)),'Price History'!Q19=0),"",'Price History'!Q20/'Price History'!Q19-1),"")</f>
        <v>6.3575168287210992E-3</v>
      </c>
      <c r="R19" s="69">
        <f>IFERROR(IF(OR(NOT(ISNUMBER('Price History'!R20)),NOT(ISNUMBER('Price History'!R19)),'Price History'!R19=0),"",'Price History'!R20/'Price History'!R19-1),"")</f>
        <v>7.3619631901840066E-3</v>
      </c>
      <c r="S19" s="69">
        <f>IFERROR(IF(OR(NOT(ISNUMBER('Price History'!S20)),NOT(ISNUMBER('Price History'!S19)),'Price History'!S19=0),"",'Price History'!S20/'Price History'!S19-1),"")</f>
        <v>3.7162708030376024E-3</v>
      </c>
      <c r="T19" s="69">
        <f>IFERROR(IF(OR(NOT(ISNUMBER('Price History'!T20)),NOT(ISNUMBER('Price History'!T19)),'Price History'!T19=0),"",'Price History'!T20/'Price History'!T19-1),"")</f>
        <v>8.8430361090641174E-3</v>
      </c>
      <c r="U19" s="69" t="str">
        <f>IFERROR(IF(OR(NOT(ISNUMBER('Price History'!U20)),NOT(ISNUMBER('Price History'!U19)),'Price History'!U19=0),"",'Price History'!U20/'Price History'!U19-1),"")</f>
        <v/>
      </c>
    </row>
    <row r="20" spans="1:21" ht="15" customHeight="1" x14ac:dyDescent="0.2">
      <c r="A20" s="52">
        <f>'Price History'!A21</f>
        <v>45275</v>
      </c>
      <c r="B20" s="69">
        <f>IFERROR(IF(OR(NOT(ISNUMBER('Price History'!B21)),NOT(ISNUMBER('Price History'!B20)),'Price History'!B20=0),"",'Price History'!B21/'Price History'!B20-1),"")</f>
        <v>-4.1523909444107554E-2</v>
      </c>
      <c r="C20" s="69">
        <f>IFERROR(IF(OR(NOT(ISNUMBER('Price History'!C21)),NOT(ISNUMBER('Price History'!C20)),'Price History'!C20=0),"",'Price History'!C21/'Price History'!C20-1),"")</f>
        <v>5.1597928941260474E-2</v>
      </c>
      <c r="D20" s="69">
        <f>IFERROR(IF(OR(NOT(ISNUMBER('Price History'!D21)),NOT(ISNUMBER('Price History'!D20)),'Price History'!D20=0),"",'Price History'!D21/'Price History'!D20-1),"")</f>
        <v>8.1171115546429862E-2</v>
      </c>
      <c r="E20" s="69">
        <f>IFERROR(IF(OR(NOT(ISNUMBER('Price History'!E21)),NOT(ISNUMBER('Price History'!E20)),'Price History'!E20=0),"",'Price History'!E21/'Price History'!E20-1),"")</f>
        <v>0.19633591019803021</v>
      </c>
      <c r="F20" s="69">
        <f>IFERROR(IF(OR(NOT(ISNUMBER('Price History'!F21)),NOT(ISNUMBER('Price History'!F20)),'Price History'!F20=0),"",'Price History'!F21/'Price History'!F20-1),"")</f>
        <v>7.2229551451187257E-2</v>
      </c>
      <c r="G20" s="69">
        <f>IFERROR(IF(OR(NOT(ISNUMBER('Price History'!G21)),NOT(ISNUMBER('Price History'!G20)),'Price History'!G20=0),"",'Price History'!G21/'Price History'!G20-1),"")</f>
        <v>9.4872754491017952E-2</v>
      </c>
      <c r="H20" s="69">
        <f>IFERROR(IF(OR(NOT(ISNUMBER('Price History'!H21)),NOT(ISNUMBER('Price History'!H20)),'Price History'!H20=0),"",'Price History'!H21/'Price History'!H20-1),"")</f>
        <v>8.6045891141942388E-2</v>
      </c>
      <c r="I20" s="69">
        <f>IFERROR(IF(OR(NOT(ISNUMBER('Price History'!I21)),NOT(ISNUMBER('Price History'!I20)),'Price History'!I20=0),"",'Price History'!I21/'Price History'!I20-1),"")</f>
        <v>2.9046516522837296E-2</v>
      </c>
      <c r="J20" s="69">
        <f>IFERROR(IF(OR(NOT(ISNUMBER('Price History'!J21)),NOT(ISNUMBER('Price History'!J20)),'Price History'!J20=0),"",'Price History'!J21/'Price History'!J20-1),"")</f>
        <v>0.12023362536503956</v>
      </c>
      <c r="K20" s="69">
        <f>IFERROR(IF(OR(NOT(ISNUMBER('Price History'!K21)),NOT(ISNUMBER('Price History'!K20)),'Price History'!K20=0),"",'Price History'!K21/'Price History'!K20-1),"")</f>
        <v>2.4198086662915008E-2</v>
      </c>
      <c r="L20" s="69">
        <f>IFERROR(IF(OR(NOT(ISNUMBER('Price History'!L21)),NOT(ISNUMBER('Price History'!L20)),'Price History'!L20=0),"",'Price History'!L21/'Price History'!L20-1),"")</f>
        <v>2.1823617339312484E-2</v>
      </c>
      <c r="M20" s="69">
        <f>IFERROR(IF(OR(NOT(ISNUMBER('Price History'!M21)),NOT(ISNUMBER('Price History'!M20)),'Price History'!M20=0),"",'Price History'!M21/'Price History'!M20-1),"")</f>
        <v>1.2515910055154844E-2</v>
      </c>
      <c r="N20" s="69">
        <f>IFERROR(IF(OR(NOT(ISNUMBER('Price History'!N21)),NOT(ISNUMBER('Price History'!N20)),'Price History'!N20=0),"",'Price History'!N21/'Price History'!N20-1),"")</f>
        <v>0.17286877052691718</v>
      </c>
      <c r="O20" s="69">
        <f>IFERROR(IF(OR(NOT(ISNUMBER('Price History'!O21)),NOT(ISNUMBER('Price History'!O20)),'Price History'!O20=0),"",'Price History'!O21/'Price History'!O20-1),"")</f>
        <v>5.4817474566128066E-2</v>
      </c>
      <c r="P20" s="69" t="str">
        <f>IFERROR(IF(OR(NOT(ISNUMBER('Price History'!P21)),NOT(ISNUMBER('Price History'!P20)),'Price History'!P20=0),"",'Price History'!P21/'Price History'!P20-1),"")</f>
        <v/>
      </c>
      <c r="Q20" s="69">
        <f>IFERROR(IF(OR(NOT(ISNUMBER('Price History'!Q21)),NOT(ISNUMBER('Price History'!Q20)),'Price History'!Q20=0),"",'Price History'!Q21/'Price History'!Q20-1),"")</f>
        <v>1.4121144555927057E-2</v>
      </c>
      <c r="R20" s="69">
        <f>IFERROR(IF(OR(NOT(ISNUMBER('Price History'!R21)),NOT(ISNUMBER('Price History'!R20)),'Price History'!R20=0),"",'Price History'!R21/'Price History'!R20-1),"")</f>
        <v>1.5022330491270885E-2</v>
      </c>
      <c r="S20" s="69">
        <f>IFERROR(IF(OR(NOT(ISNUMBER('Price History'!S21)),NOT(ISNUMBER('Price History'!S20)),'Price History'!S20=0),"",'Price History'!S21/'Price History'!S20-1),"")</f>
        <v>3.4127495170637401E-2</v>
      </c>
      <c r="T20" s="69">
        <f>IFERROR(IF(OR(NOT(ISNUMBER('Price History'!T21)),NOT(ISNUMBER('Price History'!T20)),'Price History'!T20=0),"",'Price History'!T21/'Price History'!T20-1),"")</f>
        <v>2.7757487216946819E-2</v>
      </c>
      <c r="U20" s="69" t="str">
        <f>IFERROR(IF(OR(NOT(ISNUMBER('Price History'!U21)),NOT(ISNUMBER('Price History'!U20)),'Price History'!U20=0),"",'Price History'!U21/'Price History'!U20-1),"")</f>
        <v/>
      </c>
    </row>
    <row r="21" spans="1:21" ht="15" customHeight="1" x14ac:dyDescent="0.2">
      <c r="A21" s="52">
        <f>'Price History'!A22</f>
        <v>45282</v>
      </c>
      <c r="B21" s="69">
        <f>IFERROR(IF(OR(NOT(ISNUMBER('Price History'!B22)),NOT(ISNUMBER('Price History'!B21)),'Price History'!B21=0),"",'Price History'!B22/'Price History'!B21-1),"")</f>
        <v>2.4064445508654497E-2</v>
      </c>
      <c r="C21" s="69">
        <f>IFERROR(IF(OR(NOT(ISNUMBER('Price History'!C22)),NOT(ISNUMBER('Price History'!C21)),'Price History'!C21=0),"",'Price History'!C22/'Price History'!C21-1),"")</f>
        <v>1.1375212224108644E-2</v>
      </c>
      <c r="D21" s="69">
        <f>IFERROR(IF(OR(NOT(ISNUMBER('Price History'!D22)),NOT(ISNUMBER('Price History'!D21)),'Price History'!D21=0),"",'Price History'!D22/'Price History'!D21-1),"")</f>
        <v>-5.7107947301326956E-4</v>
      </c>
      <c r="E21" s="69">
        <f>IFERROR(IF(OR(NOT(ISNUMBER('Price History'!E22)),NOT(ISNUMBER('Price History'!E21)),'Price History'!E21=0),"",'Price History'!E22/'Price History'!E21-1),"")</f>
        <v>-6.8159688412852137E-3</v>
      </c>
      <c r="F21" s="69">
        <f>IFERROR(IF(OR(NOT(ISNUMBER('Price History'!F22)),NOT(ISNUMBER('Price History'!F21)),'Price History'!F21=0),"",'Price History'!F22/'Price History'!F21-1),"")</f>
        <v>-1.7071670255306093E-2</v>
      </c>
      <c r="G21" s="69">
        <f>IFERROR(IF(OR(NOT(ISNUMBER('Price History'!G22)),NOT(ISNUMBER('Price History'!G21)),'Price History'!G21=0),"",'Price History'!G22/'Price History'!G21-1),"")</f>
        <v>-4.1018629294137243E-3</v>
      </c>
      <c r="H21" s="69">
        <f>IFERROR(IF(OR(NOT(ISNUMBER('Price History'!H22)),NOT(ISNUMBER('Price History'!H21)),'Price History'!H21=0),"",'Price History'!H22/'Price History'!H21-1),"")</f>
        <v>6.240019653605211E-2</v>
      </c>
      <c r="I21" s="69">
        <f>IFERROR(IF(OR(NOT(ISNUMBER('Price History'!I22)),NOT(ISNUMBER('Price History'!I21)),'Price History'!I21=0),"",'Price History'!I22/'Price History'!I21-1),"")</f>
        <v>-1.227244835344643E-3</v>
      </c>
      <c r="J21" s="69">
        <f>IFERROR(IF(OR(NOT(ISNUMBER('Price History'!J22)),NOT(ISNUMBER('Price History'!J21)),'Price History'!J21=0),"",'Price History'!J22/'Price History'!J21-1),"")</f>
        <v>-1.3853716669149252E-2</v>
      </c>
      <c r="K21" s="69">
        <f>IFERROR(IF(OR(NOT(ISNUMBER('Price History'!K22)),NOT(ISNUMBER('Price History'!K21)),'Price History'!K21=0),"",'Price History'!K22/'Price History'!K21-1),"")</f>
        <v>-4.3406593406593363E-2</v>
      </c>
      <c r="L21" s="69">
        <f>IFERROR(IF(OR(NOT(ISNUMBER('Price History'!L22)),NOT(ISNUMBER('Price History'!L21)),'Price History'!L21=0),"",'Price History'!L22/'Price History'!L21-1),"")</f>
        <v>5.9488979910278239E-3</v>
      </c>
      <c r="M21" s="69">
        <f>IFERROR(IF(OR(NOT(ISNUMBER('Price History'!M22)),NOT(ISNUMBER('Price History'!M21)),'Price History'!M21=0),"",'Price History'!M22/'Price History'!M21-1),"")</f>
        <v>2.1998742928975634E-2</v>
      </c>
      <c r="N21" s="69">
        <f>IFERROR(IF(OR(NOT(ISNUMBER('Price History'!N22)),NOT(ISNUMBER('Price History'!N21)),'Price History'!N21=0),"",'Price History'!N22/'Price History'!N21-1),"")</f>
        <v>-1.3221973312554813E-2</v>
      </c>
      <c r="O21" s="69">
        <f>IFERROR(IF(OR(NOT(ISNUMBER('Price History'!O22)),NOT(ISNUMBER('Price History'!O21)),'Price History'!O21=0),"",'Price History'!O22/'Price History'!O21-1),"")</f>
        <v>2.2693747872461145E-2</v>
      </c>
      <c r="P21" s="69" t="str">
        <f>IFERROR(IF(OR(NOT(ISNUMBER('Price History'!P22)),NOT(ISNUMBER('Price History'!P21)),'Price History'!P21=0),"",'Price History'!P22/'Price History'!P21-1),"")</f>
        <v/>
      </c>
      <c r="Q21" s="69">
        <f>IFERROR(IF(OR(NOT(ISNUMBER('Price History'!Q22)),NOT(ISNUMBER('Price History'!Q21)),'Price History'!Q21=0),"",'Price History'!Q22/'Price History'!Q21-1),"")</f>
        <v>4.3972150971052226E-3</v>
      </c>
      <c r="R21" s="69">
        <f>IFERROR(IF(OR(NOT(ISNUMBER('Price History'!R22)),NOT(ISNUMBER('Price History'!R21)),'Price History'!R21=0),"",'Price History'!R22/'Price History'!R21-1),"")</f>
        <v>3.1999999999998696E-3</v>
      </c>
      <c r="S21" s="69">
        <f>IFERROR(IF(OR(NOT(ISNUMBER('Price History'!S22)),NOT(ISNUMBER('Price History'!S21)),'Price History'!S21=0),"",'Price History'!S22/'Price History'!S21-1),"")</f>
        <v>1.2453300124533273E-2</v>
      </c>
      <c r="T21" s="69">
        <f>IFERROR(IF(OR(NOT(ISNUMBER('Price History'!T22)),NOT(ISNUMBER('Price History'!T21)),'Price History'!T21=0),"",'Price History'!T22/'Price History'!T21-1),"")</f>
        <v>9.5948827292111627E-3</v>
      </c>
      <c r="U21" s="69" t="str">
        <f>IFERROR(IF(OR(NOT(ISNUMBER('Price History'!U22)),NOT(ISNUMBER('Price History'!U21)),'Price History'!U21=0),"",'Price History'!U22/'Price History'!U21-1),"")</f>
        <v/>
      </c>
    </row>
    <row r="22" spans="1:21" ht="15" customHeight="1" x14ac:dyDescent="0.2">
      <c r="A22" s="52">
        <f>'Price History'!A23</f>
        <v>45289</v>
      </c>
      <c r="B22" s="69">
        <f>IFERROR(IF(OR(NOT(ISNUMBER('Price History'!B23)),NOT(ISNUMBER('Price History'!B22)),'Price History'!B22=0),"",'Price History'!B23/'Price History'!B22-1),"")</f>
        <v>-3.5908141962421869E-3</v>
      </c>
      <c r="C22" s="69">
        <f>IFERROR(IF(OR(NOT(ISNUMBER('Price History'!C23)),NOT(ISNUMBER('Price History'!C22)),'Price History'!C22=0),"",'Price History'!C23/'Price History'!C22-1),"")</f>
        <v>-1.158301158301156E-2</v>
      </c>
      <c r="D22" s="69">
        <f>IFERROR(IF(OR(NOT(ISNUMBER('Price History'!D23)),NOT(ISNUMBER('Price History'!D22)),'Price History'!D22=0),"",'Price History'!D23/'Price History'!D22-1),"")</f>
        <v>5.8336544722470407E-3</v>
      </c>
      <c r="E22" s="69">
        <f>IFERROR(IF(OR(NOT(ISNUMBER('Price History'!E23)),NOT(ISNUMBER('Price History'!E22)),'Price History'!E22=0),"",'Price History'!E23/'Price History'!E22-1),"")</f>
        <v>-5.080213903743358E-3</v>
      </c>
      <c r="F22" s="69">
        <f>IFERROR(IF(OR(NOT(ISNUMBER('Price History'!F23)),NOT(ISNUMBER('Price History'!F22)),'Price History'!F22=0),"",'Price History'!F23/'Price History'!F22-1),"")</f>
        <v>-1.2517602879048573E-3</v>
      </c>
      <c r="G22" s="69">
        <f>IFERROR(IF(OR(NOT(ISNUMBER('Price History'!G23)),NOT(ISNUMBER('Price History'!G22)),'Price History'!G22=0),"",'Price History'!G23/'Price History'!G22-1),"")</f>
        <v>-2.402608546421825E-3</v>
      </c>
      <c r="H22" s="69">
        <f>IFERROR(IF(OR(NOT(ISNUMBER('Price History'!H23)),NOT(ISNUMBER('Price History'!H22)),'Price History'!H22=0),"",'Price History'!H23/'Price History'!H22-1),"")</f>
        <v>-1.3296334836397139E-2</v>
      </c>
      <c r="I22" s="69">
        <f>IFERROR(IF(OR(NOT(ISNUMBER('Price History'!I23)),NOT(ISNUMBER('Price History'!I22)),'Price History'!I22=0),"",'Price History'!I23/'Price History'!I22-1),"")</f>
        <v>1.4130657382756651E-2</v>
      </c>
      <c r="J22" s="69">
        <f>IFERROR(IF(OR(NOT(ISNUMBER('Price History'!J23)),NOT(ISNUMBER('Price History'!J22)),'Price History'!J22=0),"",'Price History'!J23/'Price History'!J22-1),"")</f>
        <v>6.7975830815709681E-3</v>
      </c>
      <c r="K22" s="69">
        <f>IFERROR(IF(OR(NOT(ISNUMBER('Price History'!K23)),NOT(ISNUMBER('Price History'!K22)),'Price History'!K22=0),"",'Price History'!K23/'Price History'!K22-1),"")</f>
        <v>-1.378518093049963E-2</v>
      </c>
      <c r="L22" s="69">
        <f>IFERROR(IF(OR(NOT(ISNUMBER('Price History'!L23)),NOT(ISNUMBER('Price History'!L22)),'Price History'!L22=0),"",'Price History'!L23/'Price History'!L22-1),"")</f>
        <v>8.2404265632574081E-3</v>
      </c>
      <c r="M22" s="69">
        <f>IFERROR(IF(OR(NOT(ISNUMBER('Price History'!M23)),NOT(ISNUMBER('Price History'!M22)),'Price History'!M22=0),"",'Price History'!M23/'Price History'!M22-1),"")</f>
        <v>-1.5375153751537529E-2</v>
      </c>
      <c r="N22" s="69">
        <f>IFERROR(IF(OR(NOT(ISNUMBER('Price History'!N23)),NOT(ISNUMBER('Price History'!N22)),'Price History'!N22=0),"",'Price History'!N23/'Price History'!N22-1),"")</f>
        <v>4.0468846391117363E-3</v>
      </c>
      <c r="O22" s="69">
        <f>IFERROR(IF(OR(NOT(ISNUMBER('Price History'!O23)),NOT(ISNUMBER('Price History'!O22)),'Price History'!O22=0),"",'Price History'!O23/'Price History'!O22-1),"")</f>
        <v>-3.6613780095418047E-3</v>
      </c>
      <c r="P22" s="69" t="str">
        <f>IFERROR(IF(OR(NOT(ISNUMBER('Price History'!P23)),NOT(ISNUMBER('Price History'!P22)),'Price History'!P22=0),"",'Price History'!P23/'Price History'!P22-1),"")</f>
        <v/>
      </c>
      <c r="Q22" s="69">
        <f>IFERROR(IF(OR(NOT(ISNUMBER('Price History'!Q23)),NOT(ISNUMBER('Price History'!Q22)),'Price History'!Q22=0),"",'Price History'!Q23/'Price History'!Q22-1),"")</f>
        <v>-5.4724553082815541E-3</v>
      </c>
      <c r="R22" s="69">
        <f>IFERROR(IF(OR(NOT(ISNUMBER('Price History'!R23)),NOT(ISNUMBER('Price History'!R22)),'Price History'!R22=0),"",'Price History'!R23/'Price History'!R22-1),"")</f>
        <v>-4.5853269537479147E-3</v>
      </c>
      <c r="S22" s="69">
        <f>IFERROR(IF(OR(NOT(ISNUMBER('Price History'!S23)),NOT(ISNUMBER('Price History'!S22)),'Price History'!S22=0),"",'Price History'!S23/'Price History'!S22-1),"")</f>
        <v>7.0725707257071058E-3</v>
      </c>
      <c r="T22" s="69">
        <f>IFERROR(IF(OR(NOT(ISNUMBER('Price History'!T23)),NOT(ISNUMBER('Price History'!T22)),'Price History'!T22=0),"",'Price History'!T23/'Price History'!T22-1),"")</f>
        <v>-2.4639211545230966E-3</v>
      </c>
      <c r="U22" s="69" t="str">
        <f>IFERROR(IF(OR(NOT(ISNUMBER('Price History'!U23)),NOT(ISNUMBER('Price History'!U22)),'Price History'!U22=0),"",'Price History'!U23/'Price History'!U22-1),"")</f>
        <v/>
      </c>
    </row>
    <row r="23" spans="1:21" ht="15" customHeight="1" x14ac:dyDescent="0.2">
      <c r="A23" s="52">
        <f>'Price History'!A24</f>
        <v>45296</v>
      </c>
      <c r="B23" s="69">
        <f>IFERROR(IF(OR(NOT(ISNUMBER('Price History'!B24)),NOT(ISNUMBER('Price History'!B23)),'Price History'!B23=0),"",'Price History'!B24/'Price History'!B23-1),"")</f>
        <v>-5.3637277908146208E-2</v>
      </c>
      <c r="C23" s="69">
        <f>IFERROR(IF(OR(NOT(ISNUMBER('Price History'!C24)),NOT(ISNUMBER('Price History'!C23)),'Price History'!C23=0),"",'Price History'!C24/'Price History'!C23-1),"")</f>
        <v>-1.9531250000000111E-2</v>
      </c>
      <c r="D23" s="69">
        <f>IFERROR(IF(OR(NOT(ISNUMBER('Price History'!D24)),NOT(ISNUMBER('Price History'!D23)),'Price History'!D23=0),"",'Price History'!D24/'Price History'!D23-1),"")</f>
        <v>-7.0786873117370308E-2</v>
      </c>
      <c r="E23" s="69">
        <f>IFERROR(IF(OR(NOT(ISNUMBER('Price History'!E24)),NOT(ISNUMBER('Price History'!E23)),'Price History'!E23=0),"",'Price History'!E24/'Price History'!E23-1),"")</f>
        <v>-6.0019707963808955E-2</v>
      </c>
      <c r="F23" s="69">
        <f>IFERROR(IF(OR(NOT(ISNUMBER('Price History'!F24)),NOT(ISNUMBER('Price History'!F23)),'Price History'!F23=0),"",'Price History'!F24/'Price History'!F23-1),"")</f>
        <v>-3.0706564311452356E-2</v>
      </c>
      <c r="G23" s="69">
        <f>IFERROR(IF(OR(NOT(ISNUMBER('Price History'!G24)),NOT(ISNUMBER('Price History'!G23)),'Price History'!G23=0),"",'Price History'!G24/'Price History'!G23-1),"")</f>
        <v>-6.36504386719422E-2</v>
      </c>
      <c r="H23" s="69">
        <f>IFERROR(IF(OR(NOT(ISNUMBER('Price History'!H24)),NOT(ISNUMBER('Price History'!H23)),'Price History'!H23=0),"",'Price History'!H24/'Price History'!H23-1),"")</f>
        <v>-2.2146707288493106E-2</v>
      </c>
      <c r="I23" s="69">
        <f>IFERROR(IF(OR(NOT(ISNUMBER('Price History'!I24)),NOT(ISNUMBER('Price History'!I23)),'Price History'!I23=0),"",'Price History'!I24/'Price History'!I23-1),"")</f>
        <v>-8.4814216478190652E-3</v>
      </c>
      <c r="J23" s="69">
        <f>IFERROR(IF(OR(NOT(ISNUMBER('Price History'!J24)),NOT(ISNUMBER('Price History'!J23)),'Price History'!J23=0),"",'Price History'!J24/'Price History'!J23-1),"")</f>
        <v>-2.0555138784696281E-2</v>
      </c>
      <c r="K23" s="69">
        <f>IFERROR(IF(OR(NOT(ISNUMBER('Price History'!K24)),NOT(ISNUMBER('Price History'!K23)),'Price History'!K23=0),"",'Price History'!K24/'Price History'!K23-1),"")</f>
        <v>-6.9306930693069368E-2</v>
      </c>
      <c r="L23" s="69">
        <f>IFERROR(IF(OR(NOT(ISNUMBER('Price History'!L24)),NOT(ISNUMBER('Price History'!L23)),'Price History'!L23=0),"",'Price History'!L24/'Price History'!L23-1),"")</f>
        <v>-4.2211538461538467E-2</v>
      </c>
      <c r="M23" s="69">
        <f>IFERROR(IF(OR(NOT(ISNUMBER('Price History'!M24)),NOT(ISNUMBER('Price History'!M23)),'Price History'!M23=0),"",'Price History'!M24/'Price History'!M23-1),"")</f>
        <v>-3.5810951488652876E-2</v>
      </c>
      <c r="N23" s="69">
        <f>IFERROR(IF(OR(NOT(ISNUMBER('Price History'!N24)),NOT(ISNUMBER('Price History'!N23)),'Price History'!N23=0),"",'Price History'!N24/'Price History'!N23-1),"")</f>
        <v>2.3618176902848509E-2</v>
      </c>
      <c r="O23" s="69">
        <f>IFERROR(IF(OR(NOT(ISNUMBER('Price History'!O24)),NOT(ISNUMBER('Price History'!O23)),'Price History'!O23=0),"",'Price History'!O24/'Price History'!O23-1),"")</f>
        <v>-2.5946547884187043E-2</v>
      </c>
      <c r="P23" s="69" t="str">
        <f>IFERROR(IF(OR(NOT(ISNUMBER('Price History'!P24)),NOT(ISNUMBER('Price History'!P23)),'Price History'!P23=0),"",'Price History'!P24/'Price History'!P23-1),"")</f>
        <v/>
      </c>
      <c r="Q23" s="69">
        <f>IFERROR(IF(OR(NOT(ISNUMBER('Price History'!Q24)),NOT(ISNUMBER('Price History'!Q23)),'Price History'!Q23=0),"",'Price History'!Q24/'Price History'!Q23-1),"")</f>
        <v>7.5201760821717034E-3</v>
      </c>
      <c r="R23" s="69">
        <f>IFERROR(IF(OR(NOT(ISNUMBER('Price History'!R24)),NOT(ISNUMBER('Price History'!R23)),'Price History'!R23=0),"",'Price History'!R24/'Price History'!R23-1),"")</f>
        <v>-1.562187061886644E-2</v>
      </c>
      <c r="S23" s="69">
        <f>IFERROR(IF(OR(NOT(ISNUMBER('Price History'!S24)),NOT(ISNUMBER('Price History'!S23)),'Price History'!S23=0),"",'Price History'!S24/'Price History'!S23-1),"")</f>
        <v>-1.0381679389313114E-2</v>
      </c>
      <c r="T23" s="69">
        <f>IFERROR(IF(OR(NOT(ISNUMBER('Price History'!T24)),NOT(ISNUMBER('Price History'!T23)),'Price History'!T23=0),"",'Price History'!T24/'Price History'!T23-1),"")</f>
        <v>1.0585744530700048E-3</v>
      </c>
      <c r="U23" s="69" t="str">
        <f>IFERROR(IF(OR(NOT(ISNUMBER('Price History'!U24)),NOT(ISNUMBER('Price History'!U23)),'Price History'!U23=0),"",'Price History'!U24/'Price History'!U23-1),"")</f>
        <v/>
      </c>
    </row>
    <row r="24" spans="1:21" ht="15" customHeight="1" x14ac:dyDescent="0.2">
      <c r="A24" s="52">
        <f>'Price History'!A25</f>
        <v>45303</v>
      </c>
      <c r="B24" s="69">
        <f>IFERROR(IF(OR(NOT(ISNUMBER('Price History'!B25)),NOT(ISNUMBER('Price History'!B24)),'Price History'!B24=0),"",'Price History'!B25/'Price History'!B24-1),"")</f>
        <v>5.6571023733616554E-2</v>
      </c>
      <c r="C24" s="69">
        <f>IFERROR(IF(OR(NOT(ISNUMBER('Price History'!C25)),NOT(ISNUMBER('Price History'!C24)),'Price History'!C24=0),"",'Price History'!C25/'Price History'!C24-1),"")</f>
        <v>9.1460245972631249E-2</v>
      </c>
      <c r="D24" s="69">
        <f>IFERROR(IF(OR(NOT(ISNUMBER('Price History'!D25)),NOT(ISNUMBER('Price History'!D24)),'Price History'!D24=0),"",'Price History'!D25/'Price History'!D24-1),"")</f>
        <v>1.4047260215543034E-2</v>
      </c>
      <c r="E24" s="69">
        <f>IFERROR(IF(OR(NOT(ISNUMBER('Price History'!E25)),NOT(ISNUMBER('Price History'!E24)),'Price History'!E24=0),"",'Price History'!E25/'Price History'!E24-1),"")</f>
        <v>5.5656151720194336E-2</v>
      </c>
      <c r="F24" s="69">
        <f>IFERROR(IF(OR(NOT(ISNUMBER('Price History'!F25)),NOT(ISNUMBER('Price History'!F24)),'Price History'!F24=0),"",'Price History'!F25/'Price History'!F24-1),"")</f>
        <v>0.14498141263940534</v>
      </c>
      <c r="G24" s="69">
        <f>IFERROR(IF(OR(NOT(ISNUMBER('Price History'!G25)),NOT(ISNUMBER('Price History'!G24)),'Price History'!G24=0),"",'Price History'!G25/'Price History'!G24-1),"")</f>
        <v>2.9946720558515549E-2</v>
      </c>
      <c r="H24" s="69">
        <f>IFERROR(IF(OR(NOT(ISNUMBER('Price History'!H25)),NOT(ISNUMBER('Price History'!H24)),'Price History'!H24=0),"",'Price History'!H25/'Price History'!H24-1),"")</f>
        <v>-1.2702216896345098E-2</v>
      </c>
      <c r="I24" s="69">
        <f>IFERROR(IF(OR(NOT(ISNUMBER('Price History'!I25)),NOT(ISNUMBER('Price History'!I24)),'Price History'!I24=0),"",'Price History'!I25/'Price History'!I24-1),"")</f>
        <v>0.11425661914460283</v>
      </c>
      <c r="J24" s="69">
        <f>IFERROR(IF(OR(NOT(ISNUMBER('Price History'!J25)),NOT(ISNUMBER('Price History'!J24)),'Price History'!J24=0),"",'Price History'!J25/'Price History'!J24-1),"")</f>
        <v>7.5827205882352811E-3</v>
      </c>
      <c r="K24" s="69">
        <f>IFERROR(IF(OR(NOT(ISNUMBER('Price History'!K25)),NOT(ISNUMBER('Price History'!K24)),'Price History'!K24=0),"",'Price History'!K25/'Price History'!K24-1),"")</f>
        <v>4.8811013767209088E-2</v>
      </c>
      <c r="L24" s="69">
        <f>IFERROR(IF(OR(NOT(ISNUMBER('Price History'!L25)),NOT(ISNUMBER('Price History'!L24)),'Price History'!L24=0),"",'Price History'!L25/'Price History'!L24-1),"")</f>
        <v>1.6363818893685433E-2</v>
      </c>
      <c r="M24" s="69">
        <f>IFERROR(IF(OR(NOT(ISNUMBER('Price History'!M25)),NOT(ISNUMBER('Price History'!M24)),'Price History'!M24=0),"",'Price History'!M25/'Price History'!M24-1),"")</f>
        <v>6.9315482617145374E-2</v>
      </c>
      <c r="N24" s="69">
        <f>IFERROR(IF(OR(NOT(ISNUMBER('Price History'!N25)),NOT(ISNUMBER('Price History'!N24)),'Price History'!N24=0),"",'Price History'!N25/'Price History'!N24-1),"")</f>
        <v>4.057623049219683E-2</v>
      </c>
      <c r="O24" s="69">
        <f>IFERROR(IF(OR(NOT(ISNUMBER('Price History'!O25)),NOT(ISNUMBER('Price History'!O24)),'Price History'!O24=0),"",'Price History'!O25/'Price History'!O24-1),"")</f>
        <v>-1.1318166228421078E-2</v>
      </c>
      <c r="P24" s="69" t="str">
        <f>IFERROR(IF(OR(NOT(ISNUMBER('Price History'!P25)),NOT(ISNUMBER('Price History'!P24)),'Price History'!P24=0),"",'Price History'!P25/'Price History'!P24-1),"")</f>
        <v/>
      </c>
      <c r="Q24" s="69">
        <f>IFERROR(IF(OR(NOT(ISNUMBER('Price History'!Q25)),NOT(ISNUMBER('Price History'!Q24)),'Price History'!Q24=0),"",'Price History'!Q25/'Price History'!Q24-1),"")</f>
        <v>6.1896959766976067E-3</v>
      </c>
      <c r="R24" s="69">
        <f>IFERROR(IF(OR(NOT(ISNUMBER('Price History'!R25)),NOT(ISNUMBER('Price History'!R24)),'Price History'!R24=0),"",'Price History'!R25/'Price History'!R24-1),"")</f>
        <v>2.7263479145473113E-2</v>
      </c>
      <c r="S24" s="69">
        <f>IFERROR(IF(OR(NOT(ISNUMBER('Price History'!S25)),NOT(ISNUMBER('Price History'!S24)),'Price History'!S24=0),"",'Price History'!S25/'Price History'!S24-1),"")</f>
        <v>3.116322122801618E-2</v>
      </c>
      <c r="T24" s="69">
        <f>IFERROR(IF(OR(NOT(ISNUMBER('Price History'!T25)),NOT(ISNUMBER('Price History'!T24)),'Price History'!T24=0),"",'Price History'!T25/'Price History'!T24-1),"")</f>
        <v>-2.8198801550934904E-3</v>
      </c>
      <c r="U24" s="69" t="str">
        <f>IFERROR(IF(OR(NOT(ISNUMBER('Price History'!U25)),NOT(ISNUMBER('Price History'!U24)),'Price History'!U24=0),"",'Price History'!U25/'Price History'!U24-1),"")</f>
        <v/>
      </c>
    </row>
    <row r="25" spans="1:21" ht="15" customHeight="1" x14ac:dyDescent="0.2">
      <c r="A25" s="52">
        <f>'Price History'!A26</f>
        <v>45310</v>
      </c>
      <c r="B25" s="69">
        <f>IFERROR(IF(OR(NOT(ISNUMBER('Price History'!B26)),NOT(ISNUMBER('Price History'!B25)),'Price History'!B25=0),"",'Price History'!B26/'Price History'!B25-1),"")</f>
        <v>2.5161766185000101E-2</v>
      </c>
      <c r="C25" s="69">
        <f>IFERROR(IF(OR(NOT(ISNUMBER('Price History'!C26)),NOT(ISNUMBER('Price History'!C25)),'Price History'!C25=0),"",'Price History'!C26/'Price History'!C25-1),"")</f>
        <v>4.5548325662593259E-2</v>
      </c>
      <c r="D25" s="69">
        <f>IFERROR(IF(OR(NOT(ISNUMBER('Price History'!D26)),NOT(ISNUMBER('Price History'!D25)),'Price History'!D25=0),"",'Price History'!D26/'Price History'!D25-1),"")</f>
        <v>6.2547320602338807E-2</v>
      </c>
      <c r="E25" s="69">
        <f>IFERROR(IF(OR(NOT(ISNUMBER('Price History'!E26)),NOT(ISNUMBER('Price History'!E25)),'Price History'!E25=0),"",'Price History'!E26/'Price History'!E25-1),"")</f>
        <v>9.3436851132978394E-2</v>
      </c>
      <c r="F25" s="69">
        <f>IFERROR(IF(OR(NOT(ISNUMBER('Price History'!F26)),NOT(ISNUMBER('Price History'!F25)),'Price History'!F25=0),"",'Price History'!F26/'Price History'!F25-1),"")</f>
        <v>2.5409373235460109E-2</v>
      </c>
      <c r="G25" s="69">
        <f>IFERROR(IF(OR(NOT(ISNUMBER('Price History'!G26)),NOT(ISNUMBER('Price History'!G25)),'Price History'!G25=0),"",'Price History'!G26/'Price History'!G25-1),"")</f>
        <v>9.3471280770602849E-2</v>
      </c>
      <c r="H25" s="69">
        <f>IFERROR(IF(OR(NOT(ISNUMBER('Price History'!H26)),NOT(ISNUMBER('Price History'!H25)),'Price History'!H25=0),"",'Price History'!H26/'Price History'!H25-1),"")</f>
        <v>6.2143464012623051E-2</v>
      </c>
      <c r="I25" s="69">
        <f>IFERROR(IF(OR(NOT(ISNUMBER('Price History'!I26)),NOT(ISNUMBER('Price History'!I25)),'Price History'!I25=0),"",'Price History'!I26/'Price History'!I25-1),"")</f>
        <v>8.7369767866934733E-2</v>
      </c>
      <c r="J25" s="69">
        <f>IFERROR(IF(OR(NOT(ISNUMBER('Price History'!J26)),NOT(ISNUMBER('Price History'!J25)),'Price History'!J25=0),"",'Price History'!J26/'Price History'!J25-1),"")</f>
        <v>-2.3641201064234285E-2</v>
      </c>
      <c r="K25" s="69">
        <f>IFERROR(IF(OR(NOT(ISNUMBER('Price History'!K26)),NOT(ISNUMBER('Price History'!K25)),'Price History'!K25=0),"",'Price History'!K26/'Price History'!K25-1),"")</f>
        <v>1.1933174224343368E-3</v>
      </c>
      <c r="L25" s="69">
        <f>IFERROR(IF(OR(NOT(ISNUMBER('Price History'!L26)),NOT(ISNUMBER('Price History'!L25)),'Price History'!L25=0),"",'Price History'!L26/'Price History'!L25-1),"")</f>
        <v>0.12801264322402228</v>
      </c>
      <c r="M25" s="69">
        <f>IFERROR(IF(OR(NOT(ISNUMBER('Price History'!M26)),NOT(ISNUMBER('Price History'!M25)),'Price History'!M25=0),"",'Price History'!M26/'Price History'!M25-1),"")</f>
        <v>8.3804523424878763E-2</v>
      </c>
      <c r="N25" s="69">
        <f>IFERROR(IF(OR(NOT(ISNUMBER('Price History'!N26)),NOT(ISNUMBER('Price History'!N25)),'Price History'!N25=0),"",'Price History'!N26/'Price History'!N25-1),"")</f>
        <v>3.737886479003194E-3</v>
      </c>
      <c r="O25" s="69">
        <f>IFERROR(IF(OR(NOT(ISNUMBER('Price History'!O26)),NOT(ISNUMBER('Price History'!O25)),'Price History'!O25=0),"",'Price History'!O26/'Price History'!O25-1),"")</f>
        <v>3.0064754856613529E-3</v>
      </c>
      <c r="P25" s="69" t="str">
        <f>IFERROR(IF(OR(NOT(ISNUMBER('Price History'!P26)),NOT(ISNUMBER('Price History'!P25)),'Price History'!P25=0),"",'Price History'!P26/'Price History'!P25-1),"")</f>
        <v/>
      </c>
      <c r="Q25" s="69">
        <f>IFERROR(IF(OR(NOT(ISNUMBER('Price History'!Q26)),NOT(ISNUMBER('Price History'!Q25)),'Price History'!Q25=0),"",'Price History'!Q26/'Price History'!Q25-1),"")</f>
        <v>7.2371992039088617E-4</v>
      </c>
      <c r="R25" s="69">
        <f>IFERROR(IF(OR(NOT(ISNUMBER('Price History'!R26)),NOT(ISNUMBER('Price History'!R25)),'Price History'!R25=0),"",'Price History'!R26/'Price History'!R25-1),"")</f>
        <v>1.7825311942958999E-2</v>
      </c>
      <c r="S25" s="69">
        <f>IFERROR(IF(OR(NOT(ISNUMBER('Price History'!S26)),NOT(ISNUMBER('Price History'!S25)),'Price History'!S25=0),"",'Price History'!S26/'Price History'!S25-1),"")</f>
        <v>2.1095152603231471E-2</v>
      </c>
      <c r="T25" s="69">
        <f>IFERROR(IF(OR(NOT(ISNUMBER('Price History'!T26)),NOT(ISNUMBER('Price History'!T25)),'Price History'!T25=0),"",'Price History'!T26/'Price History'!T25-1),"")</f>
        <v>-9.5440084835630712E-3</v>
      </c>
      <c r="U25" s="69" t="str">
        <f>IFERROR(IF(OR(NOT(ISNUMBER('Price History'!U26)),NOT(ISNUMBER('Price History'!U25)),'Price History'!U25=0),"",'Price History'!U26/'Price History'!U25-1),"")</f>
        <v/>
      </c>
    </row>
    <row r="26" spans="1:21" ht="15" customHeight="1" x14ac:dyDescent="0.2">
      <c r="A26" s="52">
        <f>'Price History'!A27</f>
        <v>45317</v>
      </c>
      <c r="B26" s="69">
        <f>IFERROR(IF(OR(NOT(ISNUMBER('Price History'!B27)),NOT(ISNUMBER('Price History'!B26)),'Price History'!B26=0),"",'Price History'!B27/'Price History'!B26-1),"")</f>
        <v>3.891750470116806E-3</v>
      </c>
      <c r="C26" s="69">
        <f>IFERROR(IF(OR(NOT(ISNUMBER('Price History'!C27)),NOT(ISNUMBER('Price History'!C26)),'Price History'!C26=0),"",'Price History'!C27/'Price History'!C26-1),"")</f>
        <v>3.3394049787491831E-3</v>
      </c>
      <c r="D26" s="69">
        <f>IFERROR(IF(OR(NOT(ISNUMBER('Price History'!D27)),NOT(ISNUMBER('Price History'!D26)),'Price History'!D26=0),"",'Price History'!D27/'Price History'!D26-1),"")</f>
        <v>0.14504572265547666</v>
      </c>
      <c r="E26" s="69">
        <f>IFERROR(IF(OR(NOT(ISNUMBER('Price History'!E27)),NOT(ISNUMBER('Price History'!E26)),'Price History'!E26=0),"",'Price History'!E27/'Price History'!E26-1),"")</f>
        <v>-5.201453104359377E-3</v>
      </c>
      <c r="F26" s="69">
        <f>IFERROR(IF(OR(NOT(ISNUMBER('Price History'!F27)),NOT(ISNUMBER('Price History'!F26)),'Price History'!F26=0),"",'Price History'!F27/'Price History'!F26-1),"")</f>
        <v>-8.2599118942738858E-4</v>
      </c>
      <c r="G26" s="69">
        <f>IFERROR(IF(OR(NOT(ISNUMBER('Price History'!G27)),NOT(ISNUMBER('Price History'!G26)),'Price History'!G26=0),"",'Price History'!G27/'Price History'!G26-1),"")</f>
        <v>-2.2185970636215302E-2</v>
      </c>
      <c r="H26" s="69">
        <f>IFERROR(IF(OR(NOT(ISNUMBER('Price History'!H27)),NOT(ISNUMBER('Price History'!H26)),'Price History'!H26=0),"",'Price History'!H27/'Price History'!H26-1),"")</f>
        <v>6.1707233459031841E-3</v>
      </c>
      <c r="I26" s="69">
        <f>IFERROR(IF(OR(NOT(ISNUMBER('Price History'!I27)),NOT(ISNUMBER('Price History'!I26)),'Price History'!I26=0),"",'Price History'!I27/'Price History'!I26-1),"")</f>
        <v>2.588670364767176E-2</v>
      </c>
      <c r="J26" s="69">
        <f>IFERROR(IF(OR(NOT(ISNUMBER('Price History'!J27)),NOT(ISNUMBER('Price History'!J26)),'Price History'!J26=0),"",'Price History'!J27/'Price History'!J26-1),"")</f>
        <v>-1.2223606353160998E-2</v>
      </c>
      <c r="K26" s="69">
        <f>IFERROR(IF(OR(NOT(ISNUMBER('Price History'!K27)),NOT(ISNUMBER('Price History'!K26)),'Price History'!K26=0),"",'Price History'!K27/'Price History'!K26-1),"")</f>
        <v>-2.5625744934445804E-2</v>
      </c>
      <c r="L26" s="69">
        <f>IFERROR(IF(OR(NOT(ISNUMBER('Price History'!L27)),NOT(ISNUMBER('Price History'!L26)),'Price History'!L26=0),"",'Price History'!L27/'Price History'!L26-1),"")</f>
        <v>2.6795096322241641E-2</v>
      </c>
      <c r="M26" s="69">
        <f>IFERROR(IF(OR(NOT(ISNUMBER('Price History'!M27)),NOT(ISNUMBER('Price History'!M26)),'Price History'!M26=0),"",'Price History'!M27/'Price History'!M26-1),"")</f>
        <v>-3.9128004471772337E-3</v>
      </c>
      <c r="N26" s="69">
        <f>IFERROR(IF(OR(NOT(ISNUMBER('Price History'!N27)),NOT(ISNUMBER('Price History'!N26)),'Price History'!N26=0),"",'Price History'!N27/'Price History'!N26-1),"")</f>
        <v>-1.1148912693669133E-2</v>
      </c>
      <c r="O26" s="69">
        <f>IFERROR(IF(OR(NOT(ISNUMBER('Price History'!O27)),NOT(ISNUMBER('Price History'!O26)),'Price History'!O26=0),"",'Price History'!O27/'Price History'!O26-1),"")</f>
        <v>2.3518561217431566E-2</v>
      </c>
      <c r="P26" s="69" t="str">
        <f>IFERROR(IF(OR(NOT(ISNUMBER('Price History'!P27)),NOT(ISNUMBER('Price History'!P26)),'Price History'!P26=0),"",'Price History'!P27/'Price History'!P26-1),"")</f>
        <v/>
      </c>
      <c r="Q26" s="69">
        <f>IFERROR(IF(OR(NOT(ISNUMBER('Price History'!Q27)),NOT(ISNUMBER('Price History'!Q26)),'Price History'!Q26=0),"",'Price History'!Q27/'Price History'!Q26-1),"")</f>
        <v>1.8079913216406673E-4</v>
      </c>
      <c r="R26" s="69">
        <f>IFERROR(IF(OR(NOT(ISNUMBER('Price History'!R27)),NOT(ISNUMBER('Price History'!R26)),'Price History'!R26=0),"",'Price History'!R27/'Price History'!R26-1),"")</f>
        <v>7.7836154893948795E-3</v>
      </c>
      <c r="S26" s="69">
        <f>IFERROR(IF(OR(NOT(ISNUMBER('Price History'!S27)),NOT(ISNUMBER('Price History'!S26)),'Price History'!S26=0),"",'Price History'!S27/'Price History'!S26-1),"")</f>
        <v>1.611721611721606E-2</v>
      </c>
      <c r="T26" s="69">
        <f>IFERROR(IF(OR(NOT(ISNUMBER('Price History'!T27)),NOT(ISNUMBER('Price History'!T26)),'Price History'!T26=0),"",'Price History'!T27/'Price History'!T26-1),"")</f>
        <v>8.2084225553176182E-3</v>
      </c>
      <c r="U26" s="69" t="str">
        <f>IFERROR(IF(OR(NOT(ISNUMBER('Price History'!U27)),NOT(ISNUMBER('Price History'!U26)),'Price History'!U26=0),"",'Price History'!U27/'Price History'!U26-1),"")</f>
        <v/>
      </c>
    </row>
    <row r="27" spans="1:21" ht="15" customHeight="1" x14ac:dyDescent="0.2">
      <c r="A27" s="52">
        <f>'Price History'!A28</f>
        <v>45324</v>
      </c>
      <c r="B27" s="69">
        <f>IFERROR(IF(OR(NOT(ISNUMBER('Price History'!B28)),NOT(ISNUMBER('Price History'!B27)),'Price History'!B27=0),"",'Price History'!B28/'Price History'!B27-1),"")</f>
        <v>3.3928949554509646E-2</v>
      </c>
      <c r="C27" s="69">
        <f>IFERROR(IF(OR(NOT(ISNUMBER('Price History'!C28)),NOT(ISNUMBER('Price History'!C27)),'Price History'!C27=0),"",'Price History'!C28/'Price History'!C27-1),"")</f>
        <v>3.2980332829046999E-2</v>
      </c>
      <c r="D27" s="69">
        <f>IFERROR(IF(OR(NOT(ISNUMBER('Price History'!D28)),NOT(ISNUMBER('Price History'!D27)),'Price History'!D27=0),"",'Price History'!D28/'Price History'!D27-1),"")</f>
        <v>2.6401613367905474E-2</v>
      </c>
      <c r="E27" s="69">
        <f>IFERROR(IF(OR(NOT(ISNUMBER('Price History'!E28)),NOT(ISNUMBER('Price History'!E27)),'Price History'!E27=0),"",'Price History'!E28/'Price History'!E27-1),"")</f>
        <v>1.6100921238277222E-2</v>
      </c>
      <c r="F27" s="69">
        <f>IFERROR(IF(OR(NOT(ISNUMBER('Price History'!F28)),NOT(ISNUMBER('Price History'!F27)),'Price History'!F27=0),"",'Price History'!F28/'Price History'!F27-1),"")</f>
        <v>4.5604849820887416E-2</v>
      </c>
      <c r="G27" s="69">
        <f>IFERROR(IF(OR(NOT(ISNUMBER('Price History'!G28)),NOT(ISNUMBER('Price History'!G27)),'Price History'!G27=0),"",'Price History'!G28/'Price History'!G27-1),"")</f>
        <v>8.1748415081748238E-3</v>
      </c>
      <c r="H27" s="69">
        <f>IFERROR(IF(OR(NOT(ISNUMBER('Price History'!H28)),NOT(ISNUMBER('Price History'!H27)),'Price History'!H27=0),"",'Price History'!H28/'Price History'!H27-1),"")</f>
        <v>-1.7830777967064115E-2</v>
      </c>
      <c r="I27" s="69">
        <f>IFERROR(IF(OR(NOT(ISNUMBER('Price History'!I28)),NOT(ISNUMBER('Price History'!I27)),'Price History'!I27=0),"",'Price History'!I28/'Price History'!I27-1),"")</f>
        <v>8.4057021137145638E-2</v>
      </c>
      <c r="J27" s="69">
        <f>IFERROR(IF(OR(NOT(ISNUMBER('Price History'!J28)),NOT(ISNUMBER('Price History'!J27)),'Price History'!J27=0),"",'Price History'!J28/'Price History'!J27-1),"")</f>
        <v>1.875935997477729E-2</v>
      </c>
      <c r="K27" s="69">
        <f>IFERROR(IF(OR(NOT(ISNUMBER('Price History'!K28)),NOT(ISNUMBER('Price History'!K27)),'Price History'!K27=0),"",'Price History'!K28/'Price History'!K27-1),"")</f>
        <v>4.0978593272171127E-2</v>
      </c>
      <c r="L27" s="69">
        <f>IFERROR(IF(OR(NOT(ISNUMBER('Price History'!L28)),NOT(ISNUMBER('Price History'!L27)),'Price History'!L27=0),"",'Price History'!L28/'Price History'!L27-1),"")</f>
        <v>-1.2877366535903212E-2</v>
      </c>
      <c r="M27" s="69">
        <f>IFERROR(IF(OR(NOT(ISNUMBER('Price History'!M28)),NOT(ISNUMBER('Price History'!M27)),'Price History'!M27=0),"",'Price History'!M28/'Price History'!M27-1),"")</f>
        <v>0.14983164983164987</v>
      </c>
      <c r="N27" s="69">
        <f>IFERROR(IF(OR(NOT(ISNUMBER('Price History'!N28)),NOT(ISNUMBER('Price History'!N27)),'Price History'!N27=0),"",'Price History'!N28/'Price History'!N27-1),"")</f>
        <v>-1.2762396261942976E-2</v>
      </c>
      <c r="O27" s="69">
        <f>IFERROR(IF(OR(NOT(ISNUMBER('Price History'!O28)),NOT(ISNUMBER('Price History'!O27)),'Price History'!O27=0),"",'Price History'!O28/'Price History'!O27-1),"")</f>
        <v>-1.8697904933543508E-2</v>
      </c>
      <c r="P27" s="69" t="str">
        <f>IFERROR(IF(OR(NOT(ISNUMBER('Price History'!P28)),NOT(ISNUMBER('Price History'!P27)),'Price History'!P27=0),"",'Price History'!P28/'Price History'!P27-1),"")</f>
        <v/>
      </c>
      <c r="Q27" s="69">
        <f>IFERROR(IF(OR(NOT(ISNUMBER('Price History'!Q28)),NOT(ISNUMBER('Price History'!Q27)),'Price History'!Q27=0),"",'Price History'!Q28/'Price History'!Q27-1),"")</f>
        <v>1.1026753434562497E-2</v>
      </c>
      <c r="R27" s="69">
        <f>IFERROR(IF(OR(NOT(ISNUMBER('Price History'!R28)),NOT(ISNUMBER('Price History'!R27)),'Price History'!R27=0),"",'Price History'!R28/'Price History'!R27-1),"")</f>
        <v>2.8963120293492572E-3</v>
      </c>
      <c r="S27" s="69">
        <f>IFERROR(IF(OR(NOT(ISNUMBER('Price History'!S28)),NOT(ISNUMBER('Price History'!S27)),'Price History'!S27=0),"",'Price History'!S28/'Price History'!S27-1),"")</f>
        <v>4.5710165825522786E-2</v>
      </c>
      <c r="T27" s="69">
        <f>IFERROR(IF(OR(NOT(ISNUMBER('Price History'!T28)),NOT(ISNUMBER('Price History'!T27)),'Price History'!T27=0),"",'Price History'!T28/'Price History'!T27-1),"")</f>
        <v>9.5575221238937136E-3</v>
      </c>
      <c r="U27" s="69" t="str">
        <f>IFERROR(IF(OR(NOT(ISNUMBER('Price History'!U28)),NOT(ISNUMBER('Price History'!U27)),'Price History'!U27=0),"",'Price History'!U28/'Price History'!U27-1),"")</f>
        <v/>
      </c>
    </row>
    <row r="28" spans="1:21" ht="15" customHeight="1" x14ac:dyDescent="0.2">
      <c r="A28" s="52">
        <f>'Price History'!A29</f>
        <v>45331</v>
      </c>
      <c r="B28" s="69">
        <f>IFERROR(IF(OR(NOT(ISNUMBER('Price History'!B29)),NOT(ISNUMBER('Price History'!B28)),'Price History'!B28=0),"",'Price History'!B29/'Price History'!B28-1),"")</f>
        <v>-1.1894259247589578E-2</v>
      </c>
      <c r="C28" s="69">
        <f>IFERROR(IF(OR(NOT(ISNUMBER('Price History'!C29)),NOT(ISNUMBER('Price History'!C28)),'Price History'!C28=0),"",'Price History'!C29/'Price History'!C28-1),"")</f>
        <v>3.4124194493263094E-2</v>
      </c>
      <c r="D28" s="69">
        <f>IFERROR(IF(OR(NOT(ISNUMBER('Price History'!D29)),NOT(ISNUMBER('Price History'!D28)),'Price History'!D28=0),"",'Price History'!D29/'Price History'!D28-1),"")</f>
        <v>6.6175645027283236E-2</v>
      </c>
      <c r="E28" s="69">
        <f>IFERROR(IF(OR(NOT(ISNUMBER('Price History'!E29)),NOT(ISNUMBER('Price History'!E28)),'Price History'!E28=0),"",'Price History'!E29/'Price History'!E28-1),"")</f>
        <v>4.827248223474645E-2</v>
      </c>
      <c r="F28" s="69">
        <f>IFERROR(IF(OR(NOT(ISNUMBER('Price History'!F29)),NOT(ISNUMBER('Price History'!F28)),'Price History'!F28=0),"",'Price History'!F29/'Price History'!F28-1),"")</f>
        <v>8.499143497166961E-2</v>
      </c>
      <c r="G28" s="69">
        <f>IFERROR(IF(OR(NOT(ISNUMBER('Price History'!G29)),NOT(ISNUMBER('Price History'!G28)),'Price History'!G28=0),"",'Price History'!G29/'Price History'!G28-1),"")</f>
        <v>7.5293728280655392E-2</v>
      </c>
      <c r="H28" s="69">
        <f>IFERROR(IF(OR(NOT(ISNUMBER('Price History'!H29)),NOT(ISNUMBER('Price History'!H28)),'Price History'!H28=0),"",'Price History'!H29/'Price History'!H28-1),"")</f>
        <v>-1.0638297872340496E-2</v>
      </c>
      <c r="I28" s="69">
        <f>IFERROR(IF(OR(NOT(ISNUMBER('Price History'!I29)),NOT(ISNUMBER('Price History'!I28)),'Price History'!I28=0),"",'Price History'!I29/'Price History'!I28-1),"")</f>
        <v>9.0235792019347061E-2</v>
      </c>
      <c r="J28" s="69">
        <f>IFERROR(IF(OR(NOT(ISNUMBER('Price History'!J29)),NOT(ISNUMBER('Price History'!J28)),'Price History'!J28=0),"",'Price History'!J29/'Price History'!J28-1),"")</f>
        <v>2.499032882011587E-2</v>
      </c>
      <c r="K28" s="69">
        <f>IFERROR(IF(OR(NOT(ISNUMBER('Price History'!K29)),NOT(ISNUMBER('Price History'!K28)),'Price History'!K28=0),"",'Price History'!K29/'Price History'!K28-1),"")</f>
        <v>0.43243243243243246</v>
      </c>
      <c r="L28" s="69">
        <f>IFERROR(IF(OR(NOT(ISNUMBER('Price History'!L29)),NOT(ISNUMBER('Price History'!L28)),'Price History'!L28=0),"",'Price History'!L29/'Price History'!L28-1),"")</f>
        <v>0.14997840172786181</v>
      </c>
      <c r="M28" s="69">
        <f>IFERROR(IF(OR(NOT(ISNUMBER('Price History'!M29)),NOT(ISNUMBER('Price History'!M28)),'Price History'!M28=0),"",'Price History'!M29/'Price History'!M28-1),"")</f>
        <v>3.3349601431592824E-2</v>
      </c>
      <c r="N28" s="69">
        <f>IFERROR(IF(OR(NOT(ISNUMBER('Price History'!N29)),NOT(ISNUMBER('Price History'!N28)),'Price History'!N28=0),"",'Price History'!N29/'Price History'!N28-1),"")</f>
        <v>-4.1678440237354897E-3</v>
      </c>
      <c r="O28" s="69">
        <f>IFERROR(IF(OR(NOT(ISNUMBER('Price History'!O29)),NOT(ISNUMBER('Price History'!O28)),'Price History'!O28=0),"",'Price History'!O29/'Price History'!O28-1),"")</f>
        <v>9.0679522497703058E-3</v>
      </c>
      <c r="P28" s="69" t="str">
        <f>IFERROR(IF(OR(NOT(ISNUMBER('Price History'!P29)),NOT(ISNUMBER('Price History'!P28)),'Price History'!P28=0),"",'Price History'!P29/'Price History'!P28-1),"")</f>
        <v/>
      </c>
      <c r="Q28" s="69">
        <f>IFERROR(IF(OR(NOT(ISNUMBER('Price History'!Q29)),NOT(ISNUMBER('Price History'!Q28)),'Price History'!Q28=0),"",'Price History'!Q29/'Price History'!Q28-1),"")</f>
        <v>7.1517968889689421E-4</v>
      </c>
      <c r="R28" s="69">
        <f>IFERROR(IF(OR(NOT(ISNUMBER('Price History'!R29)),NOT(ISNUMBER('Price History'!R28)),'Price History'!R28=0),"",'Price History'!R29/'Price History'!R28-1),"")</f>
        <v>1.0589141316904138E-2</v>
      </c>
      <c r="S28" s="69">
        <f>IFERROR(IF(OR(NOT(ISNUMBER('Price History'!S29)),NOT(ISNUMBER('Price History'!S28)),'Price History'!S28=0),"",'Price History'!S29/'Price History'!S28-1),"")</f>
        <v>2.385548814120253E-2</v>
      </c>
      <c r="T28" s="69">
        <f>IFERROR(IF(OR(NOT(ISNUMBER('Price History'!T29)),NOT(ISNUMBER('Price History'!T28)),'Price History'!T28=0),"",'Price History'!T29/'Price History'!T28-1),"")</f>
        <v>3.8569424964935983E-3</v>
      </c>
      <c r="U28" s="69" t="str">
        <f>IFERROR(IF(OR(NOT(ISNUMBER('Price History'!U29)),NOT(ISNUMBER('Price History'!U28)),'Price History'!U28=0),"",'Price History'!U29/'Price History'!U28-1),"")</f>
        <v/>
      </c>
    </row>
    <row r="29" spans="1:21" ht="15" customHeight="1" x14ac:dyDescent="0.2">
      <c r="A29" s="52">
        <f>'Price History'!A30</f>
        <v>45338</v>
      </c>
      <c r="B29" s="69">
        <f>IFERROR(IF(OR(NOT(ISNUMBER('Price History'!B30)),NOT(ISNUMBER('Price History'!B29)),'Price History'!B29=0),"",'Price History'!B30/'Price History'!B29-1),"")</f>
        <v>-0.12842588606686767</v>
      </c>
      <c r="C29" s="69">
        <f>IFERROR(IF(OR(NOT(ISNUMBER('Price History'!C30)),NOT(ISNUMBER('Price History'!C29)),'Price History'!C29=0),"",'Price History'!C30/'Price History'!C29-1),"")</f>
        <v>-7.3219090780342722E-2</v>
      </c>
      <c r="D29" s="69">
        <f>IFERROR(IF(OR(NOT(ISNUMBER('Price History'!D30)),NOT(ISNUMBER('Price History'!D29)),'Price History'!D29=0),"",'Price History'!D30/'Price History'!D29-1),"")</f>
        <v>-2.1756529064869357E-2</v>
      </c>
      <c r="E29" s="69">
        <f>IFERROR(IF(OR(NOT(ISNUMBER('Price History'!E30)),NOT(ISNUMBER('Price History'!E29)),'Price History'!E29=0),"",'Price History'!E30/'Price History'!E29-1),"")</f>
        <v>-2.9530933458002284E-2</v>
      </c>
      <c r="F29" s="69">
        <f>IFERROR(IF(OR(NOT(ISNUMBER('Price History'!F30)),NOT(ISNUMBER('Price History'!F29)),'Price History'!F29=0),"",'Price History'!F30/'Price History'!F29-1),"")</f>
        <v>-3.6434296818077527E-4</v>
      </c>
      <c r="G29" s="69">
        <f>IFERROR(IF(OR(NOT(ISNUMBER('Price History'!G30)),NOT(ISNUMBER('Price History'!G29)),'Price History'!G29=0),"",'Price History'!G30/'Price History'!G29-1),"")</f>
        <v>1.7851646660510978E-2</v>
      </c>
      <c r="H29" s="69">
        <f>IFERROR(IF(OR(NOT(ISNUMBER('Price History'!H30)),NOT(ISNUMBER('Price History'!H29)),'Price History'!H29=0),"",'Price History'!H30/'Price History'!H29-1),"")</f>
        <v>-7.0827489481065986E-2</v>
      </c>
      <c r="I29" s="69">
        <f>IFERROR(IF(OR(NOT(ISNUMBER('Price History'!I30)),NOT(ISNUMBER('Price History'!I29)),'Price History'!I29=0),"",'Price History'!I30/'Price History'!I29-1),"")</f>
        <v>6.6546513239984506E-3</v>
      </c>
      <c r="J29" s="69">
        <f>IFERROR(IF(OR(NOT(ISNUMBER('Price History'!J30)),NOT(ISNUMBER('Price History'!J29)),'Price History'!J29=0),"",'Price History'!J30/'Price History'!J29-1),"")</f>
        <v>6.8689613526569104E-3</v>
      </c>
      <c r="K29" s="69">
        <f>IFERROR(IF(OR(NOT(ISNUMBER('Price History'!K30)),NOT(ISNUMBER('Price History'!K29)),'Price History'!K29=0),"",'Price History'!K30/'Price History'!K29-1),"")</f>
        <v>2.4610336341264194E-3</v>
      </c>
      <c r="L29" s="69">
        <f>IFERROR(IF(OR(NOT(ISNUMBER('Price History'!L30)),NOT(ISNUMBER('Price History'!L29)),'Price History'!L29=0),"",'Price History'!L30/'Price History'!L29-1),"")</f>
        <v>-4.8230786567500683E-2</v>
      </c>
      <c r="M29" s="69">
        <f>IFERROR(IF(OR(NOT(ISNUMBER('Price History'!M30)),NOT(ISNUMBER('Price History'!M29)),'Price History'!M29=0),"",'Price History'!M30/'Price History'!M29-1),"")</f>
        <v>-8.6586901763224811E-3</v>
      </c>
      <c r="N29" s="69">
        <f>IFERROR(IF(OR(NOT(ISNUMBER('Price History'!N30)),NOT(ISNUMBER('Price History'!N29)),'Price History'!N29=0),"",'Price History'!N30/'Price History'!N29-1),"")</f>
        <v>-1.6788441985293723E-3</v>
      </c>
      <c r="O29" s="69">
        <f>IFERROR(IF(OR(NOT(ISNUMBER('Price History'!O30)),NOT(ISNUMBER('Price History'!O29)),'Price History'!O29=0),"",'Price History'!O30/'Price History'!O29-1),"")</f>
        <v>7.0526675008530937E-3</v>
      </c>
      <c r="P29" s="69" t="str">
        <f>IFERROR(IF(OR(NOT(ISNUMBER('Price History'!P30)),NOT(ISNUMBER('Price History'!P29)),'Price History'!P29=0),"",'Price History'!P30/'Price History'!P29-1),"")</f>
        <v/>
      </c>
      <c r="Q29" s="69">
        <f>IFERROR(IF(OR(NOT(ISNUMBER('Price History'!Q30)),NOT(ISNUMBER('Price History'!Q29)),'Price History'!Q29=0),"",'Price History'!Q30/'Price History'!Q29-1),"")</f>
        <v>-3.7520100053600736E-3</v>
      </c>
      <c r="R29" s="69">
        <f>IFERROR(IF(OR(NOT(ISNUMBER('Price History'!R30)),NOT(ISNUMBER('Price History'!R29)),'Price History'!R29=0),"",'Price History'!R30/'Price History'!R29-1),"")</f>
        <v>-3.2387121356449722E-3</v>
      </c>
      <c r="S29" s="69">
        <f>IFERROR(IF(OR(NOT(ISNUMBER('Price History'!S30)),NOT(ISNUMBER('Price History'!S29)),'Price History'!S29=0),"",'Price History'!S30/'Price History'!S29-1),"")</f>
        <v>8.3501683501683299E-3</v>
      </c>
      <c r="T29" s="69">
        <f>IFERROR(IF(OR(NOT(ISNUMBER('Price History'!T30)),NOT(ISNUMBER('Price History'!T29)),'Price History'!T29=0),"",'Price History'!T30/'Price History'!T29-1),"")</f>
        <v>8.3828152287810376E-3</v>
      </c>
      <c r="U29" s="69" t="str">
        <f>IFERROR(IF(OR(NOT(ISNUMBER('Price History'!U30)),NOT(ISNUMBER('Price History'!U29)),'Price History'!U29=0),"",'Price History'!U30/'Price History'!U29-1),"")</f>
        <v/>
      </c>
    </row>
    <row r="30" spans="1:21" ht="15" customHeight="1" x14ac:dyDescent="0.2">
      <c r="A30" s="52">
        <f>'Price History'!A31</f>
        <v>45345</v>
      </c>
      <c r="B30" s="69">
        <f>IFERROR(IF(OR(NOT(ISNUMBER('Price History'!B31)),NOT(ISNUMBER('Price History'!B30)),'Price History'!B30=0),"",'Price History'!B31/'Price History'!B30-1),"")</f>
        <v>1.2402590275491399E-2</v>
      </c>
      <c r="C30" s="69">
        <f>IFERROR(IF(OR(NOT(ISNUMBER('Price History'!C31)),NOT(ISNUMBER('Price History'!C30)),'Price History'!C30=0),"",'Price History'!C31/'Price History'!C30-1),"")</f>
        <v>2.261613691931541E-2</v>
      </c>
      <c r="D30" s="69">
        <f>IFERROR(IF(OR(NOT(ISNUMBER('Price History'!D31)),NOT(ISNUMBER('Price History'!D30)),'Price History'!D30=0),"",'Price History'!D31/'Price History'!D30-1),"")</f>
        <v>4.6396968587851806E-3</v>
      </c>
      <c r="E30" s="69">
        <f>IFERROR(IF(OR(NOT(ISNUMBER('Price History'!E31)),NOT(ISNUMBER('Price History'!E30)),'Price History'!E30=0),"",'Price History'!E31/'Price History'!E30-1),"")</f>
        <v>4.0867121637896409E-2</v>
      </c>
      <c r="F30" s="69">
        <f>IFERROR(IF(OR(NOT(ISNUMBER('Price History'!F31)),NOT(ISNUMBER('Price History'!F30)),'Price History'!F30=0),"",'Price History'!F31/'Price History'!F30-1),"")</f>
        <v>-5.3942412829546815E-2</v>
      </c>
      <c r="G30" s="69">
        <f>IFERROR(IF(OR(NOT(ISNUMBER('Price History'!G31)),NOT(ISNUMBER('Price History'!G30)),'Price History'!G30=0),"",'Price History'!G31/'Price History'!G30-1),"")</f>
        <v>1.1188388267311611E-2</v>
      </c>
      <c r="H30" s="69">
        <f>IFERROR(IF(OR(NOT(ISNUMBER('Price History'!H31)),NOT(ISNUMBER('Price History'!H30)),'Price History'!H30=0),"",'Price History'!H31/'Price History'!H30-1),"")</f>
        <v>8.1761006289308158E-2</v>
      </c>
      <c r="I30" s="69">
        <f>IFERROR(IF(OR(NOT(ISNUMBER('Price History'!I31)),NOT(ISNUMBER('Price History'!I30)),'Price History'!I30=0),"",'Price History'!I31/'Price History'!I30-1),"")</f>
        <v>8.5525409723178569E-2</v>
      </c>
      <c r="J30" s="69">
        <f>IFERROR(IF(OR(NOT(ISNUMBER('Price History'!J31)),NOT(ISNUMBER('Price History'!J30)),'Price History'!J30=0),"",'Price History'!J31/'Price History'!J30-1),"")</f>
        <v>-1.3494264937400358E-3</v>
      </c>
      <c r="K30" s="69">
        <f>IFERROR(IF(OR(NOT(ISNUMBER('Price History'!K31)),NOT(ISNUMBER('Price History'!K30)),'Price History'!K30=0),"",'Price History'!K31/'Price History'!K30-1),"")</f>
        <v>-6.0147299509001773E-2</v>
      </c>
      <c r="L30" s="69">
        <f>IFERROR(IF(OR(NOT(ISNUMBER('Price History'!L31)),NOT(ISNUMBER('Price History'!L30)),'Price History'!L30=0),"",'Price History'!L31/'Price History'!L30-1),"")</f>
        <v>2.2416923198358196E-2</v>
      </c>
      <c r="M30" s="69">
        <f>IFERROR(IF(OR(NOT(ISNUMBER('Price History'!M31)),NOT(ISNUMBER('Price History'!M30)),'Price History'!M30=0),"",'Price History'!M31/'Price History'!M30-1),"")</f>
        <v>-4.2877560743210807E-3</v>
      </c>
      <c r="N30" s="69">
        <f>IFERROR(IF(OR(NOT(ISNUMBER('Price History'!N31)),NOT(ISNUMBER('Price History'!N30)),'Price History'!N30=0),"",'Price History'!N31/'Price History'!N30-1),"")</f>
        <v>1.8735196589294123E-2</v>
      </c>
      <c r="O30" s="69">
        <f>IFERROR(IF(OR(NOT(ISNUMBER('Price History'!O31)),NOT(ISNUMBER('Price History'!O30)),'Price History'!O30=0),"",'Price History'!O31/'Price History'!O30-1),"")</f>
        <v>-3.2757257426861974E-3</v>
      </c>
      <c r="P30" s="69" t="str">
        <f>IFERROR(IF(OR(NOT(ISNUMBER('Price History'!P31)),NOT(ISNUMBER('Price History'!P30)),'Price History'!P30=0),"",'Price History'!P31/'Price History'!P30-1),"")</f>
        <v/>
      </c>
      <c r="Q30" s="69">
        <f>IFERROR(IF(OR(NOT(ISNUMBER('Price History'!Q31)),NOT(ISNUMBER('Price History'!Q30)),'Price History'!Q30=0),"",'Price History'!Q31/'Price History'!Q30-1),"")</f>
        <v>-6.276901004304225E-3</v>
      </c>
      <c r="R30" s="69">
        <f>IFERROR(IF(OR(NOT(ISNUMBER('Price History'!R31)),NOT(ISNUMBER('Price History'!R30)),'Price History'!R30=0),"",'Price History'!R31/'Price History'!R30-1),"")</f>
        <v>1.261467889908241E-2</v>
      </c>
      <c r="S30" s="69">
        <f>IFERROR(IF(OR(NOT(ISNUMBER('Price History'!S31)),NOT(ISNUMBER('Price History'!S30)),'Price History'!S30=0),"",'Price History'!S31/'Price History'!S30-1),"")</f>
        <v>2.243889408307731E-2</v>
      </c>
      <c r="T30" s="69">
        <f>IFERROR(IF(OR(NOT(ISNUMBER('Price History'!T31)),NOT(ISNUMBER('Price History'!T30)),'Price History'!T30=0),"",'Price History'!T31/'Price History'!T30-1),"")</f>
        <v>2.1821960512642846E-2</v>
      </c>
      <c r="U30" s="69" t="str">
        <f>IFERROR(IF(OR(NOT(ISNUMBER('Price History'!U31)),NOT(ISNUMBER('Price History'!U30)),'Price History'!U30=0),"",'Price History'!U31/'Price History'!U30-1),"")</f>
        <v/>
      </c>
    </row>
    <row r="31" spans="1:21" ht="15" customHeight="1" x14ac:dyDescent="0.2">
      <c r="A31" s="52">
        <f>'Price History'!A32</f>
        <v>45352</v>
      </c>
      <c r="B31" s="69">
        <f>IFERROR(IF(OR(NOT(ISNUMBER('Price History'!B32)),NOT(ISNUMBER('Price History'!B31)),'Price History'!B31=0),"",'Price History'!B32/'Price History'!B31-1),"")</f>
        <v>3.1602341717259064E-2</v>
      </c>
      <c r="C31" s="69">
        <f>IFERROR(IF(OR(NOT(ISNUMBER('Price History'!C32)),NOT(ISNUMBER('Price History'!C31)),'Price History'!C31=0),"",'Price History'!C32/'Price History'!C31-1),"")</f>
        <v>7.5014943215780061E-2</v>
      </c>
      <c r="D31" s="69">
        <f>IFERROR(IF(OR(NOT(ISNUMBER('Price History'!D32)),NOT(ISNUMBER('Price History'!D31)),'Price History'!D31=0),"",'Price History'!D32/'Price History'!D31-1),"")</f>
        <v>6.1816233592285164E-2</v>
      </c>
      <c r="E31" s="69">
        <f>IFERROR(IF(OR(NOT(ISNUMBER('Price History'!E32)),NOT(ISNUMBER('Price History'!E31)),'Price History'!E31=0),"",'Price History'!E32/'Price History'!E31-1),"")</f>
        <v>7.9296513421783343E-2</v>
      </c>
      <c r="F31" s="69">
        <f>IFERROR(IF(OR(NOT(ISNUMBER('Price History'!F32)),NOT(ISNUMBER('Price History'!F31)),'Price History'!F31=0),"",'Price History'!F32/'Price History'!F31-1),"")</f>
        <v>1.001669449081799E-2</v>
      </c>
      <c r="G31" s="69">
        <f>IFERROR(IF(OR(NOT(ISNUMBER('Price History'!G32)),NOT(ISNUMBER('Price History'!G31)),'Price History'!G31=0),"",'Price History'!G32/'Price History'!G31-1),"")</f>
        <v>7.2966507177033568E-2</v>
      </c>
      <c r="H31" s="69">
        <f>IFERROR(IF(OR(NOT(ISNUMBER('Price History'!H32)),NOT(ISNUMBER('Price History'!H31)),'Price History'!H31=0),"",'Price History'!H32/'Price History'!H31-1),"")</f>
        <v>0.10639534883720936</v>
      </c>
      <c r="I31" s="69">
        <f>IFERROR(IF(OR(NOT(ISNUMBER('Price History'!I32)),NOT(ISNUMBER('Price History'!I31)),'Price History'!I31=0),"",'Price History'!I32/'Price History'!I31-1),"")</f>
        <v>4.3897487947221592E-2</v>
      </c>
      <c r="J31" s="69">
        <f>IFERROR(IF(OR(NOT(ISNUMBER('Price History'!J32)),NOT(ISNUMBER('Price History'!J31)),'Price History'!J31=0),"",'Price History'!J32/'Price History'!J31-1),"")</f>
        <v>1.0434652053149085E-2</v>
      </c>
      <c r="K31" s="69">
        <f>IFERROR(IF(OR(NOT(ISNUMBER('Price History'!K32)),NOT(ISNUMBER('Price History'!K31)),'Price History'!K31=0),"",'Price History'!K32/'Price History'!K31-1),"")</f>
        <v>8.5328689595124185E-2</v>
      </c>
      <c r="L31" s="69">
        <f>IFERROR(IF(OR(NOT(ISNUMBER('Price History'!L32)),NOT(ISNUMBER('Price History'!L31)),'Price History'!L31=0),"",'Price History'!L32/'Price History'!L31-1),"")</f>
        <v>3.373735814097123E-2</v>
      </c>
      <c r="M31" s="69">
        <f>IFERROR(IF(OR(NOT(ISNUMBER('Price History'!M32)),NOT(ISNUMBER('Price History'!M31)),'Price History'!M31=0),"",'Price History'!M32/'Price History'!M31-1),"")</f>
        <v>0.12551834130781492</v>
      </c>
      <c r="N31" s="69">
        <f>IFERROR(IF(OR(NOT(ISNUMBER('Price History'!N32)),NOT(ISNUMBER('Price History'!N31)),'Price History'!N31=0),"",'Price History'!N32/'Price History'!N31-1),"")</f>
        <v>6.161214573016105E-3</v>
      </c>
      <c r="O31" s="69">
        <f>IFERROR(IF(OR(NOT(ISNUMBER('Price History'!O32)),NOT(ISNUMBER('Price History'!O31)),'Price History'!O31=0),"",'Price History'!O32/'Price History'!O31-1),"")</f>
        <v>1.575249320036276E-2</v>
      </c>
      <c r="P31" s="69" t="str">
        <f>IFERROR(IF(OR(NOT(ISNUMBER('Price History'!P32)),NOT(ISNUMBER('Price History'!P31)),'Price History'!P31=0),"",'Price History'!P32/'Price History'!P31-1),"")</f>
        <v/>
      </c>
      <c r="Q31" s="69">
        <f>IFERROR(IF(OR(NOT(ISNUMBER('Price History'!Q32)),NOT(ISNUMBER('Price History'!Q31)),'Price History'!Q31=0),"",'Price History'!Q32/'Price History'!Q31-1),"")</f>
        <v>-1.9491066594477524E-2</v>
      </c>
      <c r="R31" s="69">
        <f>IFERROR(IF(OR(NOT(ISNUMBER('Price History'!R32)),NOT(ISNUMBER('Price History'!R31)),'Price History'!R31=0),"",'Price History'!R32/'Price History'!R31-1),"")</f>
        <v>5.2850132125330518E-3</v>
      </c>
      <c r="S31" s="69">
        <f>IFERROR(IF(OR(NOT(ISNUMBER('Price History'!S32)),NOT(ISNUMBER('Price History'!S31)),'Price History'!S31=0),"",'Price History'!S32/'Price History'!S31-1),"")</f>
        <v>2.8086218158066778E-2</v>
      </c>
      <c r="T31" s="69">
        <f>IFERROR(IF(OR(NOT(ISNUMBER('Price History'!T32)),NOT(ISNUMBER('Price History'!T31)),'Price History'!T31=0),"",'Price History'!T32/'Price History'!T31-1),"")</f>
        <v>2.2033898305084731E-2</v>
      </c>
      <c r="U31" s="69" t="str">
        <f>IFERROR(IF(OR(NOT(ISNUMBER('Price History'!U32)),NOT(ISNUMBER('Price History'!U31)),'Price History'!U31=0),"",'Price History'!U32/'Price History'!U31-1),"")</f>
        <v/>
      </c>
    </row>
    <row r="32" spans="1:21" ht="15" customHeight="1" x14ac:dyDescent="0.2">
      <c r="A32" s="52">
        <f>'Price History'!A33</f>
        <v>45359</v>
      </c>
      <c r="B32" s="69">
        <f>IFERROR(IF(OR(NOT(ISNUMBER('Price History'!B33)),NOT(ISNUMBER('Price History'!B32)),'Price History'!B32=0),"",'Price History'!B33/'Price History'!B32-1),"")</f>
        <v>-3.3699402728880723E-2</v>
      </c>
      <c r="C32" s="69">
        <f>IFERROR(IF(OR(NOT(ISNUMBER('Price History'!C33)),NOT(ISNUMBER('Price History'!C32)),'Price History'!C32=0),"",'Price History'!C33/'Price History'!C32-1),"")</f>
        <v>-5.0875729774812251E-2</v>
      </c>
      <c r="D32" s="69">
        <f>IFERROR(IF(OR(NOT(ISNUMBER('Price History'!D33)),NOT(ISNUMBER('Price History'!D32)),'Price History'!D32=0),"",'Price History'!D33/'Price History'!D32-1),"")</f>
        <v>3.4209942075200672E-3</v>
      </c>
      <c r="E32" s="69">
        <f>IFERROR(IF(OR(NOT(ISNUMBER('Price History'!E33)),NOT(ISNUMBER('Price History'!E32)),'Price History'!E32=0),"",'Price History'!E33/'Price History'!E32-1),"")</f>
        <v>-6.4679817038307497E-2</v>
      </c>
      <c r="F32" s="69">
        <f>IFERROR(IF(OR(NOT(ISNUMBER('Price History'!F33)),NOT(ISNUMBER('Price History'!F32)),'Price History'!F32=0),"",'Price History'!F33/'Price History'!F32-1),"")</f>
        <v>2.6191989828353357E-2</v>
      </c>
      <c r="G32" s="69">
        <f>IFERROR(IF(OR(NOT(ISNUMBER('Price History'!G33)),NOT(ISNUMBER('Price History'!G32)),'Price History'!G32=0),"",'Price History'!G33/'Price History'!G32-1),"")</f>
        <v>-2.5641025641025661E-2</v>
      </c>
      <c r="H32" s="69">
        <f>IFERROR(IF(OR(NOT(ISNUMBER('Price History'!H33)),NOT(ISNUMBER('Price History'!H32)),'Price History'!H32=0),"",'Price History'!H33/'Price History'!H32-1),"")</f>
        <v>2.5959012086179678E-2</v>
      </c>
      <c r="I32" s="69">
        <f>IFERROR(IF(OR(NOT(ISNUMBER('Price History'!I33)),NOT(ISNUMBER('Price History'!I32)),'Price History'!I32=0),"",'Price History'!I33/'Price History'!I32-1),"")</f>
        <v>6.3806514341273601E-2</v>
      </c>
      <c r="J32" s="69">
        <f>IFERROR(IF(OR(NOT(ISNUMBER('Price History'!J33)),NOT(ISNUMBER('Price History'!J32)),'Price History'!J32=0),"",'Price History'!J33/'Price History'!J32-1),"")</f>
        <v>3.4918276374442669E-3</v>
      </c>
      <c r="K32" s="69">
        <f>IFERROR(IF(OR(NOT(ISNUMBER('Price History'!K33)),NOT(ISNUMBER('Price History'!K32)),'Price History'!K32=0),"",'Price History'!K33/'Price History'!K32-1),"")</f>
        <v>4.4524669073405576E-2</v>
      </c>
      <c r="L32" s="69">
        <f>IFERROR(IF(OR(NOT(ISNUMBER('Price History'!L33)),NOT(ISNUMBER('Price History'!L32)),'Price History'!L32=0),"",'Price History'!L33/'Price History'!L32-1),"")</f>
        <v>9.3129200896191255E-2</v>
      </c>
      <c r="M32" s="69">
        <f>IFERROR(IF(OR(NOT(ISNUMBER('Price History'!M33)),NOT(ISNUMBER('Price History'!M32)),'Price History'!M32=0),"",'Price History'!M33/'Price History'!M32-1),"")</f>
        <v>-1.7004392801473589E-2</v>
      </c>
      <c r="N32" s="69">
        <f>IFERROR(IF(OR(NOT(ISNUMBER('Price History'!N33)),NOT(ISNUMBER('Price History'!N32)),'Price History'!N32=0),"",'Price History'!N33/'Price History'!N32-1),"")</f>
        <v>-4.4297069969498115E-2</v>
      </c>
      <c r="O32" s="69">
        <f>IFERROR(IF(OR(NOT(ISNUMBER('Price History'!O33)),NOT(ISNUMBER('Price History'!O32)),'Price History'!O32=0),"",'Price History'!O33/'Price History'!O32-1),"")</f>
        <v>1.1156978690172181E-3</v>
      </c>
      <c r="P32" s="69" t="str">
        <f>IFERROR(IF(OR(NOT(ISNUMBER('Price History'!P33)),NOT(ISNUMBER('Price History'!P32)),'Price History'!P32=0),"",'Price History'!P33/'Price History'!P32-1),"")</f>
        <v/>
      </c>
      <c r="Q32" s="69">
        <f>IFERROR(IF(OR(NOT(ISNUMBER('Price History'!Q33)),NOT(ISNUMBER('Price History'!Q32)),'Price History'!Q32=0),"",'Price History'!Q33/'Price History'!Q32-1),"")</f>
        <v>2.0614761641818635E-2</v>
      </c>
      <c r="R32" s="69">
        <f>IFERROR(IF(OR(NOT(ISNUMBER('Price History'!R33)),NOT(ISNUMBER('Price History'!R32)),'Price History'!R32=0),"",'Price History'!R33/'Price History'!R32-1),"")</f>
        <v>-1.3143071723620281E-3</v>
      </c>
      <c r="S32" s="69">
        <f>IFERROR(IF(OR(NOT(ISNUMBER('Price History'!S33)),NOT(ISNUMBER('Price History'!S32)),'Price History'!S32=0),"",'Price History'!S33/'Price History'!S32-1),"")</f>
        <v>3.8119440914865521E-3</v>
      </c>
      <c r="T32" s="69">
        <f>IFERROR(IF(OR(NOT(ISNUMBER('Price History'!T33)),NOT(ISNUMBER('Price History'!T32)),'Price History'!T32=0),"",'Price History'!T33/'Price History'!T32-1),"")</f>
        <v>1.9568822553897247E-2</v>
      </c>
      <c r="U32" s="69" t="str">
        <f>IFERROR(IF(OR(NOT(ISNUMBER('Price History'!U33)),NOT(ISNUMBER('Price History'!U32)),'Price History'!U32=0),"",'Price History'!U33/'Price History'!U32-1),"")</f>
        <v/>
      </c>
    </row>
    <row r="33" spans="1:21" ht="15" customHeight="1" x14ac:dyDescent="0.2">
      <c r="A33" s="52">
        <f>'Price History'!A34</f>
        <v>45366</v>
      </c>
      <c r="B33" s="69">
        <f>IFERROR(IF(OR(NOT(ISNUMBER('Price History'!B34)),NOT(ISNUMBER('Price History'!B33)),'Price History'!B33=0),"",'Price History'!B34/'Price History'!B33-1),"")</f>
        <v>-0.10736101796298658</v>
      </c>
      <c r="C33" s="69">
        <f>IFERROR(IF(OR(NOT(ISNUMBER('Price History'!C34)),NOT(ISNUMBER('Price History'!C33)),'Price History'!C33=0),"",'Price History'!C34/'Price History'!C33-1),"")</f>
        <v>1.6842413591095617E-2</v>
      </c>
      <c r="D33" s="69">
        <f>IFERROR(IF(OR(NOT(ISNUMBER('Price History'!D34)),NOT(ISNUMBER('Price History'!D33)),'Price History'!D33=0),"",'Price History'!D34/'Price History'!D33-1),"")</f>
        <v>-5.4428610219947049E-2</v>
      </c>
      <c r="E33" s="69">
        <f>IFERROR(IF(OR(NOT(ISNUMBER('Price History'!E34)),NOT(ISNUMBER('Price History'!E33)),'Price History'!E33=0),"",'Price History'!E34/'Price History'!E33-1),"")</f>
        <v>-5.593336899212964E-2</v>
      </c>
      <c r="F33" s="69">
        <f>IFERROR(IF(OR(NOT(ISNUMBER('Price History'!F34)),NOT(ISNUMBER('Price History'!F33)),'Price History'!F33=0),"",'Price History'!F34/'Price History'!F33-1),"")</f>
        <v>-2.2302069136414304E-2</v>
      </c>
      <c r="G33" s="69">
        <f>IFERROR(IF(OR(NOT(ISNUMBER('Price History'!G34)),NOT(ISNUMBER('Price History'!G33)),'Price History'!G33=0),"",'Price History'!G34/'Price History'!G33-1),"")</f>
        <v>-2.1882151029748331E-2</v>
      </c>
      <c r="H33" s="69">
        <f>IFERROR(IF(OR(NOT(ISNUMBER('Price History'!H34)),NOT(ISNUMBER('Price History'!H33)),'Price History'!H33=0),"",'Price History'!H34/'Price History'!H33-1),"")</f>
        <v>-4.4765416922761814E-2</v>
      </c>
      <c r="I33" s="69">
        <f>IFERROR(IF(OR(NOT(ISNUMBER('Price History'!I34)),NOT(ISNUMBER('Price History'!I33)),'Price History'!I33=0),"",'Price History'!I34/'Price History'!I33-1),"")</f>
        <v>3.5416428653034515E-3</v>
      </c>
      <c r="J33" s="69">
        <f>IFERROR(IF(OR(NOT(ISNUMBER('Price History'!J34)),NOT(ISNUMBER('Price History'!J33)),'Price History'!J33=0),"",'Price History'!J34/'Price History'!J33-1),"")</f>
        <v>-4.4791589546161137E-2</v>
      </c>
      <c r="K33" s="69">
        <f>IFERROR(IF(OR(NOT(ISNUMBER('Price History'!K34)),NOT(ISNUMBER('Price History'!K33)),'Price History'!K33=0),"",'Price History'!K34/'Price History'!K33-1),"")</f>
        <v>-9.7926267281105983E-2</v>
      </c>
      <c r="L33" s="69">
        <f>IFERROR(IF(OR(NOT(ISNUMBER('Price History'!L34)),NOT(ISNUMBER('Price History'!L33)),'Price History'!L33=0),"",'Price History'!L34/'Price History'!L33-1),"")</f>
        <v>-6.415249026439851E-2</v>
      </c>
      <c r="M33" s="69">
        <f>IFERROR(IF(OR(NOT(ISNUMBER('Price History'!M34)),NOT(ISNUMBER('Price History'!M33)),'Price History'!M33=0),"",'Price History'!M34/'Price History'!M33-1),"")</f>
        <v>6.9050021623179969E-2</v>
      </c>
      <c r="N33" s="69">
        <f>IFERROR(IF(OR(NOT(ISNUMBER('Price History'!N34)),NOT(ISNUMBER('Price History'!N33)),'Price History'!N33=0),"",'Price History'!N34/'Price History'!N33-1),"")</f>
        <v>-1.4265335235377985E-2</v>
      </c>
      <c r="O33" s="69">
        <f>IFERROR(IF(OR(NOT(ISNUMBER('Price History'!O34)),NOT(ISNUMBER('Price History'!O33)),'Price History'!O33=0),"",'Price History'!O34/'Price History'!O33-1),"")</f>
        <v>-8.4698540064639394E-3</v>
      </c>
      <c r="P33" s="69" t="str">
        <f>IFERROR(IF(OR(NOT(ISNUMBER('Price History'!P34)),NOT(ISNUMBER('Price History'!P33)),'Price History'!P33=0),"",'Price History'!P34/'Price History'!P33-1),"")</f>
        <v/>
      </c>
      <c r="Q33" s="69">
        <f>IFERROR(IF(OR(NOT(ISNUMBER('Price History'!Q34)),NOT(ISNUMBER('Price History'!Q33)),'Price History'!Q33=0),"",'Price History'!Q34/'Price History'!Q33-1),"")</f>
        <v>4.1478809738502154E-3</v>
      </c>
      <c r="R33" s="69">
        <f>IFERROR(IF(OR(NOT(ISNUMBER('Price History'!R34)),NOT(ISNUMBER('Price History'!R33)),'Price History'!R33=0),"",'Price History'!R34/'Price History'!R33-1),"")</f>
        <v>-5.2641473961271279E-3</v>
      </c>
      <c r="S33" s="69">
        <f>IFERROR(IF(OR(NOT(ISNUMBER('Price History'!S34)),NOT(ISNUMBER('Price History'!S33)),'Price History'!S33=0),"",'Price History'!S34/'Price History'!S33-1),"")</f>
        <v>-5.18987341772148E-3</v>
      </c>
      <c r="T33" s="69">
        <f>IFERROR(IF(OR(NOT(ISNUMBER('Price History'!T34)),NOT(ISNUMBER('Price History'!T33)),'Price History'!T33=0),"",'Price History'!T34/'Price History'!T33-1),"")</f>
        <v>1.3662979830839417E-2</v>
      </c>
      <c r="U33" s="69" t="str">
        <f>IFERROR(IF(OR(NOT(ISNUMBER('Price History'!U34)),NOT(ISNUMBER('Price History'!U33)),'Price History'!U33=0),"",'Price History'!U34/'Price History'!U33-1),"")</f>
        <v/>
      </c>
    </row>
    <row r="34" spans="1:21" ht="15" customHeight="1" x14ac:dyDescent="0.2">
      <c r="A34" s="52">
        <f>'Price History'!A35</f>
        <v>45373</v>
      </c>
      <c r="B34" s="69">
        <f>IFERROR(IF(OR(NOT(ISNUMBER('Price History'!B35)),NOT(ISNUMBER('Price History'!B34)),'Price History'!B34=0),"",'Price History'!B35/'Price History'!B34-1),"")</f>
        <v>1.4336189741298799E-2</v>
      </c>
      <c r="C34" s="69">
        <f>IFERROR(IF(OR(NOT(ISNUMBER('Price History'!C35)),NOT(ISNUMBER('Price History'!C34)),'Price History'!C34=0),"",'Price History'!C35/'Price History'!C34-1),"")</f>
        <v>0.10341351001008192</v>
      </c>
      <c r="D34" s="69">
        <f>IFERROR(IF(OR(NOT(ISNUMBER('Price History'!D35)),NOT(ISNUMBER('Price History'!D34)),'Price History'!D34=0),"",'Price History'!D35/'Price History'!D34-1),"")</f>
        <v>4.227778900458401E-2</v>
      </c>
      <c r="E34" s="69">
        <f>IFERROR(IF(OR(NOT(ISNUMBER('Price History'!E35)),NOT(ISNUMBER('Price History'!E34)),'Price History'!E34=0),"",'Price History'!E35/'Price History'!E34-1),"")</f>
        <v>9.5507891541885881E-2</v>
      </c>
      <c r="F34" s="69">
        <f>IFERROR(IF(OR(NOT(ISNUMBER('Price History'!F35)),NOT(ISNUMBER('Price History'!F34)),'Price History'!F34=0),"",'Price History'!F35/'Price History'!F34-1),"")</f>
        <v>3.7891268533772671E-2</v>
      </c>
      <c r="G34" s="69">
        <f>IFERROR(IF(OR(NOT(ISNUMBER('Price History'!G35)),NOT(ISNUMBER('Price History'!G34)),'Price History'!G34=0),"",'Price History'!G35/'Price History'!G34-1),"")</f>
        <v>3.9040795437929487E-2</v>
      </c>
      <c r="H34" s="69">
        <f>IFERROR(IF(OR(NOT(ISNUMBER('Price History'!H35)),NOT(ISNUMBER('Price History'!H34)),'Price History'!H34=0),"",'Price History'!H35/'Price History'!H34-1),"")</f>
        <v>0.18187667560321708</v>
      </c>
      <c r="I34" s="69">
        <f>IFERROR(IF(OR(NOT(ISNUMBER('Price History'!I35)),NOT(ISNUMBER('Price History'!I34)),'Price History'!I34=0),"",'Price History'!I35/'Price History'!I34-1),"")</f>
        <v>7.3428961748633892E-2</v>
      </c>
      <c r="J34" s="69">
        <f>IFERROR(IF(OR(NOT(ISNUMBER('Price History'!J35)),NOT(ISNUMBER('Price History'!J34)),'Price History'!J34=0),"",'Price History'!J35/'Price History'!J34-1),"")</f>
        <v>-3.1002945279802185E-3</v>
      </c>
      <c r="K34" s="69">
        <f>IFERROR(IF(OR(NOT(ISNUMBER('Price History'!K35)),NOT(ISNUMBER('Price History'!K34)),'Price History'!K34=0),"",'Price History'!K35/'Price History'!K34-1),"")</f>
        <v>2.9374201787994991E-2</v>
      </c>
      <c r="L34" s="69">
        <f>IFERROR(IF(OR(NOT(ISNUMBER('Price History'!L35)),NOT(ISNUMBER('Price History'!L34)),'Price History'!L34=0),"",'Price History'!L35/'Price History'!L34-1),"")</f>
        <v>2.5989195502993168E-2</v>
      </c>
      <c r="M34" s="69">
        <f>IFERROR(IF(OR(NOT(ISNUMBER('Price History'!M35)),NOT(ISNUMBER('Price History'!M34)),'Price History'!M34=0),"",'Price History'!M35/'Price History'!M34-1),"")</f>
        <v>0.11245954692556648</v>
      </c>
      <c r="N34" s="69">
        <f>IFERROR(IF(OR(NOT(ISNUMBER('Price History'!N35)),NOT(ISNUMBER('Price History'!N34)),'Price History'!N34=0),"",'Price History'!N35/'Price History'!N34-1),"")</f>
        <v>1.954916725943745E-2</v>
      </c>
      <c r="O34" s="69">
        <f>IFERROR(IF(OR(NOT(ISNUMBER('Price History'!O35)),NOT(ISNUMBER('Price History'!O34)),'Price History'!O34=0),"",'Price History'!O35/'Price History'!O34-1),"")</f>
        <v>2.3940654153085328E-2</v>
      </c>
      <c r="P34" s="69" t="str">
        <f>IFERROR(IF(OR(NOT(ISNUMBER('Price History'!P35)),NOT(ISNUMBER('Price History'!P34)),'Price History'!P34=0),"",'Price History'!P35/'Price History'!P34-1),"")</f>
        <v/>
      </c>
      <c r="Q34" s="69">
        <f>IFERROR(IF(OR(NOT(ISNUMBER('Price History'!Q35)),NOT(ISNUMBER('Price History'!Q34)),'Price History'!Q34=0),"",'Price History'!Q35/'Price History'!Q34-1),"")</f>
        <v>1.5445402298850608E-2</v>
      </c>
      <c r="R34" s="69">
        <f>IFERROR(IF(OR(NOT(ISNUMBER('Price History'!R35)),NOT(ISNUMBER('Price History'!R34)),'Price History'!R34=0),"",'Price History'!R35/'Price History'!R34-1),"")</f>
        <v>2.5515025515025602E-2</v>
      </c>
      <c r="S34" s="69">
        <f>IFERROR(IF(OR(NOT(ISNUMBER('Price History'!S35)),NOT(ISNUMBER('Price History'!S34)),'Price History'!S34=0),"",'Price History'!S35/'Price History'!S34-1),"")</f>
        <v>2.8502353989056983E-2</v>
      </c>
      <c r="T34" s="69">
        <f>IFERROR(IF(OR(NOT(ISNUMBER('Price History'!T35)),NOT(ISNUMBER('Price History'!T34)),'Price History'!T34=0),"",'Price History'!T35/'Price History'!T34-1),"")</f>
        <v>2.4069319640564801E-2</v>
      </c>
      <c r="U34" s="69" t="str">
        <f>IFERROR(IF(OR(NOT(ISNUMBER('Price History'!U35)),NOT(ISNUMBER('Price History'!U34)),'Price History'!U34=0),"",'Price History'!U35/'Price History'!U34-1),"")</f>
        <v/>
      </c>
    </row>
    <row r="35" spans="1:21" ht="15" customHeight="1" x14ac:dyDescent="0.2">
      <c r="A35" s="52">
        <f>'Price History'!A36</f>
        <v>45379</v>
      </c>
      <c r="B35" s="69">
        <f>IFERROR(IF(OR(NOT(ISNUMBER('Price History'!B36)),NOT(ISNUMBER('Price History'!B35)),'Price History'!B35=0),"",'Price History'!B36/'Price History'!B35-1),"")</f>
        <v>1.0169762972453533E-2</v>
      </c>
      <c r="C35" s="69">
        <f>IFERROR(IF(OR(NOT(ISNUMBER('Price History'!C36)),NOT(ISNUMBER('Price History'!C35)),'Price History'!C35=0),"",'Price History'!C36/'Price History'!C35-1),"")</f>
        <v>-5.3648348779532729E-2</v>
      </c>
      <c r="D35" s="69">
        <f>IFERROR(IF(OR(NOT(ISNUMBER('Price History'!D36)),NOT(ISNUMBER('Price History'!D35)),'Price History'!D35=0),"",'Price History'!D36/'Price History'!D35-1),"")</f>
        <v>-9.684068737499496E-3</v>
      </c>
      <c r="E35" s="69">
        <f>IFERROR(IF(OR(NOT(ISNUMBER('Price History'!E36)),NOT(ISNUMBER('Price History'!E35)),'Price History'!E35=0),"",'Price History'!E36/'Price History'!E35-1),"")</f>
        <v>-2.076099002585885E-2</v>
      </c>
      <c r="F35" s="69">
        <f>IFERROR(IF(OR(NOT(ISNUMBER('Price History'!F36)),NOT(ISNUMBER('Price History'!F35)),'Price History'!F35=0),"",'Price History'!F36/'Price History'!F35-1),"")</f>
        <v>-2.1367521367521403E-2</v>
      </c>
      <c r="G35" s="69">
        <f>IFERROR(IF(OR(NOT(ISNUMBER('Price History'!G36)),NOT(ISNUMBER('Price History'!G35)),'Price History'!G35=0),"",'Price History'!G36/'Price History'!G35-1),"")</f>
        <v>-1.6887137630171689E-2</v>
      </c>
      <c r="H35" s="69">
        <f>IFERROR(IF(OR(NOT(ISNUMBER('Price History'!H36)),NOT(ISNUMBER('Price History'!H35)),'Price History'!H35=0),"",'Price History'!H36/'Price History'!H35-1),"")</f>
        <v>6.9685146538426723E-2</v>
      </c>
      <c r="I35" s="69">
        <f>IFERROR(IF(OR(NOT(ISNUMBER('Price History'!I36)),NOT(ISNUMBER('Price History'!I35)),'Price History'!I35=0),"",'Price History'!I36/'Price History'!I35-1),"")</f>
        <v>-4.1679923639834637E-2</v>
      </c>
      <c r="J35" s="69">
        <f>IFERROR(IF(OR(NOT(ISNUMBER('Price History'!J36)),NOT(ISNUMBER('Price History'!J35)),'Price History'!J35=0),"",'Price History'!J36/'Price History'!J35-1),"")</f>
        <v>1.2439744985227819E-2</v>
      </c>
      <c r="K35" s="69">
        <f>IFERROR(IF(OR(NOT(ISNUMBER('Price History'!K36)),NOT(ISNUMBER('Price History'!K35)),'Price History'!K35=0),"",'Price History'!K36/'Price History'!K35-1),"")</f>
        <v>-4.8387096774193505E-2</v>
      </c>
      <c r="L35" s="69">
        <f>IFERROR(IF(OR(NOT(ISNUMBER('Price History'!L36)),NOT(ISNUMBER('Price History'!L35)),'Price History'!L35=0),"",'Price History'!L36/'Price History'!L35-1),"")</f>
        <v>-3.1948199800768351E-2</v>
      </c>
      <c r="M35" s="69">
        <f>IFERROR(IF(OR(NOT(ISNUMBER('Price History'!M36)),NOT(ISNUMBER('Price History'!M35)),'Price History'!M35=0),"",'Price History'!M36/'Price History'!M35-1),"")</f>
        <v>-1.0060606060605992E-2</v>
      </c>
      <c r="N35" s="69">
        <f>IFERROR(IF(OR(NOT(ISNUMBER('Price History'!N36)),NOT(ISNUMBER('Price History'!N35)),'Price History'!N35=0),"",'Price History'!N36/'Price History'!N35-1),"")</f>
        <v>5.6536592407254727E-3</v>
      </c>
      <c r="O35" s="69">
        <f>IFERROR(IF(OR(NOT(ISNUMBER('Price History'!O36)),NOT(ISNUMBER('Price History'!O35)),'Price History'!O35=0),"",'Price History'!O36/'Price History'!O35-1),"")</f>
        <v>2.8649835345773811E-2</v>
      </c>
      <c r="P35" s="69" t="str">
        <f>IFERROR(IF(OR(NOT(ISNUMBER('Price History'!P36)),NOT(ISNUMBER('Price History'!P35)),'Price History'!P35=0),"",'Price History'!P36/'Price History'!P35-1),"")</f>
        <v/>
      </c>
      <c r="Q35" s="69">
        <f>IFERROR(IF(OR(NOT(ISNUMBER('Price History'!Q36)),NOT(ISNUMBER('Price History'!Q35)),'Price History'!Q35=0),"",'Price History'!Q36/'Price History'!Q35-1),"")</f>
        <v>1.0788822072868687E-2</v>
      </c>
      <c r="R35" s="69">
        <f>IFERROR(IF(OR(NOT(ISNUMBER('Price History'!R36)),NOT(ISNUMBER('Price History'!R35)),'Price History'!R35=0),"",'Price History'!R36/'Price History'!R35-1),"")</f>
        <v>-3.6859565057123511E-4</v>
      </c>
      <c r="S35" s="69">
        <f>IFERROR(IF(OR(NOT(ISNUMBER('Price History'!S36)),NOT(ISNUMBER('Price History'!S35)),'Price History'!S35=0),"",'Price History'!S36/'Price History'!S35-1),"")</f>
        <v>-7.5467029568229149E-3</v>
      </c>
      <c r="T35" s="69">
        <f>IFERROR(IF(OR(NOT(ISNUMBER('Price History'!T36)),NOT(ISNUMBER('Price History'!T35)),'Price History'!T35=0),"",'Price History'!T36/'Price History'!T35-1),"")</f>
        <v>1.5669069257286061E-2</v>
      </c>
      <c r="U35" s="69" t="str">
        <f>IFERROR(IF(OR(NOT(ISNUMBER('Price History'!U36)),NOT(ISNUMBER('Price History'!U35)),'Price History'!U35=0),"",'Price History'!U36/'Price History'!U35-1),"")</f>
        <v/>
      </c>
    </row>
    <row r="36" spans="1:21" ht="15" customHeight="1" x14ac:dyDescent="0.2">
      <c r="A36" s="52">
        <f>'Price History'!A37</f>
        <v>45387</v>
      </c>
      <c r="B36" s="69">
        <f>IFERROR(IF(OR(NOT(ISNUMBER('Price History'!B37)),NOT(ISNUMBER('Price History'!B36)),'Price History'!B36=0),"",'Price History'!B37/'Price History'!B36-1),"")</f>
        <v>-3.8604835513277869E-2</v>
      </c>
      <c r="C36" s="69">
        <f>IFERROR(IF(OR(NOT(ISNUMBER('Price History'!C37)),NOT(ISNUMBER('Price History'!C36)),'Price History'!C36=0),"",'Price History'!C37/'Price History'!C36-1),"")</f>
        <v>2.6206896551724146E-2</v>
      </c>
      <c r="D36" s="69">
        <f>IFERROR(IF(OR(NOT(ISNUMBER('Price History'!D37)),NOT(ISNUMBER('Price History'!D36)),'Price History'!D36=0),"",'Price History'!D37/'Price History'!D36-1),"")</f>
        <v>9.3562912815439159E-3</v>
      </c>
      <c r="E36" s="69">
        <f>IFERROR(IF(OR(NOT(ISNUMBER('Price History'!E37)),NOT(ISNUMBER('Price History'!E36)),'Price History'!E36=0),"",'Price History'!E37/'Price History'!E36-1),"")</f>
        <v>1.056284895126014E-2</v>
      </c>
      <c r="F36" s="69">
        <f>IFERROR(IF(OR(NOT(ISNUMBER('Price History'!F37)),NOT(ISNUMBER('Price History'!F36)),'Price History'!F36=0),"",'Price History'!F37/'Price History'!F36-1),"")</f>
        <v>-1.5845290081098029E-2</v>
      </c>
      <c r="G36" s="69">
        <f>IFERROR(IF(OR(NOT(ISNUMBER('Price History'!G37)),NOT(ISNUMBER('Price History'!G36)),'Price History'!G36=0),"",'Price History'!G37/'Price History'!G36-1),"")</f>
        <v>-2.2616661895218937E-2</v>
      </c>
      <c r="H36" s="69">
        <f>IFERROR(IF(OR(NOT(ISNUMBER('Price History'!H37)),NOT(ISNUMBER('Price History'!H36)),'Price History'!H36=0),"",'Price History'!H37/'Price History'!H36-1),"")</f>
        <v>4.8265332089235669E-2</v>
      </c>
      <c r="I36" s="69">
        <f>IFERROR(IF(OR(NOT(ISNUMBER('Price History'!I37)),NOT(ISNUMBER('Price History'!I36)),'Price History'!I36=0),"",'Price History'!I37/'Price History'!I36-1),"")</f>
        <v>-2.6007082779991086E-2</v>
      </c>
      <c r="J36" s="69">
        <f>IFERROR(IF(OR(NOT(ISNUMBER('Price History'!J37)),NOT(ISNUMBER('Price History'!J36)),'Price History'!J36=0),"",'Price History'!J37/'Price History'!J36-1),"")</f>
        <v>-4.2082629396406168E-2</v>
      </c>
      <c r="K36" s="69">
        <f>IFERROR(IF(OR(NOT(ISNUMBER('Price History'!K37)),NOT(ISNUMBER('Price History'!K36)),'Price History'!K36=0),"",'Price History'!K37/'Price History'!K36-1),"")</f>
        <v>-2.1729682746631784E-3</v>
      </c>
      <c r="L36" s="69">
        <f>IFERROR(IF(OR(NOT(ISNUMBER('Price History'!L37)),NOT(ISNUMBER('Price History'!L36)),'Price History'!L36=0),"",'Price History'!L37/'Price History'!L36-1),"")</f>
        <v>3.902976846747519E-2</v>
      </c>
      <c r="M36" s="69">
        <f>IFERROR(IF(OR(NOT(ISNUMBER('Price History'!M37)),NOT(ISNUMBER('Price History'!M36)),'Price History'!M36=0),"",'Price History'!M37/'Price History'!M36-1),"")</f>
        <v>4.4936941349332793E-2</v>
      </c>
      <c r="N36" s="69">
        <f>IFERROR(IF(OR(NOT(ISNUMBER('Price History'!N37)),NOT(ISNUMBER('Price History'!N36)),'Price History'!N36=0),"",'Price History'!N37/'Price History'!N36-1),"")</f>
        <v>-2.7128537594794278E-2</v>
      </c>
      <c r="O36" s="69">
        <f>IFERROR(IF(OR(NOT(ISNUMBER('Price History'!O37)),NOT(ISNUMBER('Price History'!O36)),'Price History'!O36=0),"",'Price History'!O37/'Price History'!O36-1),"")</f>
        <v>-2.1555863835236333E-2</v>
      </c>
      <c r="P36" s="69" t="str">
        <f>IFERROR(IF(OR(NOT(ISNUMBER('Price History'!P37)),NOT(ISNUMBER('Price History'!P36)),'Price History'!P36=0),"",'Price History'!P37/'Price History'!P36-1),"")</f>
        <v/>
      </c>
      <c r="Q36" s="69">
        <f>IFERROR(IF(OR(NOT(ISNUMBER('Price History'!Q37)),NOT(ISNUMBER('Price History'!Q36)),'Price History'!Q36=0),"",'Price History'!Q37/'Price History'!Q36-1),"")</f>
        <v>1.0498687664042272E-3</v>
      </c>
      <c r="R36" s="69">
        <f>IFERROR(IF(OR(NOT(ISNUMBER('Price History'!R37)),NOT(ISNUMBER('Price History'!R36)),'Price History'!R36=0),"",'Price History'!R37/'Price History'!R36-1),"")</f>
        <v>-1.1983775811209463E-2</v>
      </c>
      <c r="S36" s="69">
        <f>IFERROR(IF(OR(NOT(ISNUMBER('Price History'!S37)),NOT(ISNUMBER('Price History'!S36)),'Price History'!S36=0),"",'Price History'!S37/'Price History'!S36-1),"")</f>
        <v>2.8671154325605741E-3</v>
      </c>
      <c r="T36" s="69">
        <f>IFERROR(IF(OR(NOT(ISNUMBER('Price History'!T37)),NOT(ISNUMBER('Price History'!T36)),'Price History'!T36=0),"",'Price History'!T37/'Price History'!T36-1),"")</f>
        <v>-2.4683739586547349E-3</v>
      </c>
      <c r="U36" s="69" t="str">
        <f>IFERROR(IF(OR(NOT(ISNUMBER('Price History'!U37)),NOT(ISNUMBER('Price History'!U36)),'Price History'!U36=0),"",'Price History'!U37/'Price History'!U36-1),"")</f>
        <v/>
      </c>
    </row>
    <row r="37" spans="1:21" ht="15" customHeight="1" x14ac:dyDescent="0.2">
      <c r="A37" s="52">
        <f>'Price History'!A38</f>
        <v>45394</v>
      </c>
      <c r="B37" s="69">
        <f>IFERROR(IF(OR(NOT(ISNUMBER('Price History'!B38)),NOT(ISNUMBER('Price History'!B37)),'Price History'!B37=0),"",'Price History'!B38/'Price History'!B37-1),"")</f>
        <v>-2.2736642480211122E-2</v>
      </c>
      <c r="C37" s="69">
        <f>IFERROR(IF(OR(NOT(ISNUMBER('Price History'!C38)),NOT(ISNUMBER('Price History'!C37)),'Price History'!C37=0),"",'Price History'!C38/'Price History'!C37-1),"")</f>
        <v>-8.8575268817204345E-2</v>
      </c>
      <c r="D37" s="69">
        <f>IFERROR(IF(OR(NOT(ISNUMBER('Price History'!D38)),NOT(ISNUMBER('Price History'!D37)),'Price History'!D37=0),"",'Price History'!D38/'Price History'!D37-1),"")</f>
        <v>-1.8079730488489543E-2</v>
      </c>
      <c r="E37" s="69">
        <f>IFERROR(IF(OR(NOT(ISNUMBER('Price History'!E38)),NOT(ISNUMBER('Price History'!E37)),'Price History'!E37=0),"",'Price History'!E38/'Price History'!E37-1),"")</f>
        <v>3.5090338957741718E-3</v>
      </c>
      <c r="F37" s="69">
        <f>IFERROR(IF(OR(NOT(ISNUMBER('Price History'!F38)),NOT(ISNUMBER('Price History'!F37)),'Price History'!F37=0),"",'Price History'!F38/'Price History'!F37-1),"")</f>
        <v>-2.0537525354969444E-2</v>
      </c>
      <c r="G37" s="69">
        <f>IFERROR(IF(OR(NOT(ISNUMBER('Price History'!G38)),NOT(ISNUMBER('Price History'!G37)),'Price History'!G37=0),"",'Price History'!G38/'Price History'!G37-1),"")</f>
        <v>-2.9291154071471315E-3</v>
      </c>
      <c r="H37" s="69">
        <f>IFERROR(IF(OR(NOT(ISNUMBER('Price History'!H38)),NOT(ISNUMBER('Price History'!H37)),'Price History'!H37=0),"",'Price History'!H38/'Price History'!H37-1),"")</f>
        <v>-8.5774397151643367E-3</v>
      </c>
      <c r="I37" s="69">
        <f>IFERROR(IF(OR(NOT(ISNUMBER('Price History'!I38)),NOT(ISNUMBER('Price History'!I37)),'Price History'!I37=0),"",'Price History'!I38/'Price History'!I37-1),"")</f>
        <v>2.045222133848279E-3</v>
      </c>
      <c r="J37" s="69">
        <f>IFERROR(IF(OR(NOT(ISNUMBER('Price History'!J38)),NOT(ISNUMBER('Price History'!J37)),'Price History'!J37=0),"",'Price History'!J38/'Price History'!J37-1),"")</f>
        <v>-4.6015712682379362E-2</v>
      </c>
      <c r="K37" s="69">
        <f>IFERROR(IF(OR(NOT(ISNUMBER('Price History'!K38)),NOT(ISNUMBER('Price History'!K37)),'Price History'!K37=0),"",'Price History'!K38/'Price History'!K37-1),"")</f>
        <v>-1.2630662020905903E-2</v>
      </c>
      <c r="L37" s="69">
        <f>IFERROR(IF(OR(NOT(ISNUMBER('Price History'!L38)),NOT(ISNUMBER('Price History'!L37)),'Price History'!L37=0),"",'Price History'!L38/'Price History'!L37-1),"")</f>
        <v>8.2059988681379981E-3</v>
      </c>
      <c r="M37" s="69">
        <f>IFERROR(IF(OR(NOT(ISNUMBER('Price History'!M38)),NOT(ISNUMBER('Price History'!M37)),'Price History'!M37=0),"",'Price History'!M38/'Price History'!M37-1),"")</f>
        <v>-1.6990860089055593E-2</v>
      </c>
      <c r="N37" s="69">
        <f>IFERROR(IF(OR(NOT(ISNUMBER('Price History'!N38)),NOT(ISNUMBER('Price History'!N37)),'Price History'!N37=0),"",'Price History'!N38/'Price History'!N37-1),"")</f>
        <v>-2.4885041925885809E-2</v>
      </c>
      <c r="O37" s="69">
        <f>IFERROR(IF(OR(NOT(ISNUMBER('Price History'!O38)),NOT(ISNUMBER('Price History'!O37)),'Price History'!O37=0),"",'Price History'!O38/'Price History'!O37-1),"")</f>
        <v>-3.0864870760170082E-2</v>
      </c>
      <c r="P37" s="69" t="str">
        <f>IFERROR(IF(OR(NOT(ISNUMBER('Price History'!P38)),NOT(ISNUMBER('Price History'!P37)),'Price History'!P37=0),"",'Price History'!P38/'Price History'!P37-1),"")</f>
        <v/>
      </c>
      <c r="Q37" s="69">
        <f>IFERROR(IF(OR(NOT(ISNUMBER('Price History'!Q38)),NOT(ISNUMBER('Price History'!Q37)),'Price History'!Q37=0),"",'Price History'!Q38/'Price History'!Q37-1),"")</f>
        <v>-2.6219192448871942E-3</v>
      </c>
      <c r="R37" s="69">
        <f>IFERROR(IF(OR(NOT(ISNUMBER('Price History'!R38)),NOT(ISNUMBER('Price History'!R37)),'Price History'!R37=0),"",'Price History'!R38/'Price History'!R37-1),"")</f>
        <v>-3.5454375816384998E-3</v>
      </c>
      <c r="S37" s="69">
        <f>IFERROR(IF(OR(NOT(ISNUMBER('Price History'!S38)),NOT(ISNUMBER('Price History'!S37)),'Price History'!S37=0),"",'Price History'!S38/'Price History'!S37-1),"")</f>
        <v>-1.4045991298943572E-2</v>
      </c>
      <c r="T37" s="69">
        <f>IFERROR(IF(OR(NOT(ISNUMBER('Price History'!T38)),NOT(ISNUMBER('Price History'!T37)),'Price History'!T37=0),"",'Price History'!T38/'Price History'!T37-1),"")</f>
        <v>-2.5982060006186192E-2</v>
      </c>
      <c r="U37" s="69" t="str">
        <f>IFERROR(IF(OR(NOT(ISNUMBER('Price History'!U38)),NOT(ISNUMBER('Price History'!U37)),'Price History'!U37=0),"",'Price History'!U38/'Price History'!U37-1),"")</f>
        <v/>
      </c>
    </row>
    <row r="38" spans="1:21" ht="15" customHeight="1" x14ac:dyDescent="0.2">
      <c r="A38" s="52">
        <f>'Price History'!A39</f>
        <v>45401</v>
      </c>
      <c r="B38" s="69">
        <f>IFERROR(IF(OR(NOT(ISNUMBER('Price History'!B39)),NOT(ISNUMBER('Price History'!B38)),'Price History'!B38=0),"",'Price History'!B39/'Price History'!B38-1),"")</f>
        <v>-1.9131388554915696E-2</v>
      </c>
      <c r="C38" s="69">
        <f>IFERROR(IF(OR(NOT(ISNUMBER('Price History'!C39)),NOT(ISNUMBER('Price History'!C38)),'Price History'!C38=0),"",'Price History'!C39/'Price History'!C38-1),"")</f>
        <v>-9.2759180061937729E-2</v>
      </c>
      <c r="D38" s="69">
        <f>IFERROR(IF(OR(NOT(ISNUMBER('Price History'!D39)),NOT(ISNUMBER('Price History'!D38)),'Price History'!D38=0),"",'Price History'!D39/'Price History'!D38-1),"")</f>
        <v>-0.10635864592863686</v>
      </c>
      <c r="E38" s="69">
        <f>IFERROR(IF(OR(NOT(ISNUMBER('Price History'!E39)),NOT(ISNUMBER('Price History'!E38)),'Price History'!E38=0),"",'Price History'!E39/'Price History'!E38-1),"")</f>
        <v>-0.10371252138977749</v>
      </c>
      <c r="F38" s="69">
        <f>IFERROR(IF(OR(NOT(ISNUMBER('Price History'!F39)),NOT(ISNUMBER('Price History'!F38)),'Price History'!F38=0),"",'Price History'!F39/'Price History'!F38-1),"")</f>
        <v>-8.5425834843386061E-2</v>
      </c>
      <c r="G38" s="69">
        <f>IFERROR(IF(OR(NOT(ISNUMBER('Price History'!G39)),NOT(ISNUMBER('Price History'!G38)),'Price History'!G38=0),"",'Price History'!G39/'Price History'!G38-1),"")</f>
        <v>-7.726204465334896E-2</v>
      </c>
      <c r="H38" s="69">
        <f>IFERROR(IF(OR(NOT(ISNUMBER('Price History'!H39)),NOT(ISNUMBER('Price History'!H38)),'Price History'!H38=0),"",'Price History'!H39/'Price History'!H38-1),"")</f>
        <v>-0.12855044074436828</v>
      </c>
      <c r="I38" s="69">
        <f>IFERROR(IF(OR(NOT(ISNUMBER('Price History'!I39)),NOT(ISNUMBER('Price History'!I38)),'Price History'!I38=0),"",'Price History'!I39/'Price History'!I38-1),"")</f>
        <v>-0.13595645764825937</v>
      </c>
      <c r="J38" s="69">
        <f>IFERROR(IF(OR(NOT(ISNUMBER('Price History'!J39)),NOT(ISNUMBER('Price History'!J38)),'Price History'!J38=0),"",'Price History'!J39/'Price History'!J38-1),"")</f>
        <v>-0.13033613445378156</v>
      </c>
      <c r="K38" s="69">
        <f>IFERROR(IF(OR(NOT(ISNUMBER('Price History'!K39)),NOT(ISNUMBER('Price History'!K38)),'Price History'!K38=0),"",'Price History'!K39/'Price History'!K38-1),"")</f>
        <v>-9.7044552271724815E-2</v>
      </c>
      <c r="L38" s="69">
        <f>IFERROR(IF(OR(NOT(ISNUMBER('Price History'!L39)),NOT(ISNUMBER('Price History'!L38)),'Price History'!L38=0),"",'Price History'!L39/'Price History'!L38-1),"")</f>
        <v>-0.10398540555711488</v>
      </c>
      <c r="M38" s="69">
        <f>IFERROR(IF(OR(NOT(ISNUMBER('Price History'!M39)),NOT(ISNUMBER('Price History'!M38)),'Price History'!M38=0),"",'Price History'!M39/'Price History'!M38-1),"")</f>
        <v>-0.10585290261056135</v>
      </c>
      <c r="N38" s="69">
        <f>IFERROR(IF(OR(NOT(ISNUMBER('Price History'!N39)),NOT(ISNUMBER('Price History'!N38)),'Price History'!N38=0),"",'Price History'!N39/'Price History'!N38-1),"")</f>
        <v>-5.7243727146640833E-3</v>
      </c>
      <c r="O38" s="69">
        <f>IFERROR(IF(OR(NOT(ISNUMBER('Price History'!O39)),NOT(ISNUMBER('Price History'!O38)),'Price History'!O38=0),"",'Price History'!O39/'Price History'!O38-1),"")</f>
        <v>-9.0029259509339932E-3</v>
      </c>
      <c r="P38" s="69" t="str">
        <f>IFERROR(IF(OR(NOT(ISNUMBER('Price History'!P39)),NOT(ISNUMBER('Price History'!P38)),'Price History'!P38=0),"",'Price History'!P39/'Price History'!P38-1),"")</f>
        <v/>
      </c>
      <c r="Q38" s="69">
        <f>IFERROR(IF(OR(NOT(ISNUMBER('Price History'!Q39)),NOT(ISNUMBER('Price History'!Q38)),'Price History'!Q38=0),"",'Price History'!Q39/'Price History'!Q38-1),"")</f>
        <v>1.1041009463722329E-2</v>
      </c>
      <c r="R38" s="69">
        <f>IFERROR(IF(OR(NOT(ISNUMBER('Price History'!R39)),NOT(ISNUMBER('Price History'!R38)),'Price History'!R38=0),"",'Price History'!R39/'Price History'!R38-1),"")</f>
        <v>-4.7940074906366981E-2</v>
      </c>
      <c r="S38" s="69">
        <f>IFERROR(IF(OR(NOT(ISNUMBER('Price History'!S39)),NOT(ISNUMBER('Price History'!S38)),'Price History'!S38=0),"",'Price History'!S39/'Price History'!S38-1),"")</f>
        <v>-5.6858295511850621E-2</v>
      </c>
      <c r="T38" s="69">
        <f>IFERROR(IF(OR(NOT(ISNUMBER('Price History'!T39)),NOT(ISNUMBER('Price History'!T38)),'Price History'!T38=0),"",'Price History'!T39/'Price History'!T38-1),"")</f>
        <v>-1.7783423308986968E-2</v>
      </c>
      <c r="U38" s="69" t="str">
        <f>IFERROR(IF(OR(NOT(ISNUMBER('Price History'!U39)),NOT(ISNUMBER('Price History'!U38)),'Price History'!U38=0),"",'Price History'!U39/'Price History'!U38-1),"")</f>
        <v/>
      </c>
    </row>
    <row r="39" spans="1:21" ht="15" customHeight="1" x14ac:dyDescent="0.2">
      <c r="A39" s="52">
        <f>'Price History'!A40</f>
        <v>45408</v>
      </c>
      <c r="B39" s="69">
        <f>IFERROR(IF(OR(NOT(ISNUMBER('Price History'!B40)),NOT(ISNUMBER('Price History'!B39)),'Price History'!B39=0),"",'Price History'!B40/'Price History'!B39-1),"")</f>
        <v>2.6966582082491142E-2</v>
      </c>
      <c r="C39" s="69">
        <f>IFERROR(IF(OR(NOT(ISNUMBER('Price History'!C40)),NOT(ISNUMBER('Price History'!C39)),'Price History'!C39=0),"",'Price History'!C40/'Price History'!C39-1),"")</f>
        <v>7.5747724317295262E-2</v>
      </c>
      <c r="D39" s="69">
        <f>IFERROR(IF(OR(NOT(ISNUMBER('Price History'!D40)),NOT(ISNUMBER('Price History'!D39)),'Price History'!D39=0),"",'Price History'!D40/'Price History'!D39-1),"")</f>
        <v>6.9141633897200849E-2</v>
      </c>
      <c r="E39" s="69">
        <f>IFERROR(IF(OR(NOT(ISNUMBER('Price History'!E40)),NOT(ISNUMBER('Price History'!E39)),'Price History'!E39=0),"",'Price History'!E40/'Price History'!E39-1),"")</f>
        <v>0.11571345563210755</v>
      </c>
      <c r="F39" s="69">
        <f>IFERROR(IF(OR(NOT(ISNUMBER('Price History'!F40)),NOT(ISNUMBER('Price History'!F39)),'Price History'!F39=0),"",'Price History'!F40/'Price History'!F39-1),"")</f>
        <v>7.5856212850268889E-2</v>
      </c>
      <c r="G39" s="69">
        <f>IFERROR(IF(OR(NOT(ISNUMBER('Price History'!G40)),NOT(ISNUMBER('Price History'!G39)),'Price History'!G39=0),"",'Price History'!G40/'Price History'!G39-1),"")</f>
        <v>0.12432346386501103</v>
      </c>
      <c r="H39" s="69">
        <f>IFERROR(IF(OR(NOT(ISNUMBER('Price History'!H40)),NOT(ISNUMBER('Price History'!H39)),'Price History'!H39=0),"",'Price History'!H40/'Price History'!H39-1),"")</f>
        <v>7.5583028940713781E-2</v>
      </c>
      <c r="I39" s="69">
        <f>IFERROR(IF(OR(NOT(ISNUMBER('Price History'!I40)),NOT(ISNUMBER('Price History'!I39)),'Price History'!I39=0),"",'Price History'!I40/'Price History'!I39-1),"")</f>
        <v>0.15144356955380567</v>
      </c>
      <c r="J39" s="69">
        <f>IFERROR(IF(OR(NOT(ISNUMBER('Price History'!J40)),NOT(ISNUMBER('Price History'!J39)),'Price History'!J39=0),"",'Price History'!J40/'Price History'!J39-1),"")</f>
        <v>5.5077785293264903E-3</v>
      </c>
      <c r="K39" s="69">
        <f>IFERROR(IF(OR(NOT(ISNUMBER('Price History'!K40)),NOT(ISNUMBER('Price History'!K39)),'Price History'!K39=0),"",'Price History'!K40/'Price History'!K39-1),"")</f>
        <v>0.10014655593551547</v>
      </c>
      <c r="L39" s="69">
        <f>IFERROR(IF(OR(NOT(ISNUMBER('Price History'!L40)),NOT(ISNUMBER('Price History'!L39)),'Price History'!L39=0),"",'Price History'!L40/'Price History'!L39-1),"")</f>
        <v>8.3007047768206776E-2</v>
      </c>
      <c r="M39" s="69">
        <f>IFERROR(IF(OR(NOT(ISNUMBER('Price History'!M40)),NOT(ISNUMBER('Price History'!M39)),'Price History'!M39=0),"",'Price History'!M40/'Price History'!M39-1),"")</f>
        <v>0.24636715104652707</v>
      </c>
      <c r="N39" s="69">
        <f>IFERROR(IF(OR(NOT(ISNUMBER('Price History'!N40)),NOT(ISNUMBER('Price History'!N39)),'Price History'!N39=0),"",'Price History'!N40/'Price History'!N39-1),"")</f>
        <v>8.1160596530385209E-3</v>
      </c>
      <c r="O39" s="69">
        <f>IFERROR(IF(OR(NOT(ISNUMBER('Price History'!O40)),NOT(ISNUMBER('Price History'!O39)),'Price History'!O39=0),"",'Price History'!O40/'Price History'!O39-1),"")</f>
        <v>2.4755848285259896E-2</v>
      </c>
      <c r="P39" s="69" t="str">
        <f>IFERROR(IF(OR(NOT(ISNUMBER('Price History'!P40)),NOT(ISNUMBER('Price History'!P39)),'Price History'!P39=0),"",'Price History'!P40/'Price History'!P39-1),"")</f>
        <v/>
      </c>
      <c r="Q39" s="69">
        <f>IFERROR(IF(OR(NOT(ISNUMBER('Price History'!Q40)),NOT(ISNUMBER('Price History'!Q39)),'Price History'!Q39=0),"",'Price History'!Q40/'Price History'!Q39-1),"")</f>
        <v>9.0136938810885248E-3</v>
      </c>
      <c r="R39" s="69">
        <f>IFERROR(IF(OR(NOT(ISNUMBER('Price History'!R40)),NOT(ISNUMBER('Price History'!R39)),'Price History'!R39=0),"",'Price History'!R40/'Price History'!R39-1),"")</f>
        <v>3.5798583792289396E-2</v>
      </c>
      <c r="S39" s="69">
        <f>IFERROR(IF(OR(NOT(ISNUMBER('Price History'!S40)),NOT(ISNUMBER('Price History'!S39)),'Price History'!S39=0),"",'Price History'!S40/'Price History'!S39-1),"")</f>
        <v>3.0076193022323228E-2</v>
      </c>
      <c r="T39" s="69">
        <f>IFERROR(IF(OR(NOT(ISNUMBER('Price History'!T40)),NOT(ISNUMBER('Price History'!T39)),'Price History'!T39=0),"",'Price History'!T40/'Price History'!T39-1),"")</f>
        <v>1.2609117361784605E-2</v>
      </c>
      <c r="U39" s="69" t="str">
        <f>IFERROR(IF(OR(NOT(ISNUMBER('Price History'!U40)),NOT(ISNUMBER('Price History'!U39)),'Price History'!U39=0),"",'Price History'!U40/'Price History'!U39-1),"")</f>
        <v/>
      </c>
    </row>
    <row r="40" spans="1:21" ht="15" customHeight="1" x14ac:dyDescent="0.2">
      <c r="A40" s="52">
        <f>'Price History'!A41</f>
        <v>45415</v>
      </c>
      <c r="B40" s="69">
        <f>IFERROR(IF(OR(NOT(ISNUMBER('Price History'!B41)),NOT(ISNUMBER('Price History'!B40)),'Price History'!B40=0),"",'Price History'!B41/'Price History'!B40-1),"")</f>
        <v>1.8050087947064197E-2</v>
      </c>
      <c r="C40" s="69">
        <f>IFERROR(IF(OR(NOT(ISNUMBER('Price History'!C41)),NOT(ISNUMBER('Price History'!C40)),'Price History'!C40=0),"",'Price History'!C41/'Price History'!C40-1),"")</f>
        <v>3.6566938652160541E-2</v>
      </c>
      <c r="D40" s="69">
        <f>IFERROR(IF(OR(NOT(ISNUMBER('Price History'!D41)),NOT(ISNUMBER('Price History'!D40)),'Price History'!D40=0),"",'Price History'!D41/'Price History'!D40-1),"")</f>
        <v>-1.8868951108306109E-2</v>
      </c>
      <c r="E40" s="69">
        <f>IFERROR(IF(OR(NOT(ISNUMBER('Price History'!E41)),NOT(ISNUMBER('Price History'!E40)),'Price History'!E40=0),"",'Price History'!E41/'Price History'!E40-1),"")</f>
        <v>-4.9103489323711003E-2</v>
      </c>
      <c r="F40" s="69">
        <f>IFERROR(IF(OR(NOT(ISNUMBER('Price History'!F41)),NOT(ISNUMBER('Price History'!F40)),'Price History'!F40=0),"",'Price History'!F41/'Price History'!F40-1),"")</f>
        <v>2.0126282557221709E-2</v>
      </c>
      <c r="G40" s="69">
        <f>IFERROR(IF(OR(NOT(ISNUMBER('Price History'!G41)),NOT(ISNUMBER('Price History'!G40)),'Price History'!G40=0),"",'Price History'!G41/'Price History'!G40-1),"")</f>
        <v>-1.3733540988248638E-2</v>
      </c>
      <c r="H40" s="69">
        <f>IFERROR(IF(OR(NOT(ISNUMBER('Price History'!H41)),NOT(ISNUMBER('Price History'!H40)),'Price History'!H40=0),"",'Price History'!H41/'Price History'!H40-1),"")</f>
        <v>-1.2190874259839779E-3</v>
      </c>
      <c r="I40" s="69">
        <f>IFERROR(IF(OR(NOT(ISNUMBER('Price History'!I41)),NOT(ISNUMBER('Price History'!I40)),'Price History'!I40=0),"",'Price History'!I41/'Price History'!I40-1),"")</f>
        <v>1.1967175746524061E-2</v>
      </c>
      <c r="J40" s="69">
        <f>IFERROR(IF(OR(NOT(ISNUMBER('Price History'!J41)),NOT(ISNUMBER('Price History'!J40)),'Price History'!J40=0),"",'Price History'!J41/'Price History'!J40-1),"")</f>
        <v>1.7586008072266068E-2</v>
      </c>
      <c r="K40" s="69">
        <f>IFERROR(IF(OR(NOT(ISNUMBER('Price History'!K41)),NOT(ISNUMBER('Price History'!K40)),'Price History'!K40=0),"",'Price History'!K41/'Price History'!K40-1),"")</f>
        <v>3.5968028419182785E-2</v>
      </c>
      <c r="L40" s="69">
        <f>IFERROR(IF(OR(NOT(ISNUMBER('Price History'!L41)),NOT(ISNUMBER('Price History'!L40)),'Price History'!L40=0),"",'Price History'!L41/'Price History'!L40-1),"")</f>
        <v>2.357194504699911E-2</v>
      </c>
      <c r="M40" s="69">
        <f>IFERROR(IF(OR(NOT(ISNUMBER('Price History'!M41)),NOT(ISNUMBER('Price History'!M40)),'Price History'!M40=0),"",'Price History'!M41/'Price History'!M40-1),"")</f>
        <v>-5.1342389560379287E-3</v>
      </c>
      <c r="N40" s="69">
        <f>IFERROR(IF(OR(NOT(ISNUMBER('Price History'!N41)),NOT(ISNUMBER('Price History'!N40)),'Price History'!N40=0),"",'Price History'!N41/'Price History'!N40-1),"")</f>
        <v>9.0570594746903765E-3</v>
      </c>
      <c r="O40" s="69">
        <f>IFERROR(IF(OR(NOT(ISNUMBER('Price History'!O41)),NOT(ISNUMBER('Price History'!O40)),'Price History'!O40=0),"",'Price History'!O41/'Price History'!O40-1),"")</f>
        <v>6.8705673758866492E-3</v>
      </c>
      <c r="P40" s="69" t="str">
        <f>IFERROR(IF(OR(NOT(ISNUMBER('Price History'!P41)),NOT(ISNUMBER('Price History'!P40)),'Price History'!P40=0),"",'Price History'!P41/'Price History'!P40-1),"")</f>
        <v/>
      </c>
      <c r="Q40" s="69">
        <f>IFERROR(IF(OR(NOT(ISNUMBER('Price History'!Q41)),NOT(ISNUMBER('Price History'!Q40)),'Price History'!Q40=0),"",'Price History'!Q41/'Price History'!Q40-1),"")</f>
        <v>3.2640439786977282E-3</v>
      </c>
      <c r="R40" s="69">
        <f>IFERROR(IF(OR(NOT(ISNUMBER('Price History'!R41)),NOT(ISNUMBER('Price History'!R40)),'Price History'!R40=0),"",'Price History'!R41/'Price History'!R40-1),"")</f>
        <v>1.7090770983669845E-3</v>
      </c>
      <c r="S40" s="69">
        <f>IFERROR(IF(OR(NOT(ISNUMBER('Price History'!S41)),NOT(ISNUMBER('Price History'!S40)),'Price History'!S40=0),"",'Price History'!S41/'Price History'!S40-1),"")</f>
        <v>9.8624448481701155E-3</v>
      </c>
      <c r="T40" s="69">
        <f>IFERROR(IF(OR(NOT(ISNUMBER('Price History'!T41)),NOT(ISNUMBER('Price History'!T40)),'Price History'!T40=0),"",'Price History'!T41/'Price History'!T40-1),"")</f>
        <v>-1.5644955300127772E-2</v>
      </c>
      <c r="U40" s="69" t="str">
        <f>IFERROR(IF(OR(NOT(ISNUMBER('Price History'!U41)),NOT(ISNUMBER('Price History'!U40)),'Price History'!U40=0),"",'Price History'!U41/'Price History'!U40-1),"")</f>
        <v/>
      </c>
    </row>
    <row r="41" spans="1:21" ht="15" customHeight="1" x14ac:dyDescent="0.2">
      <c r="A41" s="52">
        <f>'Price History'!A42</f>
        <v>45422</v>
      </c>
      <c r="B41" s="69">
        <f>IFERROR(IF(OR(NOT(ISNUMBER('Price History'!B42)),NOT(ISNUMBER('Price History'!B41)),'Price History'!B41=0),"",'Price History'!B42/'Price History'!B41-1),"")</f>
        <v>-8.0011518367681944E-3</v>
      </c>
      <c r="C41" s="69">
        <f>IFERROR(IF(OR(NOT(ISNUMBER('Price History'!C42)),NOT(ISNUMBER('Price History'!C41)),'Price History'!C41=0),"",'Price History'!C42/'Price History'!C41-1),"")</f>
        <v>0.14446064139941717</v>
      </c>
      <c r="D41" s="69">
        <f>IFERROR(IF(OR(NOT(ISNUMBER('Price History'!D42)),NOT(ISNUMBER('Price History'!D41)),'Price History'!D41=0),"",'Price History'!D42/'Price History'!D41-1),"")</f>
        <v>3.1786874882157923E-2</v>
      </c>
      <c r="E41" s="69">
        <f>IFERROR(IF(OR(NOT(ISNUMBER('Price History'!E42)),NOT(ISNUMBER('Price History'!E41)),'Price History'!E41=0),"",'Price History'!E42/'Price History'!E41-1),"")</f>
        <v>4.2797903137469673E-2</v>
      </c>
      <c r="F41" s="69">
        <f>IFERROR(IF(OR(NOT(ISNUMBER('Price History'!F42)),NOT(ISNUMBER('Price History'!F41)),'Price History'!F41=0),"",'Price History'!F42/'Price History'!F41-1),"")</f>
        <v>3.4042553191489411E-2</v>
      </c>
      <c r="G41" s="69">
        <f>IFERROR(IF(OR(NOT(ISNUMBER('Price History'!G42)),NOT(ISNUMBER('Price History'!G41)),'Price History'!G41=0),"",'Price History'!G42/'Price History'!G41-1),"")</f>
        <v>3.1151306345104768E-2</v>
      </c>
      <c r="H41" s="69">
        <f>IFERROR(IF(OR(NOT(ISNUMBER('Price History'!H42)),NOT(ISNUMBER('Price History'!H41)),'Price History'!H41=0),"",'Price History'!H42/'Price History'!H41-1),"")</f>
        <v>5.7018308631211712E-2</v>
      </c>
      <c r="I41" s="69">
        <f>IFERROR(IF(OR(NOT(ISNUMBER('Price History'!I42)),NOT(ISNUMBER('Price History'!I41)),'Price History'!I41=0),"",'Price History'!I42/'Price History'!I41-1),"")</f>
        <v>1.2276157224912598E-2</v>
      </c>
      <c r="J41" s="69">
        <f>IFERROR(IF(OR(NOT(ISNUMBER('Price History'!J42)),NOT(ISNUMBER('Price History'!J41)),'Price History'!J41=0),"",'Price History'!J42/'Price History'!J41-1),"")</f>
        <v>1.5110019831900967E-2</v>
      </c>
      <c r="K41" s="69">
        <f>IFERROR(IF(OR(NOT(ISNUMBER('Price History'!K42)),NOT(ISNUMBER('Price History'!K41)),'Price History'!K41=0),"",'Price History'!K42/'Price History'!K41-1),"")</f>
        <v>-0.11701671667381042</v>
      </c>
      <c r="L41" s="69">
        <f>IFERROR(IF(OR(NOT(ISNUMBER('Price History'!L42)),NOT(ISNUMBER('Price History'!L41)),'Price History'!L41=0),"",'Price History'!L42/'Price History'!L41-1),"")</f>
        <v>5.4393896580954948E-2</v>
      </c>
      <c r="M41" s="69">
        <f>IFERROR(IF(OR(NOT(ISNUMBER('Price History'!M42)),NOT(ISNUMBER('Price History'!M41)),'Price History'!M41=0),"",'Price History'!M42/'Price History'!M41-1),"")</f>
        <v>2.5696161703042675E-2</v>
      </c>
      <c r="N41" s="69">
        <f>IFERROR(IF(OR(NOT(ISNUMBER('Price History'!N42)),NOT(ISNUMBER('Price History'!N41)),'Price History'!N41=0),"",'Price History'!N42/'Price History'!N41-1),"")</f>
        <v>5.4103919417572532E-2</v>
      </c>
      <c r="O41" s="69">
        <f>IFERROR(IF(OR(NOT(ISNUMBER('Price History'!O42)),NOT(ISNUMBER('Price History'!O41)),'Price History'!O41=0),"",'Price History'!O42/'Price History'!O41-1),"")</f>
        <v>1.7279330838652962E-2</v>
      </c>
      <c r="P41" s="69" t="str">
        <f>IFERROR(IF(OR(NOT(ISNUMBER('Price History'!P42)),NOT(ISNUMBER('Price History'!P41)),'Price History'!P41=0),"",'Price History'!P42/'Price History'!P41-1),"")</f>
        <v/>
      </c>
      <c r="Q41" s="69">
        <f>IFERROR(IF(OR(NOT(ISNUMBER('Price History'!Q42)),NOT(ISNUMBER('Price History'!Q41)),'Price History'!Q41=0),"",'Price History'!Q42/'Price History'!Q41-1),"")</f>
        <v>2.73972602739736E-3</v>
      </c>
      <c r="R41" s="69">
        <f>IFERROR(IF(OR(NOT(ISNUMBER('Price History'!R42)),NOT(ISNUMBER('Price History'!R41)),'Price History'!R41=0),"",'Price History'!R42/'Price History'!R41-1),"")</f>
        <v>1.3838862559241605E-2</v>
      </c>
      <c r="S41" s="69">
        <f>IFERROR(IF(OR(NOT(ISNUMBER('Price History'!S42)),NOT(ISNUMBER('Price History'!S41)),'Price History'!S41=0),"",'Price History'!S42/'Price History'!S41-1),"")</f>
        <v>2.2230789000257101E-2</v>
      </c>
      <c r="T41" s="69">
        <f>IFERROR(IF(OR(NOT(ISNUMBER('Price History'!T42)),NOT(ISNUMBER('Price History'!T41)),'Price History'!T41=0),"",'Price History'!T42/'Price History'!T41-1),"")</f>
        <v>2.2056438533895717E-2</v>
      </c>
      <c r="U41" s="69" t="str">
        <f>IFERROR(IF(OR(NOT(ISNUMBER('Price History'!U42)),NOT(ISNUMBER('Price History'!U41)),'Price History'!U41=0),"",'Price History'!U42/'Price History'!U41-1),"")</f>
        <v/>
      </c>
    </row>
    <row r="42" spans="1:21" ht="15" customHeight="1" x14ac:dyDescent="0.2">
      <c r="A42" s="52">
        <f>'Price History'!A43</f>
        <v>45429</v>
      </c>
      <c r="B42" s="69">
        <f>IFERROR(IF(OR(NOT(ISNUMBER('Price History'!B43)),NOT(ISNUMBER('Price History'!B42)),'Price History'!B42=0),"",'Price History'!B43/'Price History'!B42-1),"")</f>
        <v>2.3637230711812673E-3</v>
      </c>
      <c r="C42" s="69">
        <f>IFERROR(IF(OR(NOT(ISNUMBER('Price History'!C43)),NOT(ISNUMBER('Price History'!C42)),'Price History'!C42=0),"",'Price History'!C43/'Price History'!C42-1),"")</f>
        <v>1.8596357151955178E-2</v>
      </c>
      <c r="D42" s="69">
        <f>IFERROR(IF(OR(NOT(ISNUMBER('Price History'!D43)),NOT(ISNUMBER('Price History'!D42)),'Price History'!D42=0),"",'Price History'!D43/'Price History'!D42-1),"")</f>
        <v>-5.7186468735554996E-3</v>
      </c>
      <c r="E42" s="69">
        <f>IFERROR(IF(OR(NOT(ISNUMBER('Price History'!E43)),NOT(ISNUMBER('Price History'!E42)),'Price History'!E42=0),"",'Price History'!E43/'Price History'!E42-1),"")</f>
        <v>4.6893757503001288E-2</v>
      </c>
      <c r="F42" s="69">
        <f>IFERROR(IF(OR(NOT(ISNUMBER('Price History'!F43)),NOT(ISNUMBER('Price History'!F42)),'Price History'!F42=0),"",'Price History'!F43/'Price History'!F42-1),"")</f>
        <v>7.8438708068337748E-2</v>
      </c>
      <c r="G42" s="69">
        <f>IFERROR(IF(OR(NOT(ISNUMBER('Price History'!G43)),NOT(ISNUMBER('Price History'!G42)),'Price History'!G42=0),"",'Price History'!G43/'Price History'!G42-1),"")</f>
        <v>4.0929973548656573E-2</v>
      </c>
      <c r="H42" s="69">
        <f>IFERROR(IF(OR(NOT(ISNUMBER('Price History'!H43)),NOT(ISNUMBER('Price History'!H42)),'Price History'!H42=0),"",'Price History'!H43/'Price History'!H42-1),"")</f>
        <v>3.340481689211483E-2</v>
      </c>
      <c r="I42" s="69">
        <f>IFERROR(IF(OR(NOT(ISNUMBER('Price History'!I43)),NOT(ISNUMBER('Price History'!I42)),'Price History'!I42=0),"",'Price History'!I43/'Price History'!I42-1),"")</f>
        <v>2.8927458834000941E-2</v>
      </c>
      <c r="J42" s="69">
        <f>IFERROR(IF(OR(NOT(ISNUMBER('Price History'!J43)),NOT(ISNUMBER('Price History'!J42)),'Price History'!J42=0),"",'Price History'!J43/'Price History'!J42-1),"")</f>
        <v>3.7305795887989657E-2</v>
      </c>
      <c r="K42" s="69">
        <f>IFERROR(IF(OR(NOT(ISNUMBER('Price History'!K43)),NOT(ISNUMBER('Price History'!K42)),'Price History'!K42=0),"",'Price History'!K43/'Price History'!K42-1),"")</f>
        <v>5.6310679611650594E-2</v>
      </c>
      <c r="L42" s="69">
        <f>IFERROR(IF(OR(NOT(ISNUMBER('Price History'!L43)),NOT(ISNUMBER('Price History'!L42)),'Price History'!L42=0),"",'Price History'!L43/'Price History'!L42-1),"")</f>
        <v>1.6213319040600416E-2</v>
      </c>
      <c r="M42" s="69">
        <f>IFERROR(IF(OR(NOT(ISNUMBER('Price History'!M43)),NOT(ISNUMBER('Price History'!M42)),'Price History'!M42=0),"",'Price History'!M43/'Price History'!M42-1),"")</f>
        <v>1.477987421383653E-2</v>
      </c>
      <c r="N42" s="69">
        <f>IFERROR(IF(OR(NOT(ISNUMBER('Price History'!N43)),NOT(ISNUMBER('Price History'!N42)),'Price History'!N42=0),"",'Price History'!N43/'Price History'!N42-1),"")</f>
        <v>5.3053597615781323E-2</v>
      </c>
      <c r="O42" s="69">
        <f>IFERROR(IF(OR(NOT(ISNUMBER('Price History'!O43)),NOT(ISNUMBER('Price History'!O42)),'Price History'!O42=0),"",'Price History'!O43/'Price History'!O42-1),"")</f>
        <v>1.1035378123985584E-2</v>
      </c>
      <c r="P42" s="69" t="str">
        <f>IFERROR(IF(OR(NOT(ISNUMBER('Price History'!P43)),NOT(ISNUMBER('Price History'!P42)),'Price History'!P42=0),"",'Price History'!P43/'Price History'!P42-1),"")</f>
        <v/>
      </c>
      <c r="Q42" s="69">
        <f>IFERROR(IF(OR(NOT(ISNUMBER('Price History'!Q43)),NOT(ISNUMBER('Price History'!Q42)),'Price History'!Q42=0),"",'Price History'!Q43/'Price History'!Q42-1),"")</f>
        <v>7.1721311475407834E-3</v>
      </c>
      <c r="R42" s="69">
        <f>IFERROR(IF(OR(NOT(ISNUMBER('Price History'!R43)),NOT(ISNUMBER('Price History'!R42)),'Price History'!R42=0),"",'Price History'!R43/'Price History'!R42-1),"")</f>
        <v>1.1967090501121991E-2</v>
      </c>
      <c r="S42" s="69">
        <f>IFERROR(IF(OR(NOT(ISNUMBER('Price History'!S43)),NOT(ISNUMBER('Price History'!S42)),'Price History'!S42=0),"",'Price History'!S43/'Price History'!S42-1),"")</f>
        <v>1.5084852294154683E-2</v>
      </c>
      <c r="T42" s="69">
        <f>IFERROR(IF(OR(NOT(ISNUMBER('Price History'!T43)),NOT(ISNUMBER('Price History'!T42)),'Price History'!T42=0),"",'Price History'!T43/'Price History'!T42-1),"")</f>
        <v>9.2034274833385776E-3</v>
      </c>
      <c r="U42" s="69" t="str">
        <f>IFERROR(IF(OR(NOT(ISNUMBER('Price History'!U43)),NOT(ISNUMBER('Price History'!U42)),'Price History'!U42=0),"",'Price History'!U43/'Price History'!U42-1),"")</f>
        <v/>
      </c>
    </row>
    <row r="43" spans="1:21" ht="15" customHeight="1" x14ac:dyDescent="0.2">
      <c r="A43" s="52">
        <f>'Price History'!A44</f>
        <v>45436</v>
      </c>
      <c r="B43" s="69">
        <f>IFERROR(IF(OR(NOT(ISNUMBER('Price History'!B44)),NOT(ISNUMBER('Price History'!B43)),'Price History'!B43=0),"",'Price History'!B44/'Price History'!B43-1),"")</f>
        <v>-1.6548414455040072E-2</v>
      </c>
      <c r="C43" s="69">
        <f>IFERROR(IF(OR(NOT(ISNUMBER('Price History'!C44)),NOT(ISNUMBER('Price History'!C43)),'Price History'!C43=0),"",'Price History'!C44/'Price History'!C43-1),"")</f>
        <v>-4.1640615230711497E-2</v>
      </c>
      <c r="D43" s="69">
        <f>IFERROR(IF(OR(NOT(ISNUMBER('Price History'!D44)),NOT(ISNUMBER('Price History'!D43)),'Price History'!D43=0),"",'Price History'!D44/'Price History'!D43-1),"")</f>
        <v>3.3784879509605625E-2</v>
      </c>
      <c r="E43" s="69">
        <f>IFERROR(IF(OR(NOT(ISNUMBER('Price History'!E44)),NOT(ISNUMBER('Price History'!E43)),'Price History'!E43=0),"",'Price History'!E44/'Price History'!E43-1),"")</f>
        <v>8.958646885974364E-3</v>
      </c>
      <c r="F43" s="69">
        <f>IFERROR(IF(OR(NOT(ISNUMBER('Price History'!F44)),NOT(ISNUMBER('Price History'!F43)),'Price History'!F43=0),"",'Price History'!F44/'Price History'!F43-1),"")</f>
        <v>1.6073080481036062E-2</v>
      </c>
      <c r="G43" s="69">
        <f>IFERROR(IF(OR(NOT(ISNUMBER('Price History'!G44)),NOT(ISNUMBER('Price History'!G43)),'Price History'!G43=0),"",'Price History'!G44/'Price History'!G43-1),"")</f>
        <v>4.1995452721679927E-2</v>
      </c>
      <c r="H43" s="69">
        <f>IFERROR(IF(OR(NOT(ISNUMBER('Price History'!H44)),NOT(ISNUMBER('Price History'!H43)),'Price History'!H43=0),"",'Price History'!H44/'Price History'!H43-1),"")</f>
        <v>3.3522228430042267E-2</v>
      </c>
      <c r="I43" s="69">
        <f>IFERROR(IF(OR(NOT(ISNUMBER('Price History'!I44)),NOT(ISNUMBER('Price History'!I43)),'Price History'!I43=0),"",'Price History'!I44/'Price History'!I43-1),"")</f>
        <v>0.15127595155709339</v>
      </c>
      <c r="J43" s="69">
        <f>IFERROR(IF(OR(NOT(ISNUMBER('Price History'!J44)),NOT(ISNUMBER('Price History'!J43)),'Price History'!J43=0),"",'Price History'!J44/'Price History'!J43-1),"")</f>
        <v>-6.0538116591928204E-2</v>
      </c>
      <c r="K43" s="69">
        <f>IFERROR(IF(OR(NOT(ISNUMBER('Price History'!K44)),NOT(ISNUMBER('Price History'!K43)),'Price History'!K43=0),"",'Price History'!K44/'Price History'!K43-1),"")</f>
        <v>-3.4466911764705843E-2</v>
      </c>
      <c r="L43" s="69">
        <f>IFERROR(IF(OR(NOT(ISNUMBER('Price History'!L44)),NOT(ISNUMBER('Price History'!L43)),'Price History'!L43=0),"",'Price History'!L44/'Price History'!L43-1),"")</f>
        <v>5.4852320675105481E-2</v>
      </c>
      <c r="M43" s="69">
        <f>IFERROR(IF(OR(NOT(ISNUMBER('Price History'!M44)),NOT(ISNUMBER('Price History'!M43)),'Price History'!M43=0),"",'Price History'!M44/'Price History'!M43-1),"")</f>
        <v>9.6684226836070586E-2</v>
      </c>
      <c r="N43" s="69">
        <f>IFERROR(IF(OR(NOT(ISNUMBER('Price History'!N44)),NOT(ISNUMBER('Price History'!N43)),'Price History'!N43=0),"",'Price History'!N44/'Price History'!N43-1),"")</f>
        <v>2.6369578401203908E-2</v>
      </c>
      <c r="O43" s="69">
        <f>IFERROR(IF(OR(NOT(ISNUMBER('Price History'!O44)),NOT(ISNUMBER('Price History'!O43)),'Price History'!O43=0),"",'Price History'!O44/'Price History'!O43-1),"")</f>
        <v>-1.4874264312466523E-2</v>
      </c>
      <c r="P43" s="69" t="str">
        <f>IFERROR(IF(OR(NOT(ISNUMBER('Price History'!P44)),NOT(ISNUMBER('Price History'!P43)),'Price History'!P43=0),"",'Price History'!P44/'Price History'!P43-1),"")</f>
        <v/>
      </c>
      <c r="Q43" s="69">
        <f>IFERROR(IF(OR(NOT(ISNUMBER('Price History'!Q44)),NOT(ISNUMBER('Price History'!Q43)),'Price History'!Q43=0),"",'Price History'!Q44/'Price History'!Q43-1),"")</f>
        <v>3.390979993218135E-3</v>
      </c>
      <c r="R43" s="69">
        <f>IFERROR(IF(OR(NOT(ISNUMBER('Price History'!R44)),NOT(ISNUMBER('Price History'!R43)),'Price History'!R43=0),"",'Price History'!R44/'Price History'!R43-1),"")</f>
        <v>4.8041389504804854E-3</v>
      </c>
      <c r="S43" s="69">
        <f>IFERROR(IF(OR(NOT(ISNUMBER('Price History'!S44)),NOT(ISNUMBER('Price History'!S43)),'Price History'!S43=0),"",'Price History'!S44/'Price History'!S43-1),"")</f>
        <v>1.9442724458204275E-2</v>
      </c>
      <c r="T43" s="69">
        <f>IFERROR(IF(OR(NOT(ISNUMBER('Price History'!T44)),NOT(ISNUMBER('Price History'!T43)),'Price History'!T43=0),"",'Price History'!T44/'Price History'!T43-1),"")</f>
        <v>-1.6981132075471694E-2</v>
      </c>
      <c r="U43" s="69" t="str">
        <f>IFERROR(IF(OR(NOT(ISNUMBER('Price History'!U44)),NOT(ISNUMBER('Price History'!U43)),'Price History'!U43=0),"",'Price History'!U44/'Price History'!U43-1),"")</f>
        <v/>
      </c>
    </row>
    <row r="44" spans="1:21" ht="15" customHeight="1" x14ac:dyDescent="0.2">
      <c r="A44" s="52">
        <f>'Price History'!A45</f>
        <v>45443</v>
      </c>
      <c r="B44" s="69">
        <f>IFERROR(IF(OR(NOT(ISNUMBER('Price History'!B45)),NOT(ISNUMBER('Price History'!B44)),'Price History'!B44=0),"",'Price History'!B45/'Price History'!B44-1),"")</f>
        <v>-6.4510022505942066E-2</v>
      </c>
      <c r="C44" s="69">
        <f>IFERROR(IF(OR(NOT(ISNUMBER('Price History'!C45)),NOT(ISNUMBER('Price History'!C44)),'Price History'!C44=0),"",'Price History'!C45/'Price History'!C44-1),"")</f>
        <v>-2.9097077244258918E-2</v>
      </c>
      <c r="D44" s="69">
        <f>IFERROR(IF(OR(NOT(ISNUMBER('Price History'!D45)),NOT(ISNUMBER('Price History'!D44)),'Price History'!D44=0),"",'Price History'!D45/'Price History'!D44-1),"")</f>
        <v>4.3190897492209057E-3</v>
      </c>
      <c r="E44" s="69">
        <f>IFERROR(IF(OR(NOT(ISNUMBER('Price History'!E45)),NOT(ISNUMBER('Price History'!E44)),'Price History'!E44=0),"",'Price History'!E45/'Price History'!E44-1),"")</f>
        <v>-5.6329024009092232E-2</v>
      </c>
      <c r="F44" s="69">
        <f>IFERROR(IF(OR(NOT(ISNUMBER('Price History'!F45)),NOT(ISNUMBER('Price History'!F44)),'Price History'!F44=0),"",'Price History'!F45/'Price History'!F44-1),"")</f>
        <v>-0.10754523728234899</v>
      </c>
      <c r="G44" s="69">
        <f>IFERROR(IF(OR(NOT(ISNUMBER('Price History'!G45)),NOT(ISNUMBER('Price History'!G44)),'Price History'!G44=0),"",'Price History'!G45/'Price History'!G44-1),"")</f>
        <v>-2.5157232704402399E-2</v>
      </c>
      <c r="H44" s="69">
        <f>IFERROR(IF(OR(NOT(ISNUMBER('Price History'!H45)),NOT(ISNUMBER('Price History'!H44)),'Price History'!H44=0),"",'Price History'!H45/'Price History'!H44-1),"")</f>
        <v>-3.4674492238782939E-2</v>
      </c>
      <c r="I44" s="69">
        <f>IFERROR(IF(OR(NOT(ISNUMBER('Price History'!I45)),NOT(ISNUMBER('Price History'!I44)),'Price History'!I44=0),"",'Price History'!I45/'Price History'!I44-1),"")</f>
        <v>2.9679721987414309E-2</v>
      </c>
      <c r="J44" s="69">
        <f>IFERROR(IF(OR(NOT(ISNUMBER('Price History'!J45)),NOT(ISNUMBER('Price History'!J44)),'Price History'!J44=0),"",'Price History'!J45/'Price History'!J44-1),"")</f>
        <v>5.4797136038186034E-2</v>
      </c>
      <c r="K44" s="69">
        <f>IFERROR(IF(OR(NOT(ISNUMBER('Price History'!K45)),NOT(ISNUMBER('Price History'!K44)),'Price History'!K44=0),"",'Price History'!K45/'Price History'!K44-1),"")</f>
        <v>3.188957639219403E-2</v>
      </c>
      <c r="L44" s="69">
        <f>IFERROR(IF(OR(NOT(ISNUMBER('Price History'!L45)),NOT(ISNUMBER('Price History'!L44)),'Price History'!L44=0),"",'Price History'!L45/'Price History'!L44-1),"")</f>
        <v>-5.600000000000005E-2</v>
      </c>
      <c r="M44" s="69">
        <f>IFERROR(IF(OR(NOT(ISNUMBER('Price History'!M45)),NOT(ISNUMBER('Price History'!M44)),'Price History'!M44=0),"",'Price History'!M45/'Price History'!M44-1),"")</f>
        <v>-7.6292738061599419E-2</v>
      </c>
      <c r="N44" s="69">
        <f>IFERROR(IF(OR(NOT(ISNUMBER('Price History'!N45)),NOT(ISNUMBER('Price History'!N44)),'Price History'!N44=0),"",'Price History'!N45/'Price History'!N44-1),"")</f>
        <v>-3.5233614180982809E-3</v>
      </c>
      <c r="O44" s="69">
        <f>IFERROR(IF(OR(NOT(ISNUMBER('Price History'!O45)),NOT(ISNUMBER('Price History'!O44)),'Price History'!O44=0),"",'Price History'!O45/'Price History'!O44-1),"")</f>
        <v>1.0753856180751642E-2</v>
      </c>
      <c r="P44" s="69" t="str">
        <f>IFERROR(IF(OR(NOT(ISNUMBER('Price History'!P45)),NOT(ISNUMBER('Price History'!P44)),'Price History'!P44=0),"",'Price History'!P45/'Price History'!P44-1),"")</f>
        <v/>
      </c>
      <c r="Q44" s="69">
        <f>IFERROR(IF(OR(NOT(ISNUMBER('Price History'!Q45)),NOT(ISNUMBER('Price History'!Q44)),'Price History'!Q44=0),"",'Price History'!Q45/'Price History'!Q44-1),"")</f>
        <v>-6.5900642108820406E-3</v>
      </c>
      <c r="R44" s="69">
        <f>IFERROR(IF(OR(NOT(ISNUMBER('Price History'!R45)),NOT(ISNUMBER('Price History'!R44)),'Price History'!R44=0),"",'Price History'!R45/'Price History'!R44-1),"")</f>
        <v>-3.4939315924973346E-3</v>
      </c>
      <c r="S44" s="69">
        <f>IFERROR(IF(OR(NOT(ISNUMBER('Price History'!S45)),NOT(ISNUMBER('Price History'!S44)),'Price History'!S44=0),"",'Price History'!S45/'Price History'!S44-1),"")</f>
        <v>-1.0932944606413919E-2</v>
      </c>
      <c r="T44" s="69">
        <f>IFERROR(IF(OR(NOT(ISNUMBER('Price History'!T45)),NOT(ISNUMBER('Price History'!T44)),'Price History'!T44=0),"",'Price History'!T45/'Price History'!T44-1),"")</f>
        <v>1.1516314779270509E-2</v>
      </c>
      <c r="U44" s="69" t="str">
        <f>IFERROR(IF(OR(NOT(ISNUMBER('Price History'!U45)),NOT(ISNUMBER('Price History'!U44)),'Price History'!U44=0),"",'Price History'!U45/'Price History'!U44-1),"")</f>
        <v/>
      </c>
    </row>
    <row r="45" spans="1:21" ht="15" customHeight="1" x14ac:dyDescent="0.2">
      <c r="A45" s="52">
        <f>'Price History'!A46</f>
        <v>45450</v>
      </c>
      <c r="B45" s="69">
        <f>IFERROR(IF(OR(NOT(ISNUMBER('Price History'!B46)),NOT(ISNUMBER('Price History'!B45)),'Price History'!B45=0),"",'Price History'!B46/'Price History'!B45-1),"")</f>
        <v>4.6474503102797105E-2</v>
      </c>
      <c r="C45" s="69">
        <f>IFERROR(IF(OR(NOT(ISNUMBER('Price History'!C46)),NOT(ISNUMBER('Price History'!C45)),'Price History'!C45=0),"",'Price History'!C46/'Price History'!C45-1),"")</f>
        <v>-2.8222013170271509E-3</v>
      </c>
      <c r="D45" s="69">
        <f>IFERROR(IF(OR(NOT(ISNUMBER('Price History'!D46)),NOT(ISNUMBER('Price History'!D45)),'Price History'!D45=0),"",'Price History'!D46/'Price History'!D45-1),"")</f>
        <v>7.0880408184516019E-2</v>
      </c>
      <c r="E45" s="69">
        <f>IFERROR(IF(OR(NOT(ISNUMBER('Price History'!E46)),NOT(ISNUMBER('Price History'!E45)),'Price History'!E45=0),"",'Price History'!E46/'Price History'!E45-1),"")</f>
        <v>5.8788106887467162E-2</v>
      </c>
      <c r="F45" s="69">
        <f>IFERROR(IF(OR(NOT(ISNUMBER('Price History'!F46)),NOT(ISNUMBER('Price History'!F45)),'Price History'!F45=0),"",'Price History'!F46/'Price History'!F45-1),"")</f>
        <v>0.11298138230043353</v>
      </c>
      <c r="G45" s="69">
        <f>IFERROR(IF(OR(NOT(ISNUMBER('Price History'!G46)),NOT(ISNUMBER('Price History'!G45)),'Price History'!G45=0),"",'Price History'!G46/'Price History'!G45-1),"")</f>
        <v>1.2508229098090906E-2</v>
      </c>
      <c r="H45" s="69">
        <f>IFERROR(IF(OR(NOT(ISNUMBER('Price History'!H46)),NOT(ISNUMBER('Price History'!H45)),'Price History'!H45=0),"",'Price History'!H46/'Price History'!H45-1),"")</f>
        <v>4.7520000000000007E-2</v>
      </c>
      <c r="I45" s="69">
        <f>IFERROR(IF(OR(NOT(ISNUMBER('Price History'!I46)),NOT(ISNUMBER('Price History'!I45)),'Price History'!I45=0),"",'Price History'!I46/'Price History'!I45-1),"")</f>
        <v>0.10270911246921477</v>
      </c>
      <c r="J45" s="69">
        <f>IFERROR(IF(OR(NOT(ISNUMBER('Price History'!J46)),NOT(ISNUMBER('Price History'!J45)),'Price History'!J45=0),"",'Price History'!J46/'Price History'!J45-1),"")</f>
        <v>-2.624671916010457E-3</v>
      </c>
      <c r="K45" s="69">
        <f>IFERROR(IF(OR(NOT(ISNUMBER('Price History'!K46)),NOT(ISNUMBER('Price History'!K45)),'Price History'!K45=0),"",'Price History'!K46/'Price History'!K45-1),"")</f>
        <v>7.5184501845018348E-2</v>
      </c>
      <c r="L45" s="69">
        <f>IFERROR(IF(OR(NOT(ISNUMBER('Price History'!L46)),NOT(ISNUMBER('Price History'!L45)),'Price History'!L45=0),"",'Price History'!L46/'Price History'!L45-1),"")</f>
        <v>8.8387182203389703E-2</v>
      </c>
      <c r="M45" s="69">
        <f>IFERROR(IF(OR(NOT(ISNUMBER('Price History'!M46)),NOT(ISNUMBER('Price History'!M45)),'Price History'!M45=0),"",'Price History'!M46/'Price History'!M45-1),"")</f>
        <v>-0.10594473335372678</v>
      </c>
      <c r="N45" s="69">
        <f>IFERROR(IF(OR(NOT(ISNUMBER('Price History'!N46)),NOT(ISNUMBER('Price History'!N45)),'Price History'!N45=0),"",'Price History'!N46/'Price History'!N45-1),"")</f>
        <v>6.0833662757499907E-2</v>
      </c>
      <c r="O45" s="69">
        <f>IFERROR(IF(OR(NOT(ISNUMBER('Price History'!O46)),NOT(ISNUMBER('Price History'!O45)),'Price History'!O45=0),"",'Price History'!O46/'Price History'!O45-1),"")</f>
        <v>-3.4067705534658765E-2</v>
      </c>
      <c r="P45" s="69" t="str">
        <f>IFERROR(IF(OR(NOT(ISNUMBER('Price History'!P46)),NOT(ISNUMBER('Price History'!P45)),'Price History'!P45=0),"",'Price History'!P46/'Price History'!P45-1),"")</f>
        <v/>
      </c>
      <c r="Q45" s="69">
        <f>IFERROR(IF(OR(NOT(ISNUMBER('Price History'!Q46)),NOT(ISNUMBER('Price History'!Q45)),'Price History'!Q45=0),"",'Price History'!Q46/'Price History'!Q45-1),"")</f>
        <v>-4.2524238816125104E-3</v>
      </c>
      <c r="R45" s="69">
        <f>IFERROR(IF(OR(NOT(ISNUMBER('Price History'!R46)),NOT(ISNUMBER('Price History'!R45)),'Price History'!R45=0),"",'Price History'!R46/'Price History'!R45-1),"")</f>
        <v>5.5360767669312416E-3</v>
      </c>
      <c r="S45" s="69">
        <f>IFERROR(IF(OR(NOT(ISNUMBER('Price History'!S46)),NOT(ISNUMBER('Price History'!S45)),'Price History'!S45=0),"",'Price History'!S46/'Price History'!S45-1),"")</f>
        <v>3.0336526651928208E-2</v>
      </c>
      <c r="T45" s="69">
        <f>IFERROR(IF(OR(NOT(ISNUMBER('Price History'!T46)),NOT(ISNUMBER('Price History'!T45)),'Price History'!T45=0),"",'Price History'!T46/'Price History'!T45-1),"")</f>
        <v>-2.1189120809614215E-2</v>
      </c>
      <c r="U45" s="69" t="str">
        <f>IFERROR(IF(OR(NOT(ISNUMBER('Price History'!U46)),NOT(ISNUMBER('Price History'!U45)),'Price History'!U45=0),"",'Price History'!U46/'Price History'!U45-1),"")</f>
        <v/>
      </c>
    </row>
    <row r="46" spans="1:21" ht="15" customHeight="1" x14ac:dyDescent="0.2">
      <c r="A46" s="52">
        <f>'Price History'!A47</f>
        <v>45457</v>
      </c>
      <c r="B46" s="69">
        <f>IFERROR(IF(OR(NOT(ISNUMBER('Price History'!B47)),NOT(ISNUMBER('Price History'!B46)),'Price History'!B46=0),"",'Price History'!B47/'Price History'!B46-1),"")</f>
        <v>0.12865522205272528</v>
      </c>
      <c r="C46" s="69">
        <f>IFERROR(IF(OR(NOT(ISNUMBER('Price History'!C47)),NOT(ISNUMBER('Price History'!C46)),'Price History'!C46=0),"",'Price History'!C47/'Price History'!C46-1),"")</f>
        <v>0.10687331536388123</v>
      </c>
      <c r="D46" s="69">
        <f>IFERROR(IF(OR(NOT(ISNUMBER('Price History'!D47)),NOT(ISNUMBER('Price History'!D46)),'Price History'!D46=0),"",'Price History'!D47/'Price History'!D46-1),"")</f>
        <v>-5.0562999552705712E-4</v>
      </c>
      <c r="E46" s="69">
        <f>IFERROR(IF(OR(NOT(ISNUMBER('Price History'!E47)),NOT(ISNUMBER('Price History'!E46)),'Price History'!E46=0),"",'Price History'!E47/'Price History'!E46-1),"")</f>
        <v>0.23347078060571591</v>
      </c>
      <c r="F46" s="69">
        <f>IFERROR(IF(OR(NOT(ISNUMBER('Price History'!F47)),NOT(ISNUMBER('Price History'!F46)),'Price History'!F46=0),"",'Price History'!F47/'Price History'!F46-1),"")</f>
        <v>0.10403299725022919</v>
      </c>
      <c r="G46" s="69">
        <f>IFERROR(IF(OR(NOT(ISNUMBER('Price History'!G47)),NOT(ISNUMBER('Price History'!G46)),'Price History'!G46=0),"",'Price History'!G47/'Price History'!G46-1),"")</f>
        <v>7.2561768530559068E-2</v>
      </c>
      <c r="H46" s="69">
        <f>IFERROR(IF(OR(NOT(ISNUMBER('Price History'!H47)),NOT(ISNUMBER('Price History'!H46)),'Price History'!H46=0),"",'Price History'!H47/'Price History'!H46-1),"")</f>
        <v>7.9578432870016869E-2</v>
      </c>
      <c r="I46" s="69">
        <f>IFERROR(IF(OR(NOT(ISNUMBER('Price History'!I47)),NOT(ISNUMBER('Price History'!I46)),'Price History'!I46=0),"",'Price History'!I47/'Price History'!I46-1),"")</f>
        <v>9.0909090909090828E-2</v>
      </c>
      <c r="J46" s="69">
        <f>IFERROR(IF(OR(NOT(ISNUMBER('Price History'!J47)),NOT(ISNUMBER('Price History'!J46)),'Price History'!J46=0),"",'Price History'!J47/'Price History'!J46-1),"")</f>
        <v>1.8965517241379404E-2</v>
      </c>
      <c r="K46" s="69">
        <f>IFERROR(IF(OR(NOT(ISNUMBER('Price History'!K47)),NOT(ISNUMBER('Price History'!K46)),'Price History'!K46=0),"",'Price History'!K47/'Price History'!K46-1),"")</f>
        <v>1.1154011154011156E-2</v>
      </c>
      <c r="L46" s="69">
        <f>IFERROR(IF(OR(NOT(ISNUMBER('Price History'!L47)),NOT(ISNUMBER('Price History'!L46)),'Price History'!L46=0),"",'Price History'!L47/'Price History'!L46-1),"")</f>
        <v>4.9394732039661715E-2</v>
      </c>
      <c r="M46" s="69">
        <f>IFERROR(IF(OR(NOT(ISNUMBER('Price History'!M47)),NOT(ISNUMBER('Price History'!M46)),'Price History'!M46=0),"",'Price History'!M47/'Price History'!M46-1),"")</f>
        <v>4.3339416058394198E-2</v>
      </c>
      <c r="N46" s="69">
        <f>IFERROR(IF(OR(NOT(ISNUMBER('Price History'!N47)),NOT(ISNUMBER('Price History'!N46)),'Price History'!N46=0),"",'Price History'!N47/'Price History'!N46-1),"")</f>
        <v>-4.7822126531964493E-3</v>
      </c>
      <c r="O46" s="69">
        <f>IFERROR(IF(OR(NOT(ISNUMBER('Price History'!O47)),NOT(ISNUMBER('Price History'!O46)),'Price History'!O46=0),"",'Price History'!O47/'Price History'!O46-1),"")</f>
        <v>-2.3920783266577539E-2</v>
      </c>
      <c r="P46" s="69" t="str">
        <f>IFERROR(IF(OR(NOT(ISNUMBER('Price History'!P47)),NOT(ISNUMBER('Price History'!P46)),'Price History'!P46=0),"",'Price History'!P47/'Price History'!P46-1),"")</f>
        <v/>
      </c>
      <c r="Q46" s="69">
        <f>IFERROR(IF(OR(NOT(ISNUMBER('Price History'!Q47)),NOT(ISNUMBER('Price History'!Q46)),'Price History'!Q46=0),"",'Price History'!Q47/'Price History'!Q46-1),"")</f>
        <v>-1.0761872224120284E-2</v>
      </c>
      <c r="R46" s="69">
        <f>IFERROR(IF(OR(NOT(ISNUMBER('Price History'!R47)),NOT(ISNUMBER('Price History'!R46)),'Price History'!R46=0),"",'Price History'!R47/'Price History'!R46-1),"")</f>
        <v>1.2662873921820417E-2</v>
      </c>
      <c r="S46" s="69">
        <f>IFERROR(IF(OR(NOT(ISNUMBER('Price History'!S47)),NOT(ISNUMBER('Price History'!S46)),'Price History'!S46=0),"",'Price History'!S47/'Price History'!S46-1),"")</f>
        <v>4.219811658123751E-2</v>
      </c>
      <c r="T46" s="69">
        <f>IFERROR(IF(OR(NOT(ISNUMBER('Price History'!T47)),NOT(ISNUMBER('Price History'!T46)),'Price History'!T46=0),"",'Price History'!T47/'Price History'!T46-1),"")</f>
        <v>-4.2003231017769815E-3</v>
      </c>
      <c r="U46" s="69" t="str">
        <f>IFERROR(IF(OR(NOT(ISNUMBER('Price History'!U47)),NOT(ISNUMBER('Price History'!U46)),'Price History'!U46=0),"",'Price History'!U47/'Price History'!U46-1),"")</f>
        <v/>
      </c>
    </row>
    <row r="47" spans="1:21" ht="15" customHeight="1" x14ac:dyDescent="0.2">
      <c r="A47" s="52">
        <f>'Price History'!A48</f>
        <v>45464</v>
      </c>
      <c r="B47" s="69">
        <f>IFERROR(IF(OR(NOT(ISNUMBER('Price History'!B48)),NOT(ISNUMBER('Price History'!B47)),'Price History'!B47=0),"",'Price History'!B48/'Price History'!B47-1),"")</f>
        <v>1.5476575736232068E-2</v>
      </c>
      <c r="C47" s="69">
        <f>IFERROR(IF(OR(NOT(ISNUMBER('Price History'!C48)),NOT(ISNUMBER('Price History'!C47)),'Price History'!C47=0),"",'Price History'!C48/'Price History'!C47-1),"")</f>
        <v>2.6908559600633319E-2</v>
      </c>
      <c r="D47" s="69">
        <f>IFERROR(IF(OR(NOT(ISNUMBER('Price History'!D48)),NOT(ISNUMBER('Price History'!D47)),'Price History'!D47=0),"",'Price History'!D48/'Price History'!D47-1),"")</f>
        <v>8.4638583519796029E-3</v>
      </c>
      <c r="E47" s="69">
        <f>IFERROR(IF(OR(NOT(ISNUMBER('Price History'!E48)),NOT(ISNUMBER('Price History'!E47)),'Price History'!E47=0),"",'Price History'!E48/'Price History'!E47-1),"")</f>
        <v>-4.4034582132564726E-2</v>
      </c>
      <c r="F47" s="69">
        <f>IFERROR(IF(OR(NOT(ISNUMBER('Price History'!F48)),NOT(ISNUMBER('Price History'!F47)),'Price History'!F47=0),"",'Price History'!F48/'Price History'!F47-1),"")</f>
        <v>-1.2453300124533051E-2</v>
      </c>
      <c r="G47" s="69">
        <f>IFERROR(IF(OR(NOT(ISNUMBER('Price History'!G48)),NOT(ISNUMBER('Price History'!G47)),'Price History'!G47=0),"",'Price History'!G48/'Price History'!G47-1),"")</f>
        <v>-9.9418040737149216E-3</v>
      </c>
      <c r="H47" s="69">
        <f>IFERROR(IF(OR(NOT(ISNUMBER('Price History'!H48)),NOT(ISNUMBER('Price History'!H47)),'Price History'!H47=0),"",'Price History'!H48/'Price History'!H47-1),"")</f>
        <v>-1.2874929258630652E-2</v>
      </c>
      <c r="I47" s="69">
        <f>IFERROR(IF(OR(NOT(ISNUMBER('Price History'!I48)),NOT(ISNUMBER('Price History'!I47)),'Price History'!I47=0),"",'Price History'!I48/'Price History'!I47-1),"")</f>
        <v>-4.0263876251137365E-2</v>
      </c>
      <c r="J47" s="69">
        <f>IFERROR(IF(OR(NOT(ISNUMBER('Price History'!J48)),NOT(ISNUMBER('Price History'!J47)),'Price History'!J47=0),"",'Price History'!J48/'Price History'!J47-1),"")</f>
        <v>-2.5736931160388332E-2</v>
      </c>
      <c r="K47" s="69">
        <f>IFERROR(IF(OR(NOT(ISNUMBER('Price History'!K48)),NOT(ISNUMBER('Price History'!K47)),'Price History'!K47=0),"",'Price History'!K48/'Price History'!K47-1),"")</f>
        <v>1.1455239711497756E-2</v>
      </c>
      <c r="L47" s="69">
        <f>IFERROR(IF(OR(NOT(ISNUMBER('Price History'!L48)),NOT(ISNUMBER('Price History'!L47)),'Price History'!L47=0),"",'Price History'!L48/'Price History'!L47-1),"")</f>
        <v>8.4053098371110746E-3</v>
      </c>
      <c r="M47" s="69">
        <f>IFERROR(IF(OR(NOT(ISNUMBER('Price History'!M48)),NOT(ISNUMBER('Price History'!M47)),'Price History'!M47=0),"",'Price History'!M48/'Price History'!M47-1),"")</f>
        <v>-9.4009619588981685E-3</v>
      </c>
      <c r="N47" s="69">
        <f>IFERROR(IF(OR(NOT(ISNUMBER('Price History'!N48)),NOT(ISNUMBER('Price History'!N47)),'Price History'!N47=0),"",'Price History'!N48/'Price History'!N47-1),"")</f>
        <v>-2.5003640297048269E-2</v>
      </c>
      <c r="O47" s="69">
        <f>IFERROR(IF(OR(NOT(ISNUMBER('Price History'!O48)),NOT(ISNUMBER('Price History'!O47)),'Price History'!O47=0),"",'Price History'!O48/'Price History'!O47-1),"")</f>
        <v>1.0828678901174005E-2</v>
      </c>
      <c r="P47" s="69" t="str">
        <f>IFERROR(IF(OR(NOT(ISNUMBER('Price History'!P48)),NOT(ISNUMBER('Price History'!P47)),'Price History'!P47=0),"",'Price History'!P48/'Price History'!P47-1),"")</f>
        <v/>
      </c>
      <c r="Q47" s="69">
        <f>IFERROR(IF(OR(NOT(ISNUMBER('Price History'!Q48)),NOT(ISNUMBER('Price History'!Q47)),'Price History'!Q47=0),"",'Price History'!Q48/'Price History'!Q47-1),"")</f>
        <v>6.9072699015726435E-4</v>
      </c>
      <c r="R47" s="69">
        <f>IFERROR(IF(OR(NOT(ISNUMBER('Price History'!R48)),NOT(ISNUMBER('Price History'!R47)),'Price History'!R47=0),"",'Price History'!R48/'Price History'!R47-1),"")</f>
        <v>1.0873504893078589E-3</v>
      </c>
      <c r="S47" s="69">
        <f>IFERROR(IF(OR(NOT(ISNUMBER('Price History'!S48)),NOT(ISNUMBER('Price History'!S47)),'Price History'!S47=0),"",'Price History'!S48/'Price History'!S47-1),"")</f>
        <v>-8.0064051241002243E-4</v>
      </c>
      <c r="T47" s="69">
        <f>IFERROR(IF(OR(NOT(ISNUMBER('Price History'!T48)),NOT(ISNUMBER('Price History'!T47)),'Price History'!T47=0),"",'Price History'!T48/'Price History'!T47-1),"")</f>
        <v>9.7339390006490056E-3</v>
      </c>
      <c r="U47" s="69" t="str">
        <f>IFERROR(IF(OR(NOT(ISNUMBER('Price History'!U48)),NOT(ISNUMBER('Price History'!U47)),'Price History'!U47=0),"",'Price History'!U48/'Price History'!U47-1),"")</f>
        <v/>
      </c>
    </row>
    <row r="48" spans="1:21" ht="15" customHeight="1" x14ac:dyDescent="0.2">
      <c r="A48" s="52">
        <f>'Price History'!A49</f>
        <v>45471</v>
      </c>
      <c r="B48" s="69">
        <f>IFERROR(IF(OR(NOT(ISNUMBER('Price History'!B49)),NOT(ISNUMBER('Price History'!B48)),'Price History'!B48=0),"",'Price History'!B49/'Price History'!B48-1),"")</f>
        <v>4.1429214157168381E-2</v>
      </c>
      <c r="C48" s="69">
        <f>IFERROR(IF(OR(NOT(ISNUMBER('Price History'!C49)),NOT(ISNUMBER('Price History'!C48)),'Price History'!C48=0),"",'Price History'!C49/'Price History'!C48-1),"")</f>
        <v>3.8890206307801822E-2</v>
      </c>
      <c r="D48" s="69">
        <f>IFERROR(IF(OR(NOT(ISNUMBER('Price History'!D49)),NOT(ISNUMBER('Price History'!D48)),'Price History'!D48=0),"",'Price History'!D49/'Price History'!D48-1),"")</f>
        <v>-1.3380281690140716E-2</v>
      </c>
      <c r="E48" s="69">
        <f>IFERROR(IF(OR(NOT(ISNUMBER('Price History'!E49)),NOT(ISNUMBER('Price History'!E48)),'Price History'!E48=0),"",'Price History'!E49/'Price History'!E48-1),"")</f>
        <v>-3.2014952369468275E-2</v>
      </c>
      <c r="F48" s="69">
        <f>IFERROR(IF(OR(NOT(ISNUMBER('Price History'!F49)),NOT(ISNUMBER('Price History'!F48)),'Price History'!F48=0),"",'Price History'!F49/'Price History'!F48-1),"")</f>
        <v>6.7255149222362753E-3</v>
      </c>
      <c r="G48" s="69">
        <f>IFERROR(IF(OR(NOT(ISNUMBER('Price History'!G49)),NOT(ISNUMBER('Price History'!G48)),'Price History'!G48=0),"",'Price History'!G49/'Price History'!G48-1),"")</f>
        <v>9.6742591231937514E-3</v>
      </c>
      <c r="H48" s="69">
        <f>IFERROR(IF(OR(NOT(ISNUMBER('Price History'!H49)),NOT(ISNUMBER('Price History'!H48)),'Price History'!H48=0),"",'Price History'!H49/'Price History'!H48-1),"")</f>
        <v>-5.7402895227174899E-2</v>
      </c>
      <c r="I48" s="69">
        <f>IFERROR(IF(OR(NOT(ISNUMBER('Price History'!I49)),NOT(ISNUMBER('Price History'!I48)),'Price History'!I48=0),"",'Price History'!I49/'Price History'!I48-1),"")</f>
        <v>-2.3939322114244987E-2</v>
      </c>
      <c r="J48" s="69">
        <f>IFERROR(IF(OR(NOT(ISNUMBER('Price History'!J49)),NOT(ISNUMBER('Price History'!J48)),'Price History'!J48=0),"",'Price History'!J49/'Price History'!J48-1),"")</f>
        <v>2.6599634369286917E-2</v>
      </c>
      <c r="K48" s="69">
        <f>IFERROR(IF(OR(NOT(ISNUMBER('Price History'!K49)),NOT(ISNUMBER('Price History'!K48)),'Price History'!K48=0),"",'Price History'!K49/'Price History'!K48-1),"")</f>
        <v>6.25E-2</v>
      </c>
      <c r="L48" s="69">
        <f>IFERROR(IF(OR(NOT(ISNUMBER('Price History'!L49)),NOT(ISNUMBER('Price History'!L48)),'Price History'!L48=0),"",'Price History'!L49/'Price History'!L48-1),"")</f>
        <v>-8.6226718785931133E-4</v>
      </c>
      <c r="M48" s="69">
        <f>IFERROR(IF(OR(NOT(ISNUMBER('Price History'!M49)),NOT(ISNUMBER('Price History'!M48)),'Price History'!M48=0),"",'Price History'!M49/'Price History'!M48-1),"")</f>
        <v>-4.4692120944603952E-2</v>
      </c>
      <c r="N48" s="69">
        <f>IFERROR(IF(OR(NOT(ISNUMBER('Price History'!N49)),NOT(ISNUMBER('Price History'!N48)),'Price History'!N48=0),"",'Price History'!N49/'Price History'!N48-1),"")</f>
        <v>2.1335153933321749E-5</v>
      </c>
      <c r="O48" s="69">
        <f>IFERROR(IF(OR(NOT(ISNUMBER('Price History'!O49)),NOT(ISNUMBER('Price History'!O48)),'Price History'!O48=0),"",'Price History'!O49/'Price History'!O48-1),"")</f>
        <v>1.1727559765448703E-2</v>
      </c>
      <c r="P48" s="69" t="str">
        <f>IFERROR(IF(OR(NOT(ISNUMBER('Price History'!P49)),NOT(ISNUMBER('Price History'!P48)),'Price History'!P48=0),"",'Price History'!P49/'Price History'!P48-1),"")</f>
        <v/>
      </c>
      <c r="Q48" s="69">
        <f>IFERROR(IF(OR(NOT(ISNUMBER('Price History'!Q49)),NOT(ISNUMBER('Price History'!Q48)),'Price History'!Q48=0),"",'Price History'!Q49/'Price History'!Q48-1),"")</f>
        <v>2.6229508196721207E-2</v>
      </c>
      <c r="R48" s="69">
        <f>IFERROR(IF(OR(NOT(ISNUMBER('Price History'!R49)),NOT(ISNUMBER('Price History'!R48)),'Price History'!R48=0),"",'Price History'!R49/'Price History'!R48-1),"")</f>
        <v>4.706734250543132E-3</v>
      </c>
      <c r="S48" s="69">
        <f>IFERROR(IF(OR(NOT(ISNUMBER('Price History'!S49)),NOT(ISNUMBER('Price History'!S48)),'Price History'!S48=0),"",'Price History'!S49/'Price History'!S48-1),"")</f>
        <v>1.1446886446886406E-3</v>
      </c>
      <c r="T48" s="69">
        <f>IFERROR(IF(OR(NOT(ISNUMBER('Price History'!T49)),NOT(ISNUMBER('Price History'!T48)),'Price History'!T48=0),"",'Price History'!T49/'Price History'!T48-1),"")</f>
        <v>-6.4267352185090054E-3</v>
      </c>
      <c r="U48" s="69" t="str">
        <f>IFERROR(IF(OR(NOT(ISNUMBER('Price History'!U49)),NOT(ISNUMBER('Price History'!U48)),'Price History'!U48=0),"",'Price History'!U49/'Price History'!U48-1),"")</f>
        <v/>
      </c>
    </row>
    <row r="49" spans="1:21" ht="15" customHeight="1" x14ac:dyDescent="0.2">
      <c r="A49" s="52">
        <f>'Price History'!A50</f>
        <v>45478</v>
      </c>
      <c r="B49" s="69">
        <f>IFERROR(IF(OR(NOT(ISNUMBER('Price History'!B50)),NOT(ISNUMBER('Price History'!B49)),'Price History'!B49=0),"",'Price History'!B50/'Price History'!B49-1),"")</f>
        <v>4.1041149152176493E-2</v>
      </c>
      <c r="C49" s="69">
        <f>IFERROR(IF(OR(NOT(ISNUMBER('Price History'!C50)),NOT(ISNUMBER('Price History'!C49)),'Price History'!C49=0),"",'Price History'!C50/'Price History'!C49-1),"")</f>
        <v>4.4738644145172257E-2</v>
      </c>
      <c r="D49" s="69">
        <f>IFERROR(IF(OR(NOT(ISNUMBER('Price History'!D50)),NOT(ISNUMBER('Price History'!D49)),'Price History'!D49=0),"",'Price History'!D50/'Price History'!D49-1),"")</f>
        <v>5.0599865067026517E-2</v>
      </c>
      <c r="E49" s="69">
        <f>IFERROR(IF(OR(NOT(ISNUMBER('Price History'!E50)),NOT(ISNUMBER('Price History'!E49)),'Price History'!E49=0),"",'Price History'!E50/'Price History'!E49-1),"")</f>
        <v>6.0915602616007369E-2</v>
      </c>
      <c r="F49" s="69">
        <f>IFERROR(IF(OR(NOT(ISNUMBER('Price History'!F50)),NOT(ISNUMBER('Price History'!F49)),'Price History'!F49=0),"",'Price History'!F50/'Price History'!F49-1),"")</f>
        <v>1.6910229645094033E-2</v>
      </c>
      <c r="G49" s="69">
        <f>IFERROR(IF(OR(NOT(ISNUMBER('Price History'!G50)),NOT(ISNUMBER('Price History'!G49)),'Price History'!G49=0),"",'Price History'!G50/'Price History'!G49-1),"")</f>
        <v>3.7234687689508661E-2</v>
      </c>
      <c r="H49" s="69">
        <f>IFERROR(IF(OR(NOT(ISNUMBER('Price History'!H50)),NOT(ISNUMBER('Price History'!H49)),'Price History'!H49=0),"",'Price History'!H50/'Price History'!H49-1),"")</f>
        <v>5.3219797764758603E-4</v>
      </c>
      <c r="I49" s="69">
        <f>IFERROR(IF(OR(NOT(ISNUMBER('Price History'!I50)),NOT(ISNUMBER('Price History'!I49)),'Price History'!I49=0),"",'Price History'!I50/'Price History'!I49-1),"")</f>
        <v>1.8536506394689845E-2</v>
      </c>
      <c r="J49" s="69">
        <f>IFERROR(IF(OR(NOT(ISNUMBER('Price History'!J50)),NOT(ISNUMBER('Price History'!J49)),'Price History'!J49=0),"",'Price History'!J50/'Price History'!J49-1),"")</f>
        <v>1.9143442258035659E-2</v>
      </c>
      <c r="K49" s="69">
        <f>IFERROR(IF(OR(NOT(ISNUMBER('Price History'!K50)),NOT(ISNUMBER('Price History'!K49)),'Price History'!K49=0),"",'Price History'!K50/'Price History'!K49-1),"")</f>
        <v>7.500986971970014E-2</v>
      </c>
      <c r="L49" s="69">
        <f>IFERROR(IF(OR(NOT(ISNUMBER('Price History'!L50)),NOT(ISNUMBER('Price History'!L49)),'Price History'!L49=0),"",'Price History'!L50/'Price History'!L49-1),"")</f>
        <v>5.856970254876015E-2</v>
      </c>
      <c r="M49" s="69">
        <f>IFERROR(IF(OR(NOT(ISNUMBER('Price History'!M50)),NOT(ISNUMBER('Price History'!M49)),'Price History'!M49=0),"",'Price History'!M50/'Price History'!M49-1),"")</f>
        <v>6.0182511262562244E-2</v>
      </c>
      <c r="N49" s="69">
        <f>IFERROR(IF(OR(NOT(ISNUMBER('Price History'!N50)),NOT(ISNUMBER('Price History'!N49)),'Price History'!N49=0),"",'Price History'!N50/'Price History'!N49-1),"")</f>
        <v>1.2480798771121293E-2</v>
      </c>
      <c r="O49" s="69">
        <f>IFERROR(IF(OR(NOT(ISNUMBER('Price History'!O50)),NOT(ISNUMBER('Price History'!O49)),'Price History'!O49=0),"",'Price History'!O50/'Price History'!O49-1),"")</f>
        <v>-1.64957646009809E-2</v>
      </c>
      <c r="P49" s="69" t="str">
        <f>IFERROR(IF(OR(NOT(ISNUMBER('Price History'!P50)),NOT(ISNUMBER('Price History'!P49)),'Price History'!P49=0),"",'Price History'!P50/'Price History'!P49-1),"")</f>
        <v/>
      </c>
      <c r="Q49" s="69">
        <f>IFERROR(IF(OR(NOT(ISNUMBER('Price History'!Q50)),NOT(ISNUMBER('Price History'!Q49)),'Price History'!Q49=0),"",'Price History'!Q50/'Price History'!Q49-1),"")</f>
        <v>8.7439044896586715E-3</v>
      </c>
      <c r="R49" s="69">
        <f>IFERROR(IF(OR(NOT(ISNUMBER('Price History'!R50)),NOT(ISNUMBER('Price History'!R49)),'Price History'!R49=0),"",'Price History'!R50/'Price History'!R49-1),"")</f>
        <v>6.846846846846999E-3</v>
      </c>
      <c r="S49" s="69">
        <f>IFERROR(IF(OR(NOT(ISNUMBER('Price History'!S50)),NOT(ISNUMBER('Price History'!S49)),'Price History'!S49=0),"",'Price History'!S50/'Price History'!S49-1),"")</f>
        <v>3.0985593414132317E-2</v>
      </c>
      <c r="T49" s="69">
        <f>IFERROR(IF(OR(NOT(ISNUMBER('Price History'!T50)),NOT(ISNUMBER('Price History'!T49)),'Price History'!T49=0),"",'Price History'!T50/'Price History'!T49-1),"")</f>
        <v>-2.0051746442432128E-2</v>
      </c>
      <c r="U49" s="69" t="str">
        <f>IFERROR(IF(OR(NOT(ISNUMBER('Price History'!U50)),NOT(ISNUMBER('Price History'!U49)),'Price History'!U49=0),"",'Price History'!U50/'Price History'!U49-1),"")</f>
        <v/>
      </c>
    </row>
    <row r="50" spans="1:21" ht="15" customHeight="1" x14ac:dyDescent="0.2">
      <c r="A50" s="52">
        <f>'Price History'!A51</f>
        <v>45485</v>
      </c>
      <c r="B50" s="69">
        <f>IFERROR(IF(OR(NOT(ISNUMBER('Price History'!B51)),NOT(ISNUMBER('Price History'!B50)),'Price History'!B50=0),"",'Price History'!B51/'Price History'!B50-1),"")</f>
        <v>-3.3354082373690308E-2</v>
      </c>
      <c r="C50" s="69">
        <f>IFERROR(IF(OR(NOT(ISNUMBER('Price History'!C51)),NOT(ISNUMBER('Price History'!C50)),'Price History'!C50=0),"",'Price History'!C51/'Price History'!C50-1),"")</f>
        <v>-1.1579637317019942E-2</v>
      </c>
      <c r="D50" s="69">
        <f>IFERROR(IF(OR(NOT(ISNUMBER('Price History'!D51)),NOT(ISNUMBER('Price History'!D50)),'Price History'!D50=0),"",'Price History'!D51/'Price History'!D50-1),"")</f>
        <v>1.0032760032760102E-2</v>
      </c>
      <c r="E50" s="69">
        <f>IFERROR(IF(OR(NOT(ISNUMBER('Price History'!E51)),NOT(ISNUMBER('Price History'!E50)),'Price History'!E50=0),"",'Price History'!E51/'Price History'!E50-1),"")</f>
        <v>-1.5264486584866122E-3</v>
      </c>
      <c r="F50" s="69">
        <f>IFERROR(IF(OR(NOT(ISNUMBER('Price History'!F51)),NOT(ISNUMBER('Price History'!F50)),'Price History'!F50=0),"",'Price History'!F51/'Price History'!F50-1),"")</f>
        <v>-4.711558201601318E-2</v>
      </c>
      <c r="G50" s="69">
        <f>IFERROR(IF(OR(NOT(ISNUMBER('Price History'!G51)),NOT(ISNUMBER('Price History'!G50)),'Price History'!G50=0),"",'Price History'!G51/'Price History'!G50-1),"")</f>
        <v>2.9232927970066491E-3</v>
      </c>
      <c r="H50" s="69">
        <f>IFERROR(IF(OR(NOT(ISNUMBER('Price History'!H51)),NOT(ISNUMBER('Price History'!H50)),'Price History'!H50=0),"",'Price History'!H51/'Price History'!H50-1),"")</f>
        <v>1.4817629179331382E-2</v>
      </c>
      <c r="I50" s="69">
        <f>IFERROR(IF(OR(NOT(ISNUMBER('Price History'!I51)),NOT(ISNUMBER('Price History'!I50)),'Price History'!I50=0),"",'Price History'!I51/'Price History'!I50-1),"")</f>
        <v>2.7100055630612907E-2</v>
      </c>
      <c r="J50" s="69">
        <f>IFERROR(IF(OR(NOT(ISNUMBER('Price History'!J51)),NOT(ISNUMBER('Price History'!J50)),'Price History'!J50=0),"",'Price History'!J51/'Price History'!J50-1),"")</f>
        <v>4.9711689673248349E-2</v>
      </c>
      <c r="K50" s="69">
        <f>IFERROR(IF(OR(NOT(ISNUMBER('Price History'!K51)),NOT(ISNUMBER('Price History'!K50)),'Price History'!K50=0),"",'Price History'!K51/'Price History'!K50-1),"")</f>
        <v>3.084832904884327E-2</v>
      </c>
      <c r="L50" s="69">
        <f>IFERROR(IF(OR(NOT(ISNUMBER('Price History'!L51)),NOT(ISNUMBER('Price History'!L50)),'Price History'!L50=0),"",'Price History'!L51/'Price History'!L50-1),"")</f>
        <v>1.8261862057720402E-2</v>
      </c>
      <c r="M50" s="69">
        <f>IFERROR(IF(OR(NOT(ISNUMBER('Price History'!M51)),NOT(ISNUMBER('Price History'!M50)),'Price History'!M50=0),"",'Price History'!M51/'Price History'!M50-1),"")</f>
        <v>-2.2989758117236914E-2</v>
      </c>
      <c r="N50" s="69">
        <f>IFERROR(IF(OR(NOT(ISNUMBER('Price History'!N51)),NOT(ISNUMBER('Price History'!N50)),'Price History'!N50=0),"",'Price History'!N51/'Price History'!N50-1),"")</f>
        <v>2.9858608845902745E-2</v>
      </c>
      <c r="O50" s="69">
        <f>IFERROR(IF(OR(NOT(ISNUMBER('Price History'!O51)),NOT(ISNUMBER('Price History'!O50)),'Price History'!O50=0),"",'Price History'!O51/'Price History'!O50-1),"")</f>
        <v>5.5757026291931133E-2</v>
      </c>
      <c r="P50" s="69" t="str">
        <f>IFERROR(IF(OR(NOT(ISNUMBER('Price History'!P51)),NOT(ISNUMBER('Price History'!P50)),'Price History'!P50=0),"",'Price History'!P51/'Price History'!P50-1),"")</f>
        <v/>
      </c>
      <c r="Q50" s="69">
        <f>IFERROR(IF(OR(NOT(ISNUMBER('Price History'!Q51)),NOT(ISNUMBER('Price History'!Q50)),'Price History'!Q50=0),"",'Price History'!Q51/'Price History'!Q50-1),"")</f>
        <v>3.6672778796464911E-3</v>
      </c>
      <c r="R50" s="69">
        <f>IFERROR(IF(OR(NOT(ISNUMBER('Price History'!R51)),NOT(ISNUMBER('Price History'!R50)),'Price History'!R50=0),"",'Price History'!R51/'Price History'!R50-1),"")</f>
        <v>-7.158196134573469E-4</v>
      </c>
      <c r="S50" s="69">
        <f>IFERROR(IF(OR(NOT(ISNUMBER('Price History'!S51)),NOT(ISNUMBER('Price History'!S50)),'Price History'!S50=0),"",'Price History'!S51/'Price History'!S50-1),"")</f>
        <v>-1.996229344571443E-3</v>
      </c>
      <c r="T50" s="69">
        <f>IFERROR(IF(OR(NOT(ISNUMBER('Price History'!T51)),NOT(ISNUMBER('Price History'!T50)),'Price History'!T50=0),"",'Price History'!T51/'Price History'!T50-1),"")</f>
        <v>3.8283828382838392E-2</v>
      </c>
      <c r="U50" s="69" t="str">
        <f>IFERROR(IF(OR(NOT(ISNUMBER('Price History'!U51)),NOT(ISNUMBER('Price History'!U50)),'Price History'!U50=0),"",'Price History'!U51/'Price History'!U50-1),"")</f>
        <v/>
      </c>
    </row>
    <row r="51" spans="1:21" ht="15" customHeight="1" x14ac:dyDescent="0.2">
      <c r="A51" s="52">
        <f>'Price History'!A52</f>
        <v>45492</v>
      </c>
      <c r="B51" s="69">
        <f>IFERROR(IF(OR(NOT(ISNUMBER('Price History'!B52)),NOT(ISNUMBER('Price History'!B51)),'Price History'!B51=0),"",'Price History'!B52/'Price History'!B51-1),"")</f>
        <v>-1.4399427600393477E-2</v>
      </c>
      <c r="C51" s="69">
        <f>IFERROR(IF(OR(NOT(ISNUMBER('Price History'!C52)),NOT(ISNUMBER('Price History'!C51)),'Price History'!C51=0),"",'Price History'!C52/'Price History'!C51-1),"")</f>
        <v>-8.6648983200707352E-2</v>
      </c>
      <c r="D51" s="69">
        <f>IFERROR(IF(OR(NOT(ISNUMBER('Price History'!D52)),NOT(ISNUMBER('Price History'!D51)),'Price History'!D51=0),"",'Price History'!D52/'Price History'!D51-1),"")</f>
        <v>-0.17497189613548825</v>
      </c>
      <c r="E51" s="69">
        <f>IFERROR(IF(OR(NOT(ISNUMBER('Price History'!E52)),NOT(ISNUMBER('Price History'!E51)),'Price History'!E51=0),"",'Price History'!E52/'Price History'!E51-1),"")</f>
        <v>-7.4792732404304063E-2</v>
      </c>
      <c r="F51" s="69">
        <f>IFERROR(IF(OR(NOT(ISNUMBER('Price History'!F52)),NOT(ISNUMBER('Price History'!F51)),'Price History'!F51=0),"",'Price History'!F52/'Price History'!F51-1),"")</f>
        <v>-0.17871377787353226</v>
      </c>
      <c r="G51" s="69">
        <f>IFERROR(IF(OR(NOT(ISNUMBER('Price History'!G52)),NOT(ISNUMBER('Price History'!G51)),'Price History'!G51=0),"",'Price History'!G52/'Price History'!G51-1),"")</f>
        <v>-0.110877929345925</v>
      </c>
      <c r="H51" s="69">
        <f>IFERROR(IF(OR(NOT(ISNUMBER('Price History'!H52)),NOT(ISNUMBER('Price History'!H51)),'Price History'!H51=0),"",'Price History'!H52/'Price History'!H51-1),"")</f>
        <v>-0.14444028453762636</v>
      </c>
      <c r="I51" s="69">
        <f>IFERROR(IF(OR(NOT(ISNUMBER('Price History'!I52)),NOT(ISNUMBER('Price History'!I51)),'Price History'!I51=0),"",'Price History'!I52/'Price History'!I51-1),"")</f>
        <v>-8.75116063138347E-2</v>
      </c>
      <c r="J51" s="69">
        <f>IFERROR(IF(OR(NOT(ISNUMBER('Price History'!J52)),NOT(ISNUMBER('Price History'!J51)),'Price History'!J51=0),"",'Price History'!J52/'Price History'!J51-1),"")</f>
        <v>2.9962546816479252E-2</v>
      </c>
      <c r="K51" s="69">
        <f>IFERROR(IF(OR(NOT(ISNUMBER('Price History'!K52)),NOT(ISNUMBER('Price History'!K51)),'Price History'!K51=0),"",'Price History'!K52/'Price History'!K51-1),"")</f>
        <v>1.8168863555397152E-2</v>
      </c>
      <c r="L51" s="69">
        <f>IFERROR(IF(OR(NOT(ISNUMBER('Price History'!L52)),NOT(ISNUMBER('Price History'!L51)),'Price History'!L51=0),"",'Price History'!L52/'Price History'!L51-1),"")</f>
        <v>-0.11518548171870824</v>
      </c>
      <c r="M51" s="69">
        <f>IFERROR(IF(OR(NOT(ISNUMBER('Price History'!M52)),NOT(ISNUMBER('Price History'!M51)),'Price History'!M51=0),"",'Price History'!M52/'Price History'!M51-1),"")</f>
        <v>-4.8622727779636388E-2</v>
      </c>
      <c r="N51" s="69">
        <f>IFERROR(IF(OR(NOT(ISNUMBER('Price History'!N52)),NOT(ISNUMBER('Price History'!N51)),'Price History'!N51=0),"",'Price History'!N52/'Price History'!N51-1),"")</f>
        <v>5.7903998035764292E-3</v>
      </c>
      <c r="O51" s="69">
        <f>IFERROR(IF(OR(NOT(ISNUMBER('Price History'!O52)),NOT(ISNUMBER('Price History'!O51)),'Price History'!O51=0),"",'Price History'!O52/'Price History'!O51-1),"")</f>
        <v>2.6406182911120846E-2</v>
      </c>
      <c r="P51" s="69" t="str">
        <f>IFERROR(IF(OR(NOT(ISNUMBER('Price History'!P52)),NOT(ISNUMBER('Price History'!P51)),'Price History'!P51=0),"",'Price History'!P52/'Price History'!P51-1),"")</f>
        <v/>
      </c>
      <c r="Q51" s="69">
        <f>IFERROR(IF(OR(NOT(ISNUMBER('Price History'!Q52)),NOT(ISNUMBER('Price History'!Q51)),'Price History'!Q51=0),"",'Price History'!Q52/'Price History'!Q51-1),"")</f>
        <v>-2.7071914964291732E-2</v>
      </c>
      <c r="R51" s="69">
        <f>IFERROR(IF(OR(NOT(ISNUMBER('Price History'!R52)),NOT(ISNUMBER('Price History'!R51)),'Price History'!R51=0),"",'Price History'!R52/'Price History'!R51-1),"")</f>
        <v>-2.9548710601719264E-2</v>
      </c>
      <c r="S51" s="69">
        <f>IFERROR(IF(OR(NOT(ISNUMBER('Price History'!S52)),NOT(ISNUMBER('Price History'!S51)),'Price History'!S51=0),"",'Price History'!S52/'Price History'!S51-1),"")</f>
        <v>-4.0448938770974552E-2</v>
      </c>
      <c r="T51" s="69">
        <f>IFERROR(IF(OR(NOT(ISNUMBER('Price History'!T52)),NOT(ISNUMBER('Price History'!T51)),'Price History'!T51=0),"",'Price History'!T52/'Price History'!T51-1),"")</f>
        <v>1.5257469802924417E-2</v>
      </c>
      <c r="U51" s="69" t="str">
        <f>IFERROR(IF(OR(NOT(ISNUMBER('Price History'!U52)),NOT(ISNUMBER('Price History'!U51)),'Price History'!U51=0),"",'Price History'!U52/'Price History'!U51-1),"")</f>
        <v/>
      </c>
    </row>
    <row r="52" spans="1:21" ht="15" customHeight="1" x14ac:dyDescent="0.2">
      <c r="A52" s="52">
        <f>'Price History'!A53</f>
        <v>45499</v>
      </c>
      <c r="B52" s="69">
        <f>IFERROR(IF(OR(NOT(ISNUMBER('Price History'!B53)),NOT(ISNUMBER('Price History'!B52)),'Price History'!B52=0),"",'Price History'!B53/'Price History'!B52-1),"")</f>
        <v>-1.55353901996369E-2</v>
      </c>
      <c r="C52" s="69">
        <f>IFERROR(IF(OR(NOT(ISNUMBER('Price History'!C53)),NOT(ISNUMBER('Price History'!C52)),'Price History'!C52=0),"",'Price History'!C53/'Price History'!C52-1),"")</f>
        <v>-3.436592449177156E-2</v>
      </c>
      <c r="D52" s="69">
        <f>IFERROR(IF(OR(NOT(ISNUMBER('Price History'!D53)),NOT(ISNUMBER('Price History'!D52)),'Price History'!D52=0),"",'Price History'!D53/'Price History'!D52-1),"")</f>
        <v>-7.7956598947921396E-3</v>
      </c>
      <c r="E52" s="69">
        <f>IFERROR(IF(OR(NOT(ISNUMBER('Price History'!E53)),NOT(ISNUMBER('Price History'!E52)),'Price History'!E52=0),"",'Price History'!E53/'Price History'!E52-1),"")</f>
        <v>-3.6352081347314935E-2</v>
      </c>
      <c r="F52" s="69">
        <f>IFERROR(IF(OR(NOT(ISNUMBER('Price History'!F53)),NOT(ISNUMBER('Price History'!F52)),'Price History'!F52=0),"",'Price History'!F53/'Price History'!F52-1),"")</f>
        <v>-0.16002098635886663</v>
      </c>
      <c r="G52" s="69">
        <f>IFERROR(IF(OR(NOT(ISNUMBER('Price History'!G53)),NOT(ISNUMBER('Price History'!G52)),'Price History'!G52=0),"",'Price History'!G53/'Price History'!G52-1),"")</f>
        <v>3.2520325203251987E-2</v>
      </c>
      <c r="H52" s="69">
        <f>IFERROR(IF(OR(NOT(ISNUMBER('Price History'!H53)),NOT(ISNUMBER('Price History'!H52)),'Price History'!H52=0),"",'Price History'!H53/'Price History'!H52-1),"")</f>
        <v>-4.2447050586381985E-2</v>
      </c>
      <c r="I52" s="69">
        <f>IFERROR(IF(OR(NOT(ISNUMBER('Price History'!I53)),NOT(ISNUMBER('Price History'!I52)),'Price History'!I52=0),"",'Price History'!I53/'Price History'!I52-1),"")</f>
        <v>-4.1295683880267942E-2</v>
      </c>
      <c r="J52" s="69">
        <f>IFERROR(IF(OR(NOT(ISNUMBER('Price History'!J53)),NOT(ISNUMBER('Price History'!J52)),'Price History'!J52=0),"",'Price History'!J53/'Price History'!J52-1),"")</f>
        <v>-8.6464646464645689E-3</v>
      </c>
      <c r="K52" s="69">
        <f>IFERROR(IF(OR(NOT(ISNUMBER('Price History'!K53)),NOT(ISNUMBER('Price History'!K52)),'Price History'!K52=0),"",'Price History'!K53/'Price History'!K52-1),"")</f>
        <v>-4.8985304408677321E-2</v>
      </c>
      <c r="L52" s="69">
        <f>IFERROR(IF(OR(NOT(ISNUMBER('Price History'!L53)),NOT(ISNUMBER('Price History'!L52)),'Price History'!L52=0),"",'Price History'!L53/'Price History'!L52-1),"")</f>
        <v>-2.3104301140133954E-2</v>
      </c>
      <c r="M52" s="69">
        <f>IFERROR(IF(OR(NOT(ISNUMBER('Price History'!M53)),NOT(ISNUMBER('Price History'!M52)),'Price History'!M52=0),"",'Price History'!M53/'Price History'!M52-1),"")</f>
        <v>-9.6002813269253306E-2</v>
      </c>
      <c r="N52" s="69">
        <f>IFERROR(IF(OR(NOT(ISNUMBER('Price History'!N53)),NOT(ISNUMBER('Price History'!N52)),'Price History'!N52=0),"",'Price History'!N53/'Price History'!N52-1),"")</f>
        <v>7.5065606119169015E-3</v>
      </c>
      <c r="O52" s="69">
        <f>IFERROR(IF(OR(NOT(ISNUMBER('Price History'!O53)),NOT(ISNUMBER('Price History'!O52)),'Price History'!O52=0),"",'Price History'!O53/'Price History'!O52-1),"")</f>
        <v>3.6289479188454266E-2</v>
      </c>
      <c r="P52" s="69" t="str">
        <f>IFERROR(IF(OR(NOT(ISNUMBER('Price History'!P53)),NOT(ISNUMBER('Price History'!P52)),'Price History'!P52=0),"",'Price History'!P53/'Price History'!P52-1),"")</f>
        <v/>
      </c>
      <c r="Q52" s="69">
        <f>IFERROR(IF(OR(NOT(ISNUMBER('Price History'!Q53)),NOT(ISNUMBER('Price History'!Q52)),'Price History'!Q52=0),"",'Price History'!Q53/'Price History'!Q52-1),"")</f>
        <v>2.5947422328439718E-2</v>
      </c>
      <c r="R52" s="69">
        <f>IFERROR(IF(OR(NOT(ISNUMBER('Price History'!R53)),NOT(ISNUMBER('Price History'!R52)),'Price History'!R52=0),"",'Price History'!R53/'Price History'!R52-1),"")</f>
        <v>-2.2697914744417735E-2</v>
      </c>
      <c r="S52" s="69">
        <f>IFERROR(IF(OR(NOT(ISNUMBER('Price History'!S53)),NOT(ISNUMBER('Price History'!S52)),'Price History'!S52=0),"",'Price History'!S53/'Price History'!S52-1),"")</f>
        <v>-1.8876664736537263E-2</v>
      </c>
      <c r="T52" s="69">
        <f>IFERROR(IF(OR(NOT(ISNUMBER('Price History'!T53)),NOT(ISNUMBER('Price History'!T52)),'Price History'!T52=0),"",'Price History'!T53/'Price History'!T52-1),"")</f>
        <v>1.784596117720727E-2</v>
      </c>
      <c r="U52" s="69" t="str">
        <f>IFERROR(IF(OR(NOT(ISNUMBER('Price History'!U53)),NOT(ISNUMBER('Price History'!U52)),'Price History'!U52=0),"",'Price History'!U53/'Price History'!U52-1),"")</f>
        <v/>
      </c>
    </row>
    <row r="53" spans="1:21" ht="15" customHeight="1" x14ac:dyDescent="0.2">
      <c r="A53" s="52">
        <f>'Price History'!A54</f>
        <v>45506</v>
      </c>
      <c r="B53" s="69">
        <f>IFERROR(IF(OR(NOT(ISNUMBER('Price History'!B54)),NOT(ISNUMBER('Price History'!B53)),'Price History'!B53=0),"",'Price History'!B54/'Price History'!B53-1),"")</f>
        <v>-2.9994100730034834E-2</v>
      </c>
      <c r="C53" s="69">
        <f>IFERROR(IF(OR(NOT(ISNUMBER('Price History'!C54)),NOT(ISNUMBER('Price History'!C53)),'Price History'!C53=0),"",'Price History'!C54/'Price History'!C53-1),"")</f>
        <v>3.7593984962414062E-4</v>
      </c>
      <c r="D53" s="69">
        <f>IFERROR(IF(OR(NOT(ISNUMBER('Price History'!D54)),NOT(ISNUMBER('Price History'!D53)),'Price History'!D53=0),"",'Price History'!D54/'Price History'!D53-1),"")</f>
        <v>-8.8969934375668358E-2</v>
      </c>
      <c r="E53" s="69">
        <f>IFERROR(IF(OR(NOT(ISNUMBER('Price History'!E54)),NOT(ISNUMBER('Price History'!E53)),'Price History'!E53=0),"",'Price History'!E54/'Price History'!E53-1),"")</f>
        <v>-5.1506957726043634E-2</v>
      </c>
      <c r="F53" s="69">
        <f>IFERROR(IF(OR(NOT(ISNUMBER('Price History'!F54)),NOT(ISNUMBER('Price History'!F53)),'Price History'!F53=0),"",'Price History'!F54/'Price History'!F53-1),"")</f>
        <v>-0.14943785134291077</v>
      </c>
      <c r="G53" s="69">
        <f>IFERROR(IF(OR(NOT(ISNUMBER('Price History'!G54)),NOT(ISNUMBER('Price History'!G53)),'Price History'!G53=0),"",'Price History'!G54/'Price History'!G53-1),"")</f>
        <v>-0.11582423164846323</v>
      </c>
      <c r="H53" s="69">
        <f>IFERROR(IF(OR(NOT(ISNUMBER('Price History'!H54)),NOT(ISNUMBER('Price History'!H53)),'Price History'!H53=0),"",'Price History'!H54/'Price History'!H53-1),"")</f>
        <v>-0.15272826981080334</v>
      </c>
      <c r="I53" s="69">
        <f>IFERROR(IF(OR(NOT(ISNUMBER('Price History'!I54)),NOT(ISNUMBER('Price History'!I53)),'Price History'!I53=0),"",'Price History'!I54/'Price History'!I53-1),"")</f>
        <v>-5.1211745975588197E-2</v>
      </c>
      <c r="J53" s="69">
        <f>IFERROR(IF(OR(NOT(ISNUMBER('Price History'!J54)),NOT(ISNUMBER('Price History'!J53)),'Price History'!J53=0),"",'Price History'!J54/'Price History'!J53-1),"")</f>
        <v>1.0596674274535367E-2</v>
      </c>
      <c r="K53" s="69">
        <f>IFERROR(IF(OR(NOT(ISNUMBER('Price History'!K54)),NOT(ISNUMBER('Price History'!K53)),'Price History'!K53=0),"",'Price History'!K54/'Price History'!K53-1),"")</f>
        <v>-8.9771891096394496E-2</v>
      </c>
      <c r="L53" s="69">
        <f>IFERROR(IF(OR(NOT(ISNUMBER('Price History'!L54)),NOT(ISNUMBER('Price History'!L53)),'Price History'!L53=0),"",'Price History'!L54/'Price History'!L53-1),"")</f>
        <v>-7.4595529208348665E-2</v>
      </c>
      <c r="M53" s="69">
        <f>IFERROR(IF(OR(NOT(ISNUMBER('Price History'!M54)),NOT(ISNUMBER('Price History'!M53)),'Price History'!M53=0),"",'Price History'!M54/'Price History'!M53-1),"")</f>
        <v>-9.9325726141078929E-2</v>
      </c>
      <c r="N53" s="69">
        <f>IFERROR(IF(OR(NOT(ISNUMBER('Price History'!N54)),NOT(ISNUMBER('Price History'!N53)),'Price History'!N53=0),"",'Price History'!N54/'Price History'!N53-1),"")</f>
        <v>-1.6153131688406708E-3</v>
      </c>
      <c r="O53" s="69">
        <f>IFERROR(IF(OR(NOT(ISNUMBER('Price History'!O54)),NOT(ISNUMBER('Price History'!O53)),'Price History'!O53=0),"",'Price History'!O54/'Price History'!O53-1),"")</f>
        <v>-7.1450196790796228E-2</v>
      </c>
      <c r="P53" s="69" t="str">
        <f>IFERROR(IF(OR(NOT(ISNUMBER('Price History'!P54)),NOT(ISNUMBER('Price History'!P53)),'Price History'!P53=0),"",'Price History'!P54/'Price History'!P53-1),"")</f>
        <v/>
      </c>
      <c r="Q53" s="69">
        <f>IFERROR(IF(OR(NOT(ISNUMBER('Price History'!Q54)),NOT(ISNUMBER('Price History'!Q53)),'Price History'!Q53=0),"",'Price History'!Q54/'Price History'!Q53-1),"")</f>
        <v>8.3194675540765317E-3</v>
      </c>
      <c r="R53" s="69">
        <f>IFERROR(IF(OR(NOT(ISNUMBER('Price History'!R54)),NOT(ISNUMBER('Price History'!R53)),'Price History'!R53=0),"",'Price History'!R54/'Price History'!R53-1),"")</f>
        <v>-3.4365558912386684E-2</v>
      </c>
      <c r="S53" s="69">
        <f>IFERROR(IF(OR(NOT(ISNUMBER('Price History'!S54)),NOT(ISNUMBER('Price History'!S53)),'Price History'!S53=0),"",'Price History'!S54/'Price History'!S53-1),"")</f>
        <v>-2.9745042492917761E-2</v>
      </c>
      <c r="T53" s="69">
        <f>IFERROR(IF(OR(NOT(ISNUMBER('Price History'!T54)),NOT(ISNUMBER('Price History'!T53)),'Price History'!T53=0),"",'Price History'!T54/'Price History'!T53-1),"")</f>
        <v>-2.8606582589972285E-2</v>
      </c>
      <c r="U53" s="69" t="str">
        <f>IFERROR(IF(OR(NOT(ISNUMBER('Price History'!U54)),NOT(ISNUMBER('Price History'!U53)),'Price History'!U53=0),"",'Price History'!U54/'Price History'!U53-1),"")</f>
        <v/>
      </c>
    </row>
    <row r="54" spans="1:21" ht="15" customHeight="1" x14ac:dyDescent="0.2">
      <c r="A54" s="52">
        <f>'Price History'!A55</f>
        <v>45513</v>
      </c>
      <c r="B54" s="69">
        <f>IFERROR(IF(OR(NOT(ISNUMBER('Price History'!B55)),NOT(ISNUMBER('Price History'!B54)),'Price History'!B54=0),"",'Price History'!B55/'Price History'!B54-1),"")</f>
        <v>1.9252332896212199E-2</v>
      </c>
      <c r="C54" s="69">
        <f>IFERROR(IF(OR(NOT(ISNUMBER('Price History'!C55)),NOT(ISNUMBER('Price History'!C54)),'Price History'!C54=0),"",'Price History'!C55/'Price History'!C54-1),"")</f>
        <v>5.1609670549918718E-2</v>
      </c>
      <c r="D54" s="69">
        <f>IFERROR(IF(OR(NOT(ISNUMBER('Price History'!D55)),NOT(ISNUMBER('Price History'!D54)),'Price History'!D54=0),"",'Price History'!D55/'Price History'!D54-1),"")</f>
        <v>6.3260641255328265E-2</v>
      </c>
      <c r="E54" s="69">
        <f>IFERROR(IF(OR(NOT(ISNUMBER('Price History'!E55)),NOT(ISNUMBER('Price History'!E54)),'Price History'!E54=0),"",'Price History'!E55/'Price History'!E54-1),"")</f>
        <v>3.0871923237379972E-2</v>
      </c>
      <c r="F54" s="69">
        <f>IFERROR(IF(OR(NOT(ISNUMBER('Price History'!F55)),NOT(ISNUMBER('Price History'!F54)),'Price History'!F54=0),"",'Price History'!F55/'Price History'!F54-1),"")</f>
        <v>0.1057462823572608</v>
      </c>
      <c r="G54" s="69">
        <f>IFERROR(IF(OR(NOT(ISNUMBER('Price History'!G55)),NOT(ISNUMBER('Price History'!G54)),'Price History'!G54=0),"",'Price History'!G55/'Price History'!G54-1),"")</f>
        <v>7.2680264291870245E-2</v>
      </c>
      <c r="H54" s="69">
        <f>IFERROR(IF(OR(NOT(ISNUMBER('Price History'!H55)),NOT(ISNUMBER('Price History'!H54)),'Price History'!H54=0),"",'Price History'!H55/'Price History'!H54-1),"")</f>
        <v>4.0992448759438194E-3</v>
      </c>
      <c r="I54" s="69">
        <f>IFERROR(IF(OR(NOT(ISNUMBER('Price History'!I55)),NOT(ISNUMBER('Price History'!I54)),'Price History'!I54=0),"",'Price History'!I55/'Price History'!I54-1),"")</f>
        <v>-2.3492122681085026E-2</v>
      </c>
      <c r="J54" s="69">
        <f>IFERROR(IF(OR(NOT(ISNUMBER('Price History'!J55)),NOT(ISNUMBER('Price History'!J54)),'Price History'!J54=0),"",'Price History'!J55/'Price History'!J54-1),"")</f>
        <v>-1.677689949991934E-2</v>
      </c>
      <c r="K54" s="69">
        <f>IFERROR(IF(OR(NOT(ISNUMBER('Price History'!K55)),NOT(ISNUMBER('Price History'!K54)),'Price History'!K54=0),"",'Price History'!K55/'Price History'!K54-1),"")</f>
        <v>0.21301535974130981</v>
      </c>
      <c r="L54" s="69">
        <f>IFERROR(IF(OR(NOT(ISNUMBER('Price History'!L55)),NOT(ISNUMBER('Price History'!L54)),'Price History'!L54=0),"",'Price History'!L55/'Price History'!L54-1),"")</f>
        <v>0.11517416255171486</v>
      </c>
      <c r="M54" s="69">
        <f>IFERROR(IF(OR(NOT(ISNUMBER('Price History'!M55)),NOT(ISNUMBER('Price History'!M54)),'Price History'!M54=0),"",'Price History'!M55/'Price History'!M54-1),"")</f>
        <v>2.879355024474517E-2</v>
      </c>
      <c r="N54" s="69">
        <f>IFERROR(IF(OR(NOT(ISNUMBER('Price History'!N55)),NOT(ISNUMBER('Price History'!N54)),'Price History'!N54=0),"",'Price History'!N55/'Price History'!N54-1),"")</f>
        <v>-5.2602839461230455E-2</v>
      </c>
      <c r="O54" s="69">
        <f>IFERROR(IF(OR(NOT(ISNUMBER('Price History'!O55)),NOT(ISNUMBER('Price History'!O54)),'Price History'!O54=0),"",'Price History'!O55/'Price History'!O54-1),"")</f>
        <v>-1.7606781871535748E-2</v>
      </c>
      <c r="P54" s="69" t="str">
        <f>IFERROR(IF(OR(NOT(ISNUMBER('Price History'!P55)),NOT(ISNUMBER('Price History'!P54)),'Price History'!P54=0),"",'Price History'!P55/'Price History'!P54-1),"")</f>
        <v/>
      </c>
      <c r="Q54" s="69">
        <f>IFERROR(IF(OR(NOT(ISNUMBER('Price History'!Q55)),NOT(ISNUMBER('Price History'!Q54)),'Price History'!Q54=0),"",'Price History'!Q55/'Price History'!Q54-1),"")</f>
        <v>5.6105610561054675E-3</v>
      </c>
      <c r="R54" s="69">
        <f>IFERROR(IF(OR(NOT(ISNUMBER('Price History'!R55)),NOT(ISNUMBER('Price History'!R54)),'Price History'!R54=0),"",'Price History'!R55/'Price History'!R54-1),"")</f>
        <v>2.9331247555728357E-3</v>
      </c>
      <c r="S54" s="69">
        <f>IFERROR(IF(OR(NOT(ISNUMBER('Price History'!S55)),NOT(ISNUMBER('Price History'!S54)),'Price History'!S54=0),"",'Price History'!S55/'Price History'!S54-1),"")</f>
        <v>1.727493917274936E-2</v>
      </c>
      <c r="T54" s="69">
        <f>IFERROR(IF(OR(NOT(ISNUMBER('Price History'!T55)),NOT(ISNUMBER('Price History'!T54)),'Price History'!T54=0),"",'Price History'!T55/'Price History'!T54-1),"")</f>
        <v>-1.5832805573147146E-3</v>
      </c>
      <c r="U54" s="69" t="str">
        <f>IFERROR(IF(OR(NOT(ISNUMBER('Price History'!U55)),NOT(ISNUMBER('Price History'!U54)),'Price History'!U54=0),"",'Price History'!U55/'Price History'!U54-1),"")</f>
        <v/>
      </c>
    </row>
    <row r="55" spans="1:21" ht="15" customHeight="1" x14ac:dyDescent="0.2">
      <c r="A55" s="52">
        <f>'Price History'!A56</f>
        <v>45520</v>
      </c>
      <c r="B55" s="69">
        <f>IFERROR(IF(OR(NOT(ISNUMBER('Price History'!B56)),NOT(ISNUMBER('Price History'!B55)),'Price History'!B55=0),"",'Price History'!B56/'Price History'!B55-1),"")</f>
        <v>3.1997016595189498E-2</v>
      </c>
      <c r="C55" s="69">
        <f>IFERROR(IF(OR(NOT(ISNUMBER('Price History'!C56)),NOT(ISNUMBER('Price History'!C55)),'Price History'!C55=0),"",'Price History'!C56/'Price History'!C55-1),"")</f>
        <v>5.384157236450271E-2</v>
      </c>
      <c r="D55" s="69">
        <f>IFERROR(IF(OR(NOT(ISNUMBER('Price History'!D56)),NOT(ISNUMBER('Price History'!D55)),'Price History'!D55=0),"",'Price History'!D56/'Price History'!D55-1),"")</f>
        <v>6.7526581837197064E-2</v>
      </c>
      <c r="E55" s="69">
        <f>IFERROR(IF(OR(NOT(ISNUMBER('Price History'!E56)),NOT(ISNUMBER('Price History'!E55)),'Price History'!E55=0),"",'Price History'!E56/'Price History'!E55-1),"")</f>
        <v>0.11776608660461352</v>
      </c>
      <c r="F55" s="69">
        <f>IFERROR(IF(OR(NOT(ISNUMBER('Price History'!F56)),NOT(ISNUMBER('Price History'!F55)),'Price History'!F55=0),"",'Price History'!F56/'Price History'!F55-1),"")</f>
        <v>8.9822347667275482E-2</v>
      </c>
      <c r="G55" s="69">
        <f>IFERROR(IF(OR(NOT(ISNUMBER('Price History'!G56)),NOT(ISNUMBER('Price History'!G55)),'Price History'!G55=0),"",'Price History'!G56/'Price History'!G55-1),"")</f>
        <v>9.7482592394215084E-2</v>
      </c>
      <c r="H55" s="69">
        <f>IFERROR(IF(OR(NOT(ISNUMBER('Price History'!H56)),NOT(ISNUMBER('Price History'!H55)),'Price History'!H55=0),"",'Price History'!H56/'Price History'!H55-1),"")</f>
        <v>0.16018478727975927</v>
      </c>
      <c r="I55" s="69">
        <f>IFERROR(IF(OR(NOT(ISNUMBER('Price History'!I56)),NOT(ISNUMBER('Price History'!I55)),'Price History'!I55=0),"",'Price History'!I56/'Price History'!I55-1),"")</f>
        <v>0.18930787589498799</v>
      </c>
      <c r="J55" s="69">
        <f>IFERROR(IF(OR(NOT(ISNUMBER('Price History'!J56)),NOT(ISNUMBER('Price History'!J55)),'Price History'!J55=0),"",'Price History'!J56/'Price History'!J55-1),"")</f>
        <v>7.7932731747332173E-3</v>
      </c>
      <c r="K55" s="69">
        <f>IFERROR(IF(OR(NOT(ISNUMBER('Price History'!K56)),NOT(ISNUMBER('Price History'!K55)),'Price History'!K55=0),"",'Price History'!K56/'Price History'!K55-1),"")</f>
        <v>6.8977007664111856E-2</v>
      </c>
      <c r="L55" s="69">
        <f>IFERROR(IF(OR(NOT(ISNUMBER('Price History'!L56)),NOT(ISNUMBER('Price History'!L55)),'Price History'!L55=0),"",'Price History'!L56/'Price History'!L55-1),"")</f>
        <v>4.4399234083293271E-2</v>
      </c>
      <c r="M55" s="69">
        <f>IFERROR(IF(OR(NOT(ISNUMBER('Price History'!M56)),NOT(ISNUMBER('Price History'!M55)),'Price History'!M55=0),"",'Price History'!M56/'Price History'!M55-1),"")</f>
        <v>0.11139098796529545</v>
      </c>
      <c r="N55" s="69">
        <f>IFERROR(IF(OR(NOT(ISNUMBER('Price History'!N56)),NOT(ISNUMBER('Price History'!N55)),'Price History'!N55=0),"",'Price History'!N56/'Price History'!N55-1),"")</f>
        <v>1.9041519906073168E-2</v>
      </c>
      <c r="O55" s="69">
        <f>IFERROR(IF(OR(NOT(ISNUMBER('Price History'!O56)),NOT(ISNUMBER('Price History'!O55)),'Price History'!O55=0),"",'Price History'!O56/'Price History'!O55-1),"")</f>
        <v>2.8542980418187813E-2</v>
      </c>
      <c r="P55" s="69" t="str">
        <f>IFERROR(IF(OR(NOT(ISNUMBER('Price History'!P56)),NOT(ISNUMBER('Price History'!P55)),'Price History'!P55=0),"",'Price History'!P56/'Price History'!P55-1),"")</f>
        <v/>
      </c>
      <c r="Q55" s="69">
        <f>IFERROR(IF(OR(NOT(ISNUMBER('Price History'!Q56)),NOT(ISNUMBER('Price History'!Q55)),'Price History'!Q55=0),"",'Price History'!Q56/'Price History'!Q55-1),"")</f>
        <v>1.3127666557271045E-3</v>
      </c>
      <c r="R55" s="69">
        <f>IFERROR(IF(OR(NOT(ISNUMBER('Price History'!R56)),NOT(ISNUMBER('Price History'!R55)),'Price History'!R55=0),"",'Price History'!R56/'Price History'!R55-1),"")</f>
        <v>4.2113472411776209E-2</v>
      </c>
      <c r="S55" s="69">
        <f>IFERROR(IF(OR(NOT(ISNUMBER('Price History'!S56)),NOT(ISNUMBER('Price History'!S55)),'Price History'!S55=0),"",'Price History'!S56/'Price History'!S55-1),"")</f>
        <v>5.7043769433149816E-2</v>
      </c>
      <c r="T55" s="69">
        <f>IFERROR(IF(OR(NOT(ISNUMBER('Price History'!T56)),NOT(ISNUMBER('Price History'!T55)),'Price History'!T55=0),"",'Price History'!T56/'Price History'!T55-1),"")</f>
        <v>1.6175071360608806E-2</v>
      </c>
      <c r="U55" s="69" t="str">
        <f>IFERROR(IF(OR(NOT(ISNUMBER('Price History'!U56)),NOT(ISNUMBER('Price History'!U55)),'Price History'!U55=0),"",'Price History'!U56/'Price History'!U55-1),"")</f>
        <v/>
      </c>
    </row>
    <row r="56" spans="1:21" ht="15" customHeight="1" x14ac:dyDescent="0.2">
      <c r="A56" s="52">
        <f>'Price History'!A57</f>
        <v>45527</v>
      </c>
      <c r="B56" s="69">
        <f>IFERROR(IF(OR(NOT(ISNUMBER('Price History'!B57)),NOT(ISNUMBER('Price History'!B56)),'Price History'!B56=0),"",'Price History'!B57/'Price History'!B56-1),"")</f>
        <v>8.7449860875219443E-3</v>
      </c>
      <c r="C56" s="69">
        <f>IFERROR(IF(OR(NOT(ISNUMBER('Price History'!C57)),NOT(ISNUMBER('Price History'!C56)),'Price History'!C56=0),"",'Price History'!C57/'Price History'!C56-1),"")</f>
        <v>3.5040126596586063E-3</v>
      </c>
      <c r="D56" s="69">
        <f>IFERROR(IF(OR(NOT(ISNUMBER('Price History'!D57)),NOT(ISNUMBER('Price History'!D56)),'Price History'!D56=0),"",'Price History'!D57/'Price History'!D56-1),"")</f>
        <v>-1.2409378877930921E-2</v>
      </c>
      <c r="E56" s="69">
        <f>IFERROR(IF(OR(NOT(ISNUMBER('Price History'!E57)),NOT(ISNUMBER('Price History'!E56)),'Price History'!E56=0),"",'Price History'!E57/'Price History'!E56-1),"")</f>
        <v>3.8619357953175726E-3</v>
      </c>
      <c r="F56" s="69">
        <f>IFERROR(IF(OR(NOT(ISNUMBER('Price History'!F57)),NOT(ISNUMBER('Price History'!F56)),'Price History'!F56=0),"",'Price History'!F57/'Price History'!F56-1),"")</f>
        <v>3.427787934186477E-2</v>
      </c>
      <c r="G56" s="69">
        <f>IFERROR(IF(OR(NOT(ISNUMBER('Price History'!G57)),NOT(ISNUMBER('Price History'!G56)),'Price History'!G56=0),"",'Price History'!G57/'Price History'!G56-1),"")</f>
        <v>-2.1961932650071958E-3</v>
      </c>
      <c r="H56" s="69">
        <f>IFERROR(IF(OR(NOT(ISNUMBER('Price History'!H57)),NOT(ISNUMBER('Price History'!H56)),'Price History'!H56=0),"",'Price History'!H57/'Price History'!H56-1),"")</f>
        <v>-4.7596999722196554E-2</v>
      </c>
      <c r="I56" s="69">
        <f>IFERROR(IF(OR(NOT(ISNUMBER('Price History'!I57)),NOT(ISNUMBER('Price History'!I56)),'Price History'!I56=0),"",'Price History'!I57/'Price History'!I56-1),"")</f>
        <v>3.8449189275967299E-2</v>
      </c>
      <c r="J56" s="69">
        <f>IFERROR(IF(OR(NOT(ISNUMBER('Price History'!J57)),NOT(ISNUMBER('Price History'!J56)),'Price History'!J56=0),"",'Price History'!J57/'Price History'!J56-1),"")</f>
        <v>4.8921448921449118E-2</v>
      </c>
      <c r="K56" s="69">
        <f>IFERROR(IF(OR(NOT(ISNUMBER('Price History'!K57)),NOT(ISNUMBER('Price History'!K56)),'Price History'!K56=0),"",'Price History'!K57/'Price History'!K56-1),"")</f>
        <v>-9.3516209476308676E-3</v>
      </c>
      <c r="L56" s="69">
        <f>IFERROR(IF(OR(NOT(ISNUMBER('Price History'!L57)),NOT(ISNUMBER('Price History'!L56)),'Price History'!L56=0),"",'Price History'!L57/'Price History'!L56-1),"")</f>
        <v>-1.867766701042739E-2</v>
      </c>
      <c r="M56" s="69">
        <f>IFERROR(IF(OR(NOT(ISNUMBER('Price History'!M57)),NOT(ISNUMBER('Price History'!M56)),'Price History'!M56=0),"",'Price History'!M57/'Price History'!M56-1),"")</f>
        <v>-1.0954419541677196E-2</v>
      </c>
      <c r="N56" s="69">
        <f>IFERROR(IF(OR(NOT(ISNUMBER('Price History'!N57)),NOT(ISNUMBER('Price History'!N56)),'Price History'!N56=0),"",'Price History'!N57/'Price History'!N56-1),"")</f>
        <v>8.1069191612375135E-3</v>
      </c>
      <c r="O56" s="69">
        <f>IFERROR(IF(OR(NOT(ISNUMBER('Price History'!O57)),NOT(ISNUMBER('Price History'!O56)),'Price History'!O56=0),"",'Price History'!O57/'Price History'!O56-1),"")</f>
        <v>3.1085296332150181E-2</v>
      </c>
      <c r="P56" s="69" t="str">
        <f>IFERROR(IF(OR(NOT(ISNUMBER('Price History'!P57)),NOT(ISNUMBER('Price History'!P56)),'Price History'!P56=0),"",'Price History'!P57/'Price History'!P56-1),"")</f>
        <v/>
      </c>
      <c r="Q56" s="69">
        <f>IFERROR(IF(OR(NOT(ISNUMBER('Price History'!Q57)),NOT(ISNUMBER('Price History'!Q56)),'Price History'!Q56=0),"",'Price History'!Q57/'Price History'!Q56-1),"")</f>
        <v>8.0301540478531219E-3</v>
      </c>
      <c r="R56" s="69">
        <f>IFERROR(IF(OR(NOT(ISNUMBER('Price History'!R57)),NOT(ISNUMBER('Price History'!R56)),'Price History'!R56=0),"",'Price History'!R57/'Price History'!R56-1),"")</f>
        <v>8.4190832553787676E-3</v>
      </c>
      <c r="S56" s="69">
        <f>IFERROR(IF(OR(NOT(ISNUMBER('Price History'!S57)),NOT(ISNUMBER('Price History'!S56)),'Price History'!S56=0),"",'Price History'!S57/'Price History'!S56-1),"")</f>
        <v>1.3802466342346387E-2</v>
      </c>
      <c r="T56" s="69">
        <f>IFERROR(IF(OR(NOT(ISNUMBER('Price History'!T57)),NOT(ISNUMBER('Price History'!T56)),'Price History'!T56=0),"",'Price History'!T57/'Price History'!T56-1),"")</f>
        <v>3.277153558052448E-2</v>
      </c>
      <c r="U56" s="69" t="str">
        <f>IFERROR(IF(OR(NOT(ISNUMBER('Price History'!U57)),NOT(ISNUMBER('Price History'!U56)),'Price History'!U56=0),"",'Price History'!U57/'Price History'!U56-1),"")</f>
        <v/>
      </c>
    </row>
    <row r="57" spans="1:21" ht="15" customHeight="1" x14ac:dyDescent="0.2">
      <c r="A57" s="52">
        <f>'Price History'!A58</f>
        <v>45534</v>
      </c>
      <c r="B57" s="69">
        <f>IFERROR(IF(OR(NOT(ISNUMBER('Price History'!B58)),NOT(ISNUMBER('Price History'!B57)),'Price History'!B57=0),"",'Price History'!B58/'Price History'!B57-1),"")</f>
        <v>2.8855454056958552E-2</v>
      </c>
      <c r="C57" s="69">
        <f>IFERROR(IF(OR(NOT(ISNUMBER('Price History'!C58)),NOT(ISNUMBER('Price History'!C57)),'Price History'!C57=0),"",'Price History'!C58/'Price History'!C57-1),"")</f>
        <v>-4.8434332056770391E-3</v>
      </c>
      <c r="D57" s="69">
        <f>IFERROR(IF(OR(NOT(ISNUMBER('Price History'!D58)),NOT(ISNUMBER('Price History'!D57)),'Price History'!D57=0),"",'Price History'!D58/'Price History'!D57-1),"")</f>
        <v>-3.736525362079246E-3</v>
      </c>
      <c r="E57" s="69">
        <f>IFERROR(IF(OR(NOT(ISNUMBER('Price History'!E58)),NOT(ISNUMBER('Price History'!E57)),'Price History'!E57=0),"",'Price History'!E58/'Price History'!E57-1),"")</f>
        <v>-2.1279153642702719E-2</v>
      </c>
      <c r="F57" s="69">
        <f>IFERROR(IF(OR(NOT(ISNUMBER('Price History'!F58)),NOT(ISNUMBER('Price History'!F57)),'Price History'!F57=0),"",'Price History'!F58/'Price History'!F57-1),"")</f>
        <v>2.1063485049344521E-2</v>
      </c>
      <c r="G57" s="69">
        <f>IFERROR(IF(OR(NOT(ISNUMBER('Price History'!G58)),NOT(ISNUMBER('Price History'!G57)),'Price History'!G57=0),"",'Price History'!G58/'Price History'!G57-1),"")</f>
        <v>1.9564685742234911E-3</v>
      </c>
      <c r="H57" s="69">
        <f>IFERROR(IF(OR(NOT(ISNUMBER('Price History'!H58)),NOT(ISNUMBER('Price History'!H57)),'Price History'!H57=0),"",'Price History'!H58/'Price History'!H57-1),"")</f>
        <v>-6.4268351968886694E-2</v>
      </c>
      <c r="I57" s="69">
        <f>IFERROR(IF(OR(NOT(ISNUMBER('Price History'!I58)),NOT(ISNUMBER('Price History'!I57)),'Price History'!I57=0),"",'Price History'!I58/'Price History'!I57-1),"")</f>
        <v>-7.7297673340032458E-2</v>
      </c>
      <c r="J57" s="69">
        <f>IFERROR(IF(OR(NOT(ISNUMBER('Price History'!J58)),NOT(ISNUMBER('Price History'!J57)),'Price History'!J57=0),"",'Price History'!J58/'Price History'!J57-1),"")</f>
        <v>-8.0707744839362272E-3</v>
      </c>
      <c r="K57" s="69">
        <f>IFERROR(IF(OR(NOT(ISNUMBER('Price History'!K58)),NOT(ISNUMBER('Price History'!K57)),'Price History'!K57=0),"",'Price History'!K58/'Price History'!K57-1),"")</f>
        <v>-9.4398993077406956E-3</v>
      </c>
      <c r="L57" s="69">
        <f>IFERROR(IF(OR(NOT(ISNUMBER('Price History'!L58)),NOT(ISNUMBER('Price History'!L57)),'Price History'!L57=0),"",'Price History'!L58/'Price History'!L57-1),"")</f>
        <v>2.4521251751516981E-3</v>
      </c>
      <c r="M57" s="69">
        <f>IFERROR(IF(OR(NOT(ISNUMBER('Price History'!M58)),NOT(ISNUMBER('Price History'!M57)),'Price History'!M57=0),"",'Price History'!M58/'Price History'!M57-1),"")</f>
        <v>5.7033736473583785E-2</v>
      </c>
      <c r="N57" s="69">
        <f>IFERROR(IF(OR(NOT(ISNUMBER('Price History'!N58)),NOT(ISNUMBER('Price History'!N57)),'Price History'!N57=0),"",'Price History'!N58/'Price History'!N57-1),"")</f>
        <v>3.0442191006566421E-2</v>
      </c>
      <c r="O57" s="69">
        <f>IFERROR(IF(OR(NOT(ISNUMBER('Price History'!O58)),NOT(ISNUMBER('Price History'!O57)),'Price History'!O57=0),"",'Price History'!O58/'Price History'!O57-1),"")</f>
        <v>5.2159399123730132E-4</v>
      </c>
      <c r="P57" s="69" t="str">
        <f>IFERROR(IF(OR(NOT(ISNUMBER('Price History'!P58)),NOT(ISNUMBER('Price History'!P57)),'Price History'!P57=0),"",'Price History'!P58/'Price History'!P57-1),"")</f>
        <v/>
      </c>
      <c r="Q57" s="69">
        <f>IFERROR(IF(OR(NOT(ISNUMBER('Price History'!Q58)),NOT(ISNUMBER('Price History'!Q57)),'Price History'!Q57=0),"",'Price History'!Q58/'Price History'!Q57-1),"")</f>
        <v>8.291334742318357E-3</v>
      </c>
      <c r="R57" s="69">
        <f>IFERROR(IF(OR(NOT(ISNUMBER('Price History'!R58)),NOT(ISNUMBER('Price History'!R57)),'Price History'!R57=0),"",'Price History'!R58/'Price History'!R57-1),"")</f>
        <v>3.3395176252319914E-3</v>
      </c>
      <c r="S57" s="69">
        <f>IFERROR(IF(OR(NOT(ISNUMBER('Price History'!S58)),NOT(ISNUMBER('Price History'!S57)),'Price History'!S57=0),"",'Price History'!S58/'Price History'!S57-1),"")</f>
        <v>-4.01740877134249E-3</v>
      </c>
      <c r="T57" s="69">
        <f>IFERROR(IF(OR(NOT(ISNUMBER('Price History'!T58)),NOT(ISNUMBER('Price History'!T57)),'Price History'!T57=0),"",'Price History'!T58/'Price History'!T57-1),"")</f>
        <v>3.3242671501965138E-3</v>
      </c>
      <c r="U57" s="69" t="str">
        <f>IFERROR(IF(OR(NOT(ISNUMBER('Price History'!U58)),NOT(ISNUMBER('Price History'!U57)),'Price History'!U57=0),"",'Price History'!U58/'Price History'!U57-1),"")</f>
        <v/>
      </c>
    </row>
    <row r="58" spans="1:21" ht="15" customHeight="1" x14ac:dyDescent="0.2">
      <c r="A58" s="52">
        <f>'Price History'!A59</f>
        <v>45541</v>
      </c>
      <c r="B58" s="69">
        <f>IFERROR(IF(OR(NOT(ISNUMBER('Price History'!B59)),NOT(ISNUMBER('Price History'!B58)),'Price History'!B58=0),"",'Price History'!B59/'Price History'!B58-1),"")</f>
        <v>-1.9150084434463199E-2</v>
      </c>
      <c r="C58" s="69">
        <f>IFERROR(IF(OR(NOT(ISNUMBER('Price History'!C59)),NOT(ISNUMBER('Price History'!C58)),'Price History'!C58=0),"",'Price History'!C59/'Price History'!C58-1),"")</f>
        <v>-0.11058290888511602</v>
      </c>
      <c r="D58" s="69">
        <f>IFERROR(IF(OR(NOT(ISNUMBER('Price History'!D59)),NOT(ISNUMBER('Price History'!D58)),'Price History'!D58=0),"",'Price History'!D59/'Price History'!D58-1),"")</f>
        <v>-0.16714793056523625</v>
      </c>
      <c r="E58" s="69">
        <f>IFERROR(IF(OR(NOT(ISNUMBER('Price History'!E59)),NOT(ISNUMBER('Price History'!E58)),'Price History'!E58=0),"",'Price History'!E59/'Price History'!E58-1),"")</f>
        <v>-0.1585800270237071</v>
      </c>
      <c r="F58" s="69">
        <f>IFERROR(IF(OR(NOT(ISNUMBER('Price History'!F59)),NOT(ISNUMBER('Price History'!F58)),'Price History'!F58=0),"",'Price History'!F59/'Price History'!F58-1),"")</f>
        <v>-0.11136757068667036</v>
      </c>
      <c r="G58" s="69">
        <f>IFERROR(IF(OR(NOT(ISNUMBER('Price History'!G59)),NOT(ISNUMBER('Price History'!G58)),'Price History'!G58=0),"",'Price History'!G59/'Price History'!G58-1),"")</f>
        <v>-0.14229924334879174</v>
      </c>
      <c r="H58" s="69">
        <f>IFERROR(IF(OR(NOT(ISNUMBER('Price History'!H59)),NOT(ISNUMBER('Price History'!H58)),'Price History'!H58=0),"",'Price History'!H59/'Price History'!H58-1),"")</f>
        <v>-0.10245220282626766</v>
      </c>
      <c r="I58" s="69">
        <f>IFERROR(IF(OR(NOT(ISNUMBER('Price History'!I59)),NOT(ISNUMBER('Price History'!I58)),'Price History'!I58=0),"",'Price History'!I59/'Price History'!I58-1),"")</f>
        <v>-0.13856077741476092</v>
      </c>
      <c r="J58" s="69">
        <f>IFERROR(IF(OR(NOT(ISNUMBER('Price History'!J59)),NOT(ISNUMBER('Price History'!J58)),'Price History'!J58=0),"",'Price History'!J59/'Price History'!J58-1),"")</f>
        <v>-4.6158660616490987E-3</v>
      </c>
      <c r="K58" s="69">
        <f>IFERROR(IF(OR(NOT(ISNUMBER('Price History'!K59)),NOT(ISNUMBER('Price History'!K58)),'Price History'!K58=0),"",'Price History'!K59/'Price History'!K58-1),"")</f>
        <v>-3.6531130876747198E-2</v>
      </c>
      <c r="L58" s="69">
        <f>IFERROR(IF(OR(NOT(ISNUMBER('Price History'!L59)),NOT(ISNUMBER('Price History'!L58)),'Price History'!L58=0),"",'Price History'!L59/'Price History'!L58-1),"")</f>
        <v>-8.6662783925451348E-2</v>
      </c>
      <c r="M58" s="69">
        <f>IFERROR(IF(OR(NOT(ISNUMBER('Price History'!M59)),NOT(ISNUMBER('Price History'!M58)),'Price History'!M58=0),"",'Price History'!M59/'Price History'!M58-1),"")</f>
        <v>-0.13561363362640011</v>
      </c>
      <c r="N58" s="69">
        <f>IFERROR(IF(OR(NOT(ISNUMBER('Price History'!N59)),NOT(ISNUMBER('Price History'!N58)),'Price History'!N58=0),"",'Price History'!N59/'Price History'!N58-1),"")</f>
        <v>-5.624231180302075E-2</v>
      </c>
      <c r="O58" s="69">
        <f>IFERROR(IF(OR(NOT(ISNUMBER('Price History'!O59)),NOT(ISNUMBER('Price History'!O58)),'Price History'!O58=0),"",'Price History'!O59/'Price History'!O58-1),"")</f>
        <v>-5.6615577103534487E-2</v>
      </c>
      <c r="P58" s="69" t="str">
        <f>IFERROR(IF(OR(NOT(ISNUMBER('Price History'!P59)),NOT(ISNUMBER('Price History'!P58)),'Price History'!P58=0),"",'Price History'!P59/'Price History'!P58-1),"")</f>
        <v/>
      </c>
      <c r="Q58" s="69">
        <f>IFERROR(IF(OR(NOT(ISNUMBER('Price History'!Q59)),NOT(ISNUMBER('Price History'!Q58)),'Price History'!Q58=0),"",'Price History'!Q59/'Price History'!Q58-1),"")</f>
        <v>-2.7410512737826576E-3</v>
      </c>
      <c r="R58" s="69">
        <f>IFERROR(IF(OR(NOT(ISNUMBER('Price History'!R59)),NOT(ISNUMBER('Price History'!R58)),'Price History'!R58=0),"",'Price History'!R59/'Price History'!R58-1),"")</f>
        <v>-5.0295857988165715E-2</v>
      </c>
      <c r="S58" s="69">
        <f>IFERROR(IF(OR(NOT(ISNUMBER('Price History'!S59)),NOT(ISNUMBER('Price History'!S58)),'Price History'!S58=0),"",'Price History'!S59/'Price History'!S58-1),"")</f>
        <v>-5.9719887955182016E-2</v>
      </c>
      <c r="T58" s="69">
        <f>IFERROR(IF(OR(NOT(ISNUMBER('Price History'!T59)),NOT(ISNUMBER('Price History'!T58)),'Price History'!T58=0),"",'Price History'!T59/'Price History'!T58-1),"")</f>
        <v>-4.1265060240963991E-2</v>
      </c>
      <c r="U58" s="69" t="str">
        <f>IFERROR(IF(OR(NOT(ISNUMBER('Price History'!U59)),NOT(ISNUMBER('Price History'!U58)),'Price History'!U58=0),"",'Price History'!U59/'Price History'!U58-1),"")</f>
        <v/>
      </c>
    </row>
    <row r="59" spans="1:21" ht="15" customHeight="1" x14ac:dyDescent="0.2">
      <c r="A59" s="52">
        <f>'Price History'!A60</f>
        <v>45548</v>
      </c>
      <c r="B59" s="69">
        <f>IFERROR(IF(OR(NOT(ISNUMBER('Price History'!B60)),NOT(ISNUMBER('Price History'!B59)),'Price History'!B59=0),"",'Price History'!B60/'Price History'!B59-1),"")</f>
        <v>-4.7106015157700409E-2</v>
      </c>
      <c r="C59" s="69">
        <f>IFERROR(IF(OR(NOT(ISNUMBER('Price History'!C60)),NOT(ISNUMBER('Price History'!C59)),'Price History'!C59=0),"",'Price History'!C60/'Price History'!C59-1),"")</f>
        <v>0.1445660473402901</v>
      </c>
      <c r="D59" s="69">
        <f>IFERROR(IF(OR(NOT(ISNUMBER('Price History'!D60)),NOT(ISNUMBER('Price History'!D59)),'Price History'!D59=0),"",'Price History'!D60/'Price History'!D59-1),"")</f>
        <v>8.4445861395608501E-2</v>
      </c>
      <c r="E59" s="69">
        <f>IFERROR(IF(OR(NOT(ISNUMBER('Price History'!E60)),NOT(ISNUMBER('Price History'!E59)),'Price History'!E59=0),"",'Price History'!E60/'Price History'!E59-1),"")</f>
        <v>0.22401459854014605</v>
      </c>
      <c r="F59" s="69">
        <f>IFERROR(IF(OR(NOT(ISNUMBER('Price History'!F60)),NOT(ISNUMBER('Price History'!F59)),'Price History'!F59=0),"",'Price History'!F60/'Price History'!F59-1),"")</f>
        <v>5.1623376623376682E-2</v>
      </c>
      <c r="G59" s="69">
        <f>IFERROR(IF(OR(NOT(ISNUMBER('Price History'!G60)),NOT(ISNUMBER('Price History'!G59)),'Price History'!G59=0),"",'Price History'!G60/'Price History'!G59-1),"")</f>
        <v>6.9294251565167997E-2</v>
      </c>
      <c r="H59" s="69">
        <f>IFERROR(IF(OR(NOT(ISNUMBER('Price History'!H60)),NOT(ISNUMBER('Price History'!H59)),'Price History'!H59=0),"",'Price History'!H60/'Price History'!H59-1),"")</f>
        <v>5.6031488770548865E-2</v>
      </c>
      <c r="I59" s="69">
        <f>IFERROR(IF(OR(NOT(ISNUMBER('Price History'!I60)),NOT(ISNUMBER('Price History'!I59)),'Price History'!I59=0),"",'Price History'!I60/'Price History'!I59-1),"")</f>
        <v>0.15822230866478648</v>
      </c>
      <c r="J59" s="69">
        <f>IFERROR(IF(OR(NOT(ISNUMBER('Price History'!J60)),NOT(ISNUMBER('Price History'!J59)),'Price History'!J59=0),"",'Price History'!J60/'Price History'!J59-1),"")</f>
        <v>2.1614399119704419E-2</v>
      </c>
      <c r="K59" s="69">
        <f>IFERROR(IF(OR(NOT(ISNUMBER('Price History'!K60)),NOT(ISNUMBER('Price History'!K59)),'Price History'!K59=0),"",'Price History'!K60/'Price History'!K59-1),"")</f>
        <v>0.17342565117045838</v>
      </c>
      <c r="L59" s="69">
        <f>IFERROR(IF(OR(NOT(ISNUMBER('Price History'!L60)),NOT(ISNUMBER('Price History'!L59)),'Price History'!L59=0),"",'Price History'!L60/'Price History'!L59-1),"")</f>
        <v>9.9987246524678053E-2</v>
      </c>
      <c r="M59" s="69">
        <f>IFERROR(IF(OR(NOT(ISNUMBER('Price History'!M60)),NOT(ISNUMBER('Price History'!M59)),'Price History'!M59=0),"",'Price History'!M60/'Price History'!M59-1),"")</f>
        <v>0.19492824299846756</v>
      </c>
      <c r="N59" s="69">
        <f>IFERROR(IF(OR(NOT(ISNUMBER('Price History'!N60)),NOT(ISNUMBER('Price History'!N59)),'Price History'!N59=0),"",'Price History'!N60/'Price History'!N59-1),"")</f>
        <v>3.7115384615384661E-2</v>
      </c>
      <c r="O59" s="69">
        <f>IFERROR(IF(OR(NOT(ISNUMBER('Price History'!O60)),NOT(ISNUMBER('Price History'!O59)),'Price History'!O59=0),"",'Price History'!O60/'Price History'!O59-1),"")</f>
        <v>2.8846153846153744E-2</v>
      </c>
      <c r="P59" s="69" t="str">
        <f>IFERROR(IF(OR(NOT(ISNUMBER('Price History'!P60)),NOT(ISNUMBER('Price History'!P59)),'Price History'!P59=0),"",'Price History'!P60/'Price History'!P59-1),"")</f>
        <v/>
      </c>
      <c r="Q59" s="69">
        <f>IFERROR(IF(OR(NOT(ISNUMBER('Price History'!Q60)),NOT(ISNUMBER('Price History'!Q59)),'Price History'!Q59=0),"",'Price History'!Q60/'Price History'!Q59-1),"")</f>
        <v>-8.8924818108326864E-3</v>
      </c>
      <c r="R59" s="69">
        <f>IFERROR(IF(OR(NOT(ISNUMBER('Price History'!R60)),NOT(ISNUMBER('Price History'!R59)),'Price History'!R59=0),"",'Price History'!R60/'Price History'!R59-1),"")</f>
        <v>4.6534267912772487E-2</v>
      </c>
      <c r="S59" s="69">
        <f>IFERROR(IF(OR(NOT(ISNUMBER('Price History'!S60)),NOT(ISNUMBER('Price History'!S59)),'Price History'!S59=0),"",'Price History'!S60/'Price History'!S59-1),"")</f>
        <v>6.1487130600571982E-2</v>
      </c>
      <c r="T59" s="69">
        <f>IFERROR(IF(OR(NOT(ISNUMBER('Price History'!T60)),NOT(ISNUMBER('Price History'!T59)),'Price History'!T59=0),"",'Price History'!T60/'Price History'!T59-1),"")</f>
        <v>2.3562676720075393E-2</v>
      </c>
      <c r="U59" s="69" t="str">
        <f>IFERROR(IF(OR(NOT(ISNUMBER('Price History'!U60)),NOT(ISNUMBER('Price History'!U59)),'Price History'!U59=0),"",'Price History'!U60/'Price History'!U59-1),"")</f>
        <v/>
      </c>
    </row>
    <row r="60" spans="1:21" ht="15" customHeight="1" x14ac:dyDescent="0.2">
      <c r="A60" s="52">
        <f>'Price History'!A61</f>
        <v>45555</v>
      </c>
      <c r="B60" s="69">
        <f>IFERROR(IF(OR(NOT(ISNUMBER('Price History'!B61)),NOT(ISNUMBER('Price History'!B60)),'Price History'!B60=0),"",'Price History'!B61/'Price History'!B60-1),"")</f>
        <v>-2.7138785925829412E-2</v>
      </c>
      <c r="C60" s="69">
        <f>IFERROR(IF(OR(NOT(ISNUMBER('Price History'!C61)),NOT(ISNUMBER('Price History'!C60)),'Price History'!C60=0),"",'Price History'!C61/'Price History'!C60-1),"")</f>
        <v>6.8712474983322336E-2</v>
      </c>
      <c r="D60" s="69">
        <f>IFERROR(IF(OR(NOT(ISNUMBER('Price History'!D61)),NOT(ISNUMBER('Price History'!D60)),'Price History'!D60=0),"",'Price History'!D61/'Price History'!D60-1),"")</f>
        <v>-2.5821941300406714E-2</v>
      </c>
      <c r="E60" s="69">
        <f>IFERROR(IF(OR(NOT(ISNUMBER('Price History'!E61)),NOT(ISNUMBER('Price History'!E60)),'Price History'!E60=0),"",'Price History'!E61/'Price History'!E60-1),"")</f>
        <v>2.0335142226727942E-2</v>
      </c>
      <c r="F60" s="69">
        <f>IFERROR(IF(OR(NOT(ISNUMBER('Price History'!F61)),NOT(ISNUMBER('Price History'!F60)),'Price History'!F60=0),"",'Price History'!F61/'Price History'!F60-1),"")</f>
        <v>0.15714726767520837</v>
      </c>
      <c r="G60" s="69">
        <f>IFERROR(IF(OR(NOT(ISNUMBER('Price History'!G61)),NOT(ISNUMBER('Price History'!G60)),'Price History'!G60=0),"",'Price History'!G61/'Price History'!G60-1),"")</f>
        <v>9.8469727212242564E-3</v>
      </c>
      <c r="H60" s="69">
        <f>IFERROR(IF(OR(NOT(ISNUMBER('Price History'!H61)),NOT(ISNUMBER('Price History'!H60)),'Price History'!H60=0),"",'Price History'!H61/'Price History'!H60-1),"")</f>
        <v>-3.5080026310019274E-3</v>
      </c>
      <c r="I60" s="69">
        <f>IFERROR(IF(OR(NOT(ISNUMBER('Price History'!I61)),NOT(ISNUMBER('Price History'!I60)),'Price History'!I60=0),"",'Price History'!I61/'Price History'!I60-1),"")</f>
        <v>-2.6028547439126748E-2</v>
      </c>
      <c r="J60" s="69">
        <f>IFERROR(IF(OR(NOT(ISNUMBER('Price History'!J61)),NOT(ISNUMBER('Price History'!J60)),'Price History'!J60=0),"",'Price History'!J61/'Price History'!J60-1),"")</f>
        <v>-3.4697645791660237E-2</v>
      </c>
      <c r="K60" s="69">
        <f>IFERROR(IF(OR(NOT(ISNUMBER('Price History'!K61)),NOT(ISNUMBER('Price History'!K60)),'Price History'!K60=0),"",'Price History'!K61/'Price History'!K60-1),"")</f>
        <v>4.5237426243326828E-2</v>
      </c>
      <c r="L60" s="69">
        <f>IFERROR(IF(OR(NOT(ISNUMBER('Price History'!L61)),NOT(ISNUMBER('Price History'!L60)),'Price History'!L60=0),"",'Price History'!L61/'Price History'!L60-1),"")</f>
        <v>9.1594202898550581E-3</v>
      </c>
      <c r="M60" s="69">
        <f>IFERROR(IF(OR(NOT(ISNUMBER('Price History'!M61)),NOT(ISNUMBER('Price History'!M60)),'Price History'!M60=0),"",'Price History'!M61/'Price History'!M60-1),"")</f>
        <v>0.10237873134328357</v>
      </c>
      <c r="N60" s="69">
        <f>IFERROR(IF(OR(NOT(ISNUMBER('Price History'!N61)),NOT(ISNUMBER('Price History'!N60)),'Price History'!N60=0),"",'Price History'!N61/'Price History'!N60-1),"")</f>
        <v>-4.2132805900653048E-2</v>
      </c>
      <c r="O60" s="69">
        <f>IFERROR(IF(OR(NOT(ISNUMBER('Price History'!O61)),NOT(ISNUMBER('Price History'!O60)),'Price History'!O60=0),"",'Price History'!O61/'Price History'!O60-1),"")</f>
        <v>3.0185841658610046E-2</v>
      </c>
      <c r="P60" s="69" t="str">
        <f>IFERROR(IF(OR(NOT(ISNUMBER('Price History'!P61)),NOT(ISNUMBER('Price History'!P60)),'Price History'!P60=0),"",'Price History'!P61/'Price History'!P60-1),"")</f>
        <v/>
      </c>
      <c r="Q60" s="69">
        <f>IFERROR(IF(OR(NOT(ISNUMBER('Price History'!Q61)),NOT(ISNUMBER('Price History'!Q60)),'Price History'!Q60=0),"",'Price History'!Q61/'Price History'!Q60-1),"")</f>
        <v>2.4306688417618405E-2</v>
      </c>
      <c r="R60" s="69">
        <f>IFERROR(IF(OR(NOT(ISNUMBER('Price History'!R61)),NOT(ISNUMBER('Price History'!R60)),'Price History'!R60=0),"",'Price History'!R61/'Price History'!R60-1),"")</f>
        <v>1.2279069767441753E-2</v>
      </c>
      <c r="S60" s="69">
        <f>IFERROR(IF(OR(NOT(ISNUMBER('Price History'!S61)),NOT(ISNUMBER('Price History'!S60)),'Price History'!S60=0),"",'Price History'!S61/'Price History'!S60-1),"")</f>
        <v>1.6277503367759349E-2</v>
      </c>
      <c r="T60" s="69">
        <f>IFERROR(IF(OR(NOT(ISNUMBER('Price History'!T61)),NOT(ISNUMBER('Price History'!T60)),'Price History'!T60=0),"",'Price History'!T61/'Price History'!T60-1),"")</f>
        <v>1.7188459177409632E-2</v>
      </c>
      <c r="U60" s="69" t="str">
        <f>IFERROR(IF(OR(NOT(ISNUMBER('Price History'!U61)),NOT(ISNUMBER('Price History'!U60)),'Price History'!U60=0),"",'Price History'!U61/'Price History'!U60-1),"")</f>
        <v/>
      </c>
    </row>
    <row r="61" spans="1:21" ht="15" customHeight="1" x14ac:dyDescent="0.2">
      <c r="A61" s="52">
        <f>'Price History'!A62</f>
        <v>45562</v>
      </c>
      <c r="B61" s="69">
        <f>IFERROR(IF(OR(NOT(ISNUMBER('Price History'!B62)),NOT(ISNUMBER('Price History'!B61)),'Price History'!B61=0),"",'Price History'!B62/'Price History'!B61-1),"")</f>
        <v>-1.305762971472324E-2</v>
      </c>
      <c r="C61" s="69">
        <f>IFERROR(IF(OR(NOT(ISNUMBER('Price History'!C62)),NOT(ISNUMBER('Price History'!C61)),'Price History'!C61=0),"",'Price History'!C62/'Price History'!C61-1),"")</f>
        <v>-1.0923845193508197E-2</v>
      </c>
      <c r="D61" s="69">
        <f>IFERROR(IF(OR(NOT(ISNUMBER('Price History'!D62)),NOT(ISNUMBER('Price History'!D61)),'Price History'!D61=0),"",'Price History'!D62/'Price History'!D61-1),"")</f>
        <v>5.8168192334775215E-2</v>
      </c>
      <c r="E61" s="69">
        <f>IFERROR(IF(OR(NOT(ISNUMBER('Price History'!E62)),NOT(ISNUMBER('Price History'!E61)),'Price History'!E61=0),"",'Price History'!E62/'Price History'!E61-1),"")</f>
        <v>9.292811221507824E-3</v>
      </c>
      <c r="F61" s="69">
        <f>IFERROR(IF(OR(NOT(ISNUMBER('Price History'!F62)),NOT(ISNUMBER('Price History'!F61)),'Price History'!F61=0),"",'Price History'!F62/'Price History'!F61-1),"")</f>
        <v>-4.6558164354322251E-2</v>
      </c>
      <c r="G61" s="69">
        <f>IFERROR(IF(OR(NOT(ISNUMBER('Price History'!G62)),NOT(ISNUMBER('Price History'!G61)),'Price History'!G61=0),"",'Price History'!G62/'Price History'!G61-1),"")</f>
        <v>3.0965871656344568E-2</v>
      </c>
      <c r="H61" s="69">
        <f>IFERROR(IF(OR(NOT(ISNUMBER('Price History'!H62)),NOT(ISNUMBER('Price History'!H61)),'Price History'!H61=0),"",'Price History'!H62/'Price History'!H61-1),"")</f>
        <v>0.18261826182618246</v>
      </c>
      <c r="I61" s="69">
        <f>IFERROR(IF(OR(NOT(ISNUMBER('Price History'!I62)),NOT(ISNUMBER('Price History'!I61)),'Price History'!I61=0),"",'Price History'!I62/'Price History'!I61-1),"")</f>
        <v>4.6551724137931183E-2</v>
      </c>
      <c r="J61" s="69">
        <f>IFERROR(IF(OR(NOT(ISNUMBER('Price History'!J62)),NOT(ISNUMBER('Price History'!J61)),'Price History'!J61=0),"",'Price History'!J62/'Price History'!J61-1),"")</f>
        <v>9.5640392125617701E-4</v>
      </c>
      <c r="K61" s="69">
        <f>IFERROR(IF(OR(NOT(ISNUMBER('Price History'!K62)),NOT(ISNUMBER('Price History'!K61)),'Price History'!K61=0),"",'Price History'!K62/'Price History'!K61-1),"")</f>
        <v>-9.6774193548386789E-3</v>
      </c>
      <c r="L61" s="69">
        <f>IFERROR(IF(OR(NOT(ISNUMBER('Price History'!L62)),NOT(ISNUMBER('Price History'!L61)),'Price History'!L61=0),"",'Price History'!L62/'Price History'!L61-1),"")</f>
        <v>2.234604779411753E-2</v>
      </c>
      <c r="M61" s="69">
        <f>IFERROR(IF(OR(NOT(ISNUMBER('Price History'!M62)),NOT(ISNUMBER('Price History'!M61)),'Price History'!M61=0),"",'Price History'!M62/'Price History'!M61-1),"")</f>
        <v>4.0935053945419853E-2</v>
      </c>
      <c r="N61" s="69">
        <f>IFERROR(IF(OR(NOT(ISNUMBER('Price History'!N62)),NOT(ISNUMBER('Price History'!N61)),'Price History'!N61=0),"",'Price History'!N62/'Price History'!N61-1),"")</f>
        <v>-4.3878516734062734E-3</v>
      </c>
      <c r="O61" s="69">
        <f>IFERROR(IF(OR(NOT(ISNUMBER('Price History'!O62)),NOT(ISNUMBER('Price History'!O61)),'Price History'!O61=0),"",'Price History'!O62/'Price History'!O61-1),"")</f>
        <v>-3.5453597497393519E-3</v>
      </c>
      <c r="P61" s="69" t="str">
        <f>IFERROR(IF(OR(NOT(ISNUMBER('Price History'!P62)),NOT(ISNUMBER('Price History'!P61)),'Price History'!P61=0),"",'Price History'!P62/'Price History'!P61-1),"")</f>
        <v/>
      </c>
      <c r="Q61" s="69">
        <f>IFERROR(IF(OR(NOT(ISNUMBER('Price History'!Q62)),NOT(ISNUMBER('Price History'!Q61)),'Price History'!Q61=0),"",'Price History'!Q62/'Price History'!Q61-1),"")</f>
        <v>-9.5556617295747825E-3</v>
      </c>
      <c r="R61" s="69">
        <f>IFERROR(IF(OR(NOT(ISNUMBER('Price History'!R62)),NOT(ISNUMBER('Price History'!R61)),'Price History'!R61=0),"",'Price History'!R62/'Price History'!R61-1),"")</f>
        <v>7.1678000367578765E-3</v>
      </c>
      <c r="S61" s="69">
        <f>IFERROR(IF(OR(NOT(ISNUMBER('Price History'!S62)),NOT(ISNUMBER('Price History'!S61)),'Price History'!S61=0),"",'Price History'!S62/'Price History'!S61-1),"")</f>
        <v>-2.0987517949850876E-3</v>
      </c>
      <c r="T61" s="69">
        <f>IFERROR(IF(OR(NOT(ISNUMBER('Price History'!T62)),NOT(ISNUMBER('Price History'!T61)),'Price History'!T61=0),"",'Price History'!T62/'Price History'!T61-1),"")</f>
        <v>2.1122510561255581E-3</v>
      </c>
      <c r="U61" s="69" t="str">
        <f>IFERROR(IF(OR(NOT(ISNUMBER('Price History'!U62)),NOT(ISNUMBER('Price History'!U61)),'Price History'!U61=0),"",'Price History'!U62/'Price History'!U61-1),"")</f>
        <v/>
      </c>
    </row>
    <row r="62" spans="1:21" ht="15" customHeight="1" x14ac:dyDescent="0.2">
      <c r="A62" s="52">
        <f>'Price History'!A63</f>
        <v>45569</v>
      </c>
      <c r="B62" s="69">
        <f>IFERROR(IF(OR(NOT(ISNUMBER('Price History'!B63)),NOT(ISNUMBER('Price History'!B62)),'Price History'!B62=0),"",'Price History'!B63/'Price History'!B62-1),"")</f>
        <v>-1.6023900054318307E-2</v>
      </c>
      <c r="C62" s="69">
        <f>IFERROR(IF(OR(NOT(ISNUMBER('Price History'!C63)),NOT(ISNUMBER('Price History'!C62)),'Price History'!C62=0),"",'Price History'!C63/'Price History'!C62-1),"")</f>
        <v>4.1232775849374237E-2</v>
      </c>
      <c r="D62" s="69">
        <f>IFERROR(IF(OR(NOT(ISNUMBER('Price History'!D63)),NOT(ISNUMBER('Price History'!D62)),'Price History'!D62=0),"",'Price History'!D63/'Price History'!D62-1),"")</f>
        <v>-1.0148061886541271E-2</v>
      </c>
      <c r="E62" s="69">
        <f>IFERROR(IF(OR(NOT(ISNUMBER('Price History'!E63)),NOT(ISNUMBER('Price History'!E62)),'Price History'!E62=0),"",'Price History'!E63/'Price History'!E62-1),"")</f>
        <v>2.2873356882274543E-2</v>
      </c>
      <c r="F62" s="69">
        <f>IFERROR(IF(OR(NOT(ISNUMBER('Price History'!F63)),NOT(ISNUMBER('Price History'!F62)),'Price History'!F62=0),"",'Price History'!F63/'Price History'!F62-1),"")</f>
        <v>2.224709668392344E-2</v>
      </c>
      <c r="G62" s="69">
        <f>IFERROR(IF(OR(NOT(ISNUMBER('Price History'!G63)),NOT(ISNUMBER('Price History'!G62)),'Price History'!G62=0),"",'Price History'!G63/'Price History'!G62-1),"")</f>
        <v>6.3905930470347094E-3</v>
      </c>
      <c r="H62" s="69">
        <f>IFERROR(IF(OR(NOT(ISNUMBER('Price History'!H63)),NOT(ISNUMBER('Price History'!H62)),'Price History'!H62=0),"",'Price History'!H63/'Price History'!H62-1),"")</f>
        <v>-4.8837209302325602E-2</v>
      </c>
      <c r="I62" s="69">
        <f>IFERROR(IF(OR(NOT(ISNUMBER('Price History'!I63)),NOT(ISNUMBER('Price History'!I62)),'Price History'!I62=0),"",'Price History'!I63/'Price History'!I62-1),"")</f>
        <v>2.8995057660625934E-2</v>
      </c>
      <c r="J62" s="69">
        <f>IFERROR(IF(OR(NOT(ISNUMBER('Price History'!J63)),NOT(ISNUMBER('Price History'!J62)),'Price History'!J62=0),"",'Price History'!J63/'Price History'!J62-1),"")</f>
        <v>-2.5240863126045121E-2</v>
      </c>
      <c r="K62" s="69">
        <f>IFERROR(IF(OR(NOT(ISNUMBER('Price History'!K63)),NOT(ISNUMBER('Price History'!K62)),'Price History'!K62=0),"",'Price History'!K63/'Price History'!K62-1),"")</f>
        <v>8.6047774158523271E-2</v>
      </c>
      <c r="L62" s="69">
        <f>IFERROR(IF(OR(NOT(ISNUMBER('Price History'!L63)),NOT(ISNUMBER('Price History'!L62)),'Price History'!L62=0),"",'Price History'!L63/'Price History'!L62-1),"")</f>
        <v>1.792436927572072E-2</v>
      </c>
      <c r="M62" s="69">
        <f>IFERROR(IF(OR(NOT(ISNUMBER('Price History'!M63)),NOT(ISNUMBER('Price History'!M62)),'Price History'!M62=0),"",'Price History'!M63/'Price History'!M62-1),"")</f>
        <v>6.8997053145005705E-2</v>
      </c>
      <c r="N62" s="69">
        <f>IFERROR(IF(OR(NOT(ISNUMBER('Price History'!N63)),NOT(ISNUMBER('Price History'!N62)),'Price History'!N62=0),"",'Price History'!N63/'Price History'!N62-1),"")</f>
        <v>-1.6354130660214294E-2</v>
      </c>
      <c r="O62" s="69">
        <f>IFERROR(IF(OR(NOT(ISNUMBER('Price History'!O63)),NOT(ISNUMBER('Price History'!O62)),'Price History'!O62=0),"",'Price History'!O63/'Price History'!O62-1),"")</f>
        <v>2.8254499790707488E-3</v>
      </c>
      <c r="P62" s="69" t="str">
        <f>IFERROR(IF(OR(NOT(ISNUMBER('Price History'!P63)),NOT(ISNUMBER('Price History'!P62)),'Price History'!P62=0),"",'Price History'!P63/'Price History'!P62-1),"")</f>
        <v/>
      </c>
      <c r="Q62" s="69">
        <f>IFERROR(IF(OR(NOT(ISNUMBER('Price History'!Q63)),NOT(ISNUMBER('Price History'!Q62)),'Price History'!Q62=0),"",'Price History'!Q63/'Price History'!Q62-1),"")</f>
        <v>7.5574851262261156E-3</v>
      </c>
      <c r="R62" s="69">
        <f>IFERROR(IF(OR(NOT(ISNUMBER('Price History'!R63)),NOT(ISNUMBER('Price History'!R62)),'Price History'!R62=0),"",'Price History'!R63/'Price History'!R62-1),"")</f>
        <v>-7.8467153284671465E-3</v>
      </c>
      <c r="S62" s="69">
        <f>IFERROR(IF(OR(NOT(ISNUMBER('Price History'!S63)),NOT(ISNUMBER('Price History'!S62)),'Price History'!S62=0),"",'Price History'!S63/'Price History'!S62-1),"")</f>
        <v>1.4943546601726698E-2</v>
      </c>
      <c r="T62" s="69">
        <f>IFERROR(IF(OR(NOT(ISNUMBER('Price History'!T63)),NOT(ISNUMBER('Price History'!T62)),'Price History'!T62=0),"",'Price History'!T63/'Price History'!T62-1),"")</f>
        <v>1.866907557964459E-2</v>
      </c>
      <c r="U62" s="69" t="str">
        <f>IFERROR(IF(OR(NOT(ISNUMBER('Price History'!U63)),NOT(ISNUMBER('Price History'!U62)),'Price History'!U62=0),"",'Price History'!U63/'Price History'!U62-1),"")</f>
        <v/>
      </c>
    </row>
    <row r="63" spans="1:21" ht="15" customHeight="1" x14ac:dyDescent="0.2">
      <c r="A63" s="52">
        <f>'Price History'!A64</f>
        <v>45576</v>
      </c>
      <c r="B63" s="69">
        <f>IFERROR(IF(OR(NOT(ISNUMBER('Price History'!B64)),NOT(ISNUMBER('Price History'!B63)),'Price History'!B63=0),"",'Price History'!B64/'Price History'!B63-1),"")</f>
        <v>-2.3264066874334577E-2</v>
      </c>
      <c r="C63" s="69">
        <f>IFERROR(IF(OR(NOT(ISNUMBER('Price History'!C64)),NOT(ISNUMBER('Price History'!C63)),'Price History'!C63=0),"",'Price History'!C64/'Price History'!C63-1),"")</f>
        <v>5.2934639862612487E-2</v>
      </c>
      <c r="D63" s="69">
        <f>IFERROR(IF(OR(NOT(ISNUMBER('Price History'!D64)),NOT(ISNUMBER('Price History'!D63)),'Price History'!D63=0),"",'Price History'!D64/'Price History'!D63-1),"")</f>
        <v>9.2316926770708019E-3</v>
      </c>
      <c r="E63" s="69">
        <f>IFERROR(IF(OR(NOT(ISNUMBER('Price History'!E64)),NOT(ISNUMBER('Price History'!E63)),'Price History'!E63=0),"",'Price History'!E64/'Price History'!E63-1),"")</f>
        <v>2.7400362318840576E-2</v>
      </c>
      <c r="F63" s="69">
        <f>IFERROR(IF(OR(NOT(ISNUMBER('Price History'!F64)),NOT(ISNUMBER('Price History'!F63)),'Price History'!F63=0),"",'Price History'!F64/'Price History'!F63-1),"")</f>
        <v>9.5674787845606346E-2</v>
      </c>
      <c r="G63" s="69">
        <f>IFERROR(IF(OR(NOT(ISNUMBER('Price History'!G64)),NOT(ISNUMBER('Price History'!G63)),'Price History'!G63=0),"",'Price History'!G64/'Price History'!G63-1),"")</f>
        <v>2.0701041402082954E-2</v>
      </c>
      <c r="H63" s="69">
        <f>IFERROR(IF(OR(NOT(ISNUMBER('Price History'!H64)),NOT(ISNUMBER('Price History'!H63)),'Price History'!H63=0),"",'Price History'!H64/'Price History'!H63-1),"")</f>
        <v>4.5672371638141751E-2</v>
      </c>
      <c r="I63" s="69">
        <f>IFERROR(IF(OR(NOT(ISNUMBER('Price History'!I64)),NOT(ISNUMBER('Price History'!I63)),'Price History'!I63=0),"",'Price History'!I64/'Price History'!I63-1),"")</f>
        <v>7.9090617995517309E-2</v>
      </c>
      <c r="J63" s="69">
        <f>IFERROR(IF(OR(NOT(ISNUMBER('Price History'!J64)),NOT(ISNUMBER('Price History'!J63)),'Price History'!J63=0),"",'Price History'!J64/'Price History'!J63-1),"")</f>
        <v>-1.7807547786309441E-2</v>
      </c>
      <c r="K63" s="69">
        <f>IFERROR(IF(OR(NOT(ISNUMBER('Price History'!K64)),NOT(ISNUMBER('Price History'!K63)),'Price History'!K63=0),"",'Price History'!K64/'Price History'!K63-1),"")</f>
        <v>8.7478130467383064E-2</v>
      </c>
      <c r="L63" s="69">
        <f>IFERROR(IF(OR(NOT(ISNUMBER('Price History'!L64)),NOT(ISNUMBER('Price History'!L63)),'Price History'!L63=0),"",'Price History'!L64/'Price History'!L63-1),"")</f>
        <v>5.32678295429454E-2</v>
      </c>
      <c r="M63" s="69">
        <f>IFERROR(IF(OR(NOT(ISNUMBER('Price History'!M64)),NOT(ISNUMBER('Price History'!M63)),'Price History'!M63=0),"",'Price History'!M64/'Price History'!M63-1),"")</f>
        <v>6.3117870722433356E-2</v>
      </c>
      <c r="N63" s="69">
        <f>IFERROR(IF(OR(NOT(ISNUMBER('Price History'!N64)),NOT(ISNUMBER('Price History'!N63)),'Price History'!N63=0),"",'Price History'!N64/'Price History'!N63-1),"")</f>
        <v>5.7982473479607277E-2</v>
      </c>
      <c r="O63" s="69">
        <f>IFERROR(IF(OR(NOT(ISNUMBER('Price History'!O64)),NOT(ISNUMBER('Price History'!O63)),'Price History'!O63=0),"",'Price History'!O64/'Price History'!O63-1),"")</f>
        <v>1.1896065950119938E-2</v>
      </c>
      <c r="P63" s="69" t="str">
        <f>IFERROR(IF(OR(NOT(ISNUMBER('Price History'!P64)),NOT(ISNUMBER('Price History'!P63)),'Price History'!P63=0),"",'Price History'!P64/'Price History'!P63-1),"")</f>
        <v/>
      </c>
      <c r="Q63" s="69">
        <f>IFERROR(IF(OR(NOT(ISNUMBER('Price History'!Q64)),NOT(ISNUMBER('Price History'!Q63)),'Price History'!Q63=0),"",'Price History'!Q64/'Price History'!Q63-1),"")</f>
        <v>6.0644749441429724E-3</v>
      </c>
      <c r="R63" s="69">
        <f>IFERROR(IF(OR(NOT(ISNUMBER('Price History'!R64)),NOT(ISNUMBER('Price History'!R63)),'Price History'!R63=0),"",'Price History'!R64/'Price History'!R63-1),"")</f>
        <v>9.0123229722274267E-3</v>
      </c>
      <c r="S63" s="69">
        <f>IFERROR(IF(OR(NOT(ISNUMBER('Price History'!S64)),NOT(ISNUMBER('Price History'!S63)),'Price History'!S63=0),"",'Price History'!S64/'Price History'!S63-1),"")</f>
        <v>2.1594503217363004E-2</v>
      </c>
      <c r="T63" s="69">
        <f>IFERROR(IF(OR(NOT(ISNUMBER('Price History'!T64)),NOT(ISNUMBER('Price History'!T63)),'Price History'!T63=0),"",'Price History'!T64/'Price History'!T63-1),"")</f>
        <v>3.547147502217074E-3</v>
      </c>
      <c r="U63" s="69" t="str">
        <f>IFERROR(IF(OR(NOT(ISNUMBER('Price History'!U64)),NOT(ISNUMBER('Price History'!U63)),'Price History'!U63=0),"",'Price History'!U64/'Price History'!U63-1),"")</f>
        <v/>
      </c>
    </row>
    <row r="64" spans="1:21" ht="15" customHeight="1" x14ac:dyDescent="0.2">
      <c r="A64" s="52">
        <f>'Price History'!A65</f>
        <v>45583</v>
      </c>
      <c r="B64" s="69">
        <f>IFERROR(IF(OR(NOT(ISNUMBER('Price History'!B65)),NOT(ISNUMBER('Price History'!B64)),'Price History'!B64=0),"",'Price History'!B65/'Price History'!B64-1),"")</f>
        <v>-1.049614468531801E-3</v>
      </c>
      <c r="C64" s="69">
        <f>IFERROR(IF(OR(NOT(ISNUMBER('Price History'!C65)),NOT(ISNUMBER('Price History'!C64)),'Price History'!C64=0),"",'Price History'!C65/'Price History'!C64-1),"")</f>
        <v>-3.5786241964885335E-2</v>
      </c>
      <c r="D64" s="69">
        <f>IFERROR(IF(OR(NOT(ISNUMBER('Price History'!D65)),NOT(ISNUMBER('Price History'!D64)),'Price History'!D64=0),"",'Price History'!D65/'Price History'!D64-1),"")</f>
        <v>-0.13968287953942604</v>
      </c>
      <c r="E64" s="69">
        <f>IFERROR(IF(OR(NOT(ISNUMBER('Price History'!E65)),NOT(ISNUMBER('Price History'!E64)),'Price History'!E64=0),"",'Price History'!E65/'Price History'!E64-1),"")</f>
        <v>-8.7612960105797333E-3</v>
      </c>
      <c r="F64" s="69">
        <f>IFERROR(IF(OR(NOT(ISNUMBER('Price History'!F65)),NOT(ISNUMBER('Price History'!F64)),'Price History'!F64=0),"",'Price History'!F65/'Price History'!F64-1),"")</f>
        <v>-3.1355402873204152E-2</v>
      </c>
      <c r="G64" s="69">
        <f>IFERROR(IF(OR(NOT(ISNUMBER('Price History'!G65)),NOT(ISNUMBER('Price History'!G64)),'Price History'!G64=0),"",'Price History'!G65/'Price History'!G64-1),"")</f>
        <v>-0.15577951972128912</v>
      </c>
      <c r="H64" s="69">
        <f>IFERROR(IF(OR(NOT(ISNUMBER('Price History'!H65)),NOT(ISNUMBER('Price History'!H64)),'Price History'!H64=0),"",'Price History'!H65/'Price History'!H64-1),"")</f>
        <v>3.9562289562289576E-2</v>
      </c>
      <c r="I64" s="69">
        <f>IFERROR(IF(OR(NOT(ISNUMBER('Price History'!I65)),NOT(ISNUMBER('Price History'!I64)),'Price History'!I64=0),"",'Price History'!I65/'Price History'!I64-1),"")</f>
        <v>2.3738872403560762E-2</v>
      </c>
      <c r="J64" s="69">
        <f>IFERROR(IF(OR(NOT(ISNUMBER('Price History'!J65)),NOT(ISNUMBER('Price History'!J64)),'Price History'!J64=0),"",'Price History'!J65/'Price History'!J64-1),"")</f>
        <v>1.8795741849634062E-2</v>
      </c>
      <c r="K64" s="69">
        <f>IFERROR(IF(OR(NOT(ISNUMBER('Price History'!K65)),NOT(ISNUMBER('Price History'!K64)),'Price History'!K64=0),"",'Price History'!K65/'Price History'!K64-1),"")</f>
        <v>-1.2410940013789951E-2</v>
      </c>
      <c r="L64" s="69">
        <f>IFERROR(IF(OR(NOT(ISNUMBER('Price History'!L65)),NOT(ISNUMBER('Price History'!L64)),'Price History'!L64=0),"",'Price History'!L65/'Price History'!L64-1),"")</f>
        <v>5.225093024474603E-2</v>
      </c>
      <c r="M64" s="69">
        <f>IFERROR(IF(OR(NOT(ISNUMBER('Price History'!M65)),NOT(ISNUMBER('Price History'!M64)),'Price History'!M64=0),"",'Price History'!M65/'Price History'!M64-1),"")</f>
        <v>3.6659513590844295E-3</v>
      </c>
      <c r="N64" s="69">
        <f>IFERROR(IF(OR(NOT(ISNUMBER('Price History'!N65)),NOT(ISNUMBER('Price History'!N64)),'Price History'!N64=0),"",'Price History'!N65/'Price History'!N64-1),"")</f>
        <v>2.6779597683252998E-3</v>
      </c>
      <c r="O64" s="69">
        <f>IFERROR(IF(OR(NOT(ISNUMBER('Price History'!O65)),NOT(ISNUMBER('Price History'!O64)),'Price History'!O64=0),"",'Price History'!O65/'Price History'!O64-1),"")</f>
        <v>1.2581210683716648E-2</v>
      </c>
      <c r="P64" s="69" t="str">
        <f>IFERROR(IF(OR(NOT(ISNUMBER('Price History'!P65)),NOT(ISNUMBER('Price History'!P64)),'Price History'!P64=0),"",'Price History'!P65/'Price History'!P64-1),"")</f>
        <v/>
      </c>
      <c r="Q64" s="69">
        <f>IFERROR(IF(OR(NOT(ISNUMBER('Price History'!Q65)),NOT(ISNUMBER('Price History'!Q64)),'Price History'!Q64=0),"",'Price History'!Q65/'Price History'!Q64-1),"")</f>
        <v>3.8071065989848663E-3</v>
      </c>
      <c r="R64" s="69">
        <f>IFERROR(IF(OR(NOT(ISNUMBER('Price History'!R65)),NOT(ISNUMBER('Price History'!R64)),'Price History'!R64=0),"",'Price History'!R65/'Price History'!R64-1),"")</f>
        <v>7.4735690849434544E-3</v>
      </c>
      <c r="S64" s="69">
        <f>IFERROR(IF(OR(NOT(ISNUMBER('Price History'!S65)),NOT(ISNUMBER('Price History'!S64)),'Price History'!S64=0),"",'Price History'!S65/'Price History'!S64-1),"")</f>
        <v>4.2703106651007516E-3</v>
      </c>
      <c r="T64" s="69">
        <f>IFERROR(IF(OR(NOT(ISNUMBER('Price History'!T65)),NOT(ISNUMBER('Price History'!T64)),'Price History'!T64=0),"",'Price History'!T65/'Price History'!T64-1),"")</f>
        <v>-4.7128129602357349E-3</v>
      </c>
      <c r="U64" s="69" t="str">
        <f>IFERROR(IF(OR(NOT(ISNUMBER('Price History'!U65)),NOT(ISNUMBER('Price History'!U64)),'Price History'!U64=0),"",'Price History'!U65/'Price History'!U64-1),"")</f>
        <v/>
      </c>
    </row>
    <row r="65" spans="1:21" ht="15" customHeight="1" x14ac:dyDescent="0.2">
      <c r="A65" s="52">
        <f>'Price History'!A66</f>
        <v>45590</v>
      </c>
      <c r="B65" s="69">
        <f>IFERROR(IF(OR(NOT(ISNUMBER('Price History'!B66)),NOT(ISNUMBER('Price History'!B65)),'Price History'!B65=0),"",'Price History'!B66/'Price History'!B65-1),"")</f>
        <v>-2.2590422307536828E-2</v>
      </c>
      <c r="C65" s="69">
        <f>IFERROR(IF(OR(NOT(ISNUMBER('Price History'!C66)),NOT(ISNUMBER('Price History'!C65)),'Price History'!C65=0),"",'Price History'!C66/'Price History'!C65-1),"")</f>
        <v>-1.9701492537313459E-2</v>
      </c>
      <c r="D65" s="69">
        <f>IFERROR(IF(OR(NOT(ISNUMBER('Price History'!D66)),NOT(ISNUMBER('Price History'!D65)),'Price History'!D65=0),"",'Price History'!D66/'Price History'!D65-1),"")</f>
        <v>-1.5983187235572238E-2</v>
      </c>
      <c r="E65" s="69">
        <f>IFERROR(IF(OR(NOT(ISNUMBER('Price History'!E66)),NOT(ISNUMBER('Price History'!E65)),'Price History'!E65=0),"",'Price History'!E66/'Price History'!E65-1),"")</f>
        <v>-3.8301184056923621E-2</v>
      </c>
      <c r="F65" s="69">
        <f>IFERROR(IF(OR(NOT(ISNUMBER('Price History'!F66)),NOT(ISNUMBER('Price History'!F65)),'Price History'!F65=0),"",'Price History'!F66/'Price History'!F65-1),"")</f>
        <v>-3.0693835439773109E-2</v>
      </c>
      <c r="G65" s="69">
        <f>IFERROR(IF(OR(NOT(ISNUMBER('Price History'!G66)),NOT(ISNUMBER('Price History'!G65)),'Price History'!G65=0),"",'Price History'!G66/'Price History'!G65-1),"")</f>
        <v>-7.9587324981575946E-3</v>
      </c>
      <c r="H65" s="69">
        <f>IFERROR(IF(OR(NOT(ISNUMBER('Price History'!H66)),NOT(ISNUMBER('Price History'!H65)),'Price History'!H65=0),"",'Price History'!H66/'Price History'!H65-1),"")</f>
        <v>-2.9149797570850233E-2</v>
      </c>
      <c r="I65" s="69">
        <f>IFERROR(IF(OR(NOT(ISNUMBER('Price History'!I66)),NOT(ISNUMBER('Price History'!I65)),'Price History'!I65=0),"",'Price History'!I66/'Price History'!I65-1),"")</f>
        <v>2.565217391304353E-2</v>
      </c>
      <c r="J65" s="69">
        <f>IFERROR(IF(OR(NOT(ISNUMBER('Price History'!J66)),NOT(ISNUMBER('Price History'!J65)),'Price History'!J65=0),"",'Price History'!J66/'Price History'!J65-1),"")</f>
        <v>-4.0489795918367322E-2</v>
      </c>
      <c r="K65" s="69">
        <f>IFERROR(IF(OR(NOT(ISNUMBER('Price History'!K66)),NOT(ISNUMBER('Price History'!K65)),'Price History'!K65=0),"",'Price History'!K66/'Price History'!K65-1),"")</f>
        <v>4.3984175005818082E-2</v>
      </c>
      <c r="L65" s="69">
        <f>IFERROR(IF(OR(NOT(ISNUMBER('Price History'!L66)),NOT(ISNUMBER('Price History'!L65)),'Price History'!L65=0),"",'Price History'!L66/'Price History'!L65-1),"")</f>
        <v>1.3248331507122124E-2</v>
      </c>
      <c r="M65" s="69">
        <f>IFERROR(IF(OR(NOT(ISNUMBER('Price History'!M66)),NOT(ISNUMBER('Price History'!M65)),'Price History'!M65=0),"",'Price History'!M66/'Price History'!M65-1),"")</f>
        <v>-7.1269487750558191E-4</v>
      </c>
      <c r="N65" s="69">
        <f>IFERROR(IF(OR(NOT(ISNUMBER('Price History'!N66)),NOT(ISNUMBER('Price History'!N65)),'Price History'!N65=0),"",'Price History'!N66/'Price History'!N65-1),"")</f>
        <v>-1.0973084886128359E-2</v>
      </c>
      <c r="O65" s="69">
        <f>IFERROR(IF(OR(NOT(ISNUMBER('Price History'!O66)),NOT(ISNUMBER('Price History'!O65)),'Price History'!O65=0),"",'Price History'!O66/'Price History'!O65-1),"")</f>
        <v>-3.3302780323861914E-2</v>
      </c>
      <c r="P65" s="69" t="str">
        <f>IFERROR(IF(OR(NOT(ISNUMBER('Price History'!P66)),NOT(ISNUMBER('Price History'!P65)),'Price History'!P65=0),"",'Price History'!P66/'Price History'!P65-1),"")</f>
        <v/>
      </c>
      <c r="Q65" s="69">
        <f>IFERROR(IF(OR(NOT(ISNUMBER('Price History'!Q66)),NOT(ISNUMBER('Price History'!Q65)),'Price History'!Q65=0),"",'Price History'!Q66/'Price History'!Q65-1),"")</f>
        <v>-1.7383059418457636E-3</v>
      </c>
      <c r="R65" s="69">
        <f>IFERROR(IF(OR(NOT(ISNUMBER('Price History'!R66)),NOT(ISNUMBER('Price History'!R65)),'Price History'!R65=0),"",'Price History'!R66/'Price History'!R65-1),"")</f>
        <v>2.3520897412701025E-3</v>
      </c>
      <c r="S65" s="69">
        <f>IFERROR(IF(OR(NOT(ISNUMBER('Price History'!S66)),NOT(ISNUMBER('Price History'!S65)),'Price History'!S65=0),"",'Price History'!S66/'Price History'!S65-1),"")</f>
        <v>-1.4669926650366705E-2</v>
      </c>
      <c r="T65" s="69">
        <f>IFERROR(IF(OR(NOT(ISNUMBER('Price History'!T66)),NOT(ISNUMBER('Price History'!T65)),'Price History'!T65=0),"",'Price History'!T66/'Price History'!T65-1),"")</f>
        <v>-1.9236460491269591E-2</v>
      </c>
      <c r="U65" s="69" t="str">
        <f>IFERROR(IF(OR(NOT(ISNUMBER('Price History'!U66)),NOT(ISNUMBER('Price History'!U65)),'Price History'!U65=0),"",'Price History'!U66/'Price History'!U65-1),"")</f>
        <v/>
      </c>
    </row>
    <row r="66" spans="1:21" ht="15" customHeight="1" x14ac:dyDescent="0.2">
      <c r="A66" s="52">
        <f>'Price History'!A67</f>
        <v>45597</v>
      </c>
      <c r="B66" s="69">
        <f>IFERROR(IF(OR(NOT(ISNUMBER('Price History'!B67)),NOT(ISNUMBER('Price History'!B66)),'Price History'!B66=0),"",'Price History'!B67/'Price History'!B66-1),"")</f>
        <v>-1.901926734474535E-3</v>
      </c>
      <c r="C66" s="69">
        <f>IFERROR(IF(OR(NOT(ISNUMBER('Price History'!C67)),NOT(ISNUMBER('Price History'!C66)),'Price History'!C66=0),"",'Price History'!C67/'Price History'!C66-1),"")</f>
        <v>2.0300446609833322E-4</v>
      </c>
      <c r="D66" s="69">
        <f>IFERROR(IF(OR(NOT(ISNUMBER('Price History'!D67)),NOT(ISNUMBER('Price History'!D66)),'Price History'!D66=0),"",'Price History'!D67/'Price History'!D66-1),"")</f>
        <v>-5.1946044681748016E-2</v>
      </c>
      <c r="E66" s="69">
        <f>IFERROR(IF(OR(NOT(ISNUMBER('Price History'!E67)),NOT(ISNUMBER('Price History'!E66)),'Price History'!E66=0),"",'Price History'!E67/'Price History'!E66-1),"")</f>
        <v>-2.3583815028901833E-2</v>
      </c>
      <c r="F66" s="69">
        <f>IFERROR(IF(OR(NOT(ISNUMBER('Price History'!F67)),NOT(ISNUMBER('Price History'!F66)),'Price History'!F66=0),"",'Price History'!F67/'Price History'!F66-1),"")</f>
        <v>8.2490686535392488E-3</v>
      </c>
      <c r="G66" s="69">
        <f>IFERROR(IF(OR(NOT(ISNUMBER('Price History'!G67)),NOT(ISNUMBER('Price History'!G66)),'Price History'!G66=0),"",'Price History'!G67/'Price History'!G66-1),"")</f>
        <v>-5.4969543901353113E-3</v>
      </c>
      <c r="H66" s="69">
        <f>IFERROR(IF(OR(NOT(ISNUMBER('Price History'!H67)),NOT(ISNUMBER('Price History'!H66)),'Price History'!H66=0),"",'Price History'!H67/'Price History'!H66-1),"")</f>
        <v>-7.5803910666295882E-2</v>
      </c>
      <c r="I66" s="69">
        <f>IFERROR(IF(OR(NOT(ISNUMBER('Price History'!I67)),NOT(ISNUMBER('Price History'!I66)),'Price History'!I66=0),"",'Price History'!I67/'Price History'!I66-1),"")</f>
        <v>-4.3379963261268806E-2</v>
      </c>
      <c r="J66" s="69">
        <f>IFERROR(IF(OR(NOT(ISNUMBER('Price History'!J67)),NOT(ISNUMBER('Price History'!J66)),'Price History'!J66=0),"",'Price History'!J67/'Price History'!J66-1),"")</f>
        <v>-3.5222052067381271E-2</v>
      </c>
      <c r="K66" s="69">
        <f>IFERROR(IF(OR(NOT(ISNUMBER('Price History'!K67)),NOT(ISNUMBER('Price History'!K66)),'Price History'!K66=0),"",'Price History'!K67/'Price History'!K66-1),"")</f>
        <v>-6.553722692822106E-2</v>
      </c>
      <c r="L66" s="69">
        <f>IFERROR(IF(OR(NOT(ISNUMBER('Price History'!L67)),NOT(ISNUMBER('Price History'!L66)),'Price History'!L66=0),"",'Price History'!L67/'Price History'!L66-1),"")</f>
        <v>-5.1563114431773527E-2</v>
      </c>
      <c r="M66" s="69">
        <f>IFERROR(IF(OR(NOT(ISNUMBER('Price History'!M67)),NOT(ISNUMBER('Price History'!M66)),'Price History'!M66=0),"",'Price History'!M67/'Price History'!M66-1),"")</f>
        <v>-4.6982259071052801E-2</v>
      </c>
      <c r="N66" s="69">
        <f>IFERROR(IF(OR(NOT(ISNUMBER('Price History'!N67)),NOT(ISNUMBER('Price History'!N66)),'Price History'!N66=0),"",'Price History'!N67/'Price History'!N66-1),"")</f>
        <v>-1.3774335356918521E-2</v>
      </c>
      <c r="O66" s="69">
        <f>IFERROR(IF(OR(NOT(ISNUMBER('Price History'!O67)),NOT(ISNUMBER('Price History'!O66)),'Price History'!O66=0),"",'Price History'!O67/'Price History'!O66-1),"")</f>
        <v>-2.4230931310578185E-3</v>
      </c>
      <c r="P66" s="69" t="str">
        <f>IFERROR(IF(OR(NOT(ISNUMBER('Price History'!P67)),NOT(ISNUMBER('Price History'!P66)),'Price History'!P66=0),"",'Price History'!P67/'Price History'!P66-1),"")</f>
        <v/>
      </c>
      <c r="Q66" s="69">
        <f>IFERROR(IF(OR(NOT(ISNUMBER('Price History'!Q67)),NOT(ISNUMBER('Price History'!Q66)),'Price History'!Q66=0),"",'Price History'!Q67/'Price History'!Q66-1),"")</f>
        <v>-1.2347633370270672E-2</v>
      </c>
      <c r="R66" s="69">
        <f>IFERROR(IF(OR(NOT(ISNUMBER('Price History'!R67)),NOT(ISNUMBER('Price History'!R66)),'Price History'!R66=0),"",'Price History'!R67/'Price History'!R66-1),"")</f>
        <v>-1.7328519855595692E-2</v>
      </c>
      <c r="S66" s="69">
        <f>IFERROR(IF(OR(NOT(ISNUMBER('Price History'!S67)),NOT(ISNUMBER('Price History'!S66)),'Price History'!S66=0),"",'Price History'!S67/'Price History'!S66-1),"")</f>
        <v>-1.3701585931599869E-2</v>
      </c>
      <c r="T66" s="69">
        <f>IFERROR(IF(OR(NOT(ISNUMBER('Price History'!T67)),NOT(ISNUMBER('Price History'!T66)),'Price History'!T66=0),"",'Price History'!T67/'Price History'!T66-1),"")</f>
        <v>6.0350030174993741E-4</v>
      </c>
      <c r="U66" s="69" t="str">
        <f>IFERROR(IF(OR(NOT(ISNUMBER('Price History'!U67)),NOT(ISNUMBER('Price History'!U66)),'Price History'!U66=0),"",'Price History'!U67/'Price History'!U66-1),"")</f>
        <v/>
      </c>
    </row>
    <row r="67" spans="1:21" ht="15" customHeight="1" x14ac:dyDescent="0.2">
      <c r="A67" s="52">
        <f>'Price History'!A68</f>
        <v>45604</v>
      </c>
      <c r="B67" s="69">
        <f>IFERROR(IF(OR(NOT(ISNUMBER('Price History'!B68)),NOT(ISNUMBER('Price History'!B67)),'Price History'!B67=0),"",'Price History'!B68/'Price History'!B67-1),"")</f>
        <v>2.4606462303231158E-2</v>
      </c>
      <c r="C67" s="69">
        <f>IFERROR(IF(OR(NOT(ISNUMBER('Price History'!C68)),NOT(ISNUMBER('Price History'!C67)),'Price History'!C67=0),"",'Price History'!C68/'Price History'!C67-1),"")</f>
        <v>1.5932616196468352E-2</v>
      </c>
      <c r="D67" s="69">
        <f>IFERROR(IF(OR(NOT(ISNUMBER('Price History'!D68)),NOT(ISNUMBER('Price History'!D67)),'Price History'!D67=0),"",'Price History'!D68/'Price History'!D67-1),"")</f>
        <v>-7.795710876943307E-3</v>
      </c>
      <c r="E67" s="69">
        <f>IFERROR(IF(OR(NOT(ISNUMBER('Price History'!E68)),NOT(ISNUMBER('Price History'!E67)),'Price History'!E67=0),"",'Price History'!E68/'Price History'!E67-1),"")</f>
        <v>8.7141842292209226E-2</v>
      </c>
      <c r="F67" s="69">
        <f>IFERROR(IF(OR(NOT(ISNUMBER('Price History'!F68)),NOT(ISNUMBER('Price History'!F67)),'Price History'!F67=0),"",'Price History'!F68/'Price History'!F67-1),"")</f>
        <v>8.8809712325151891E-2</v>
      </c>
      <c r="G67" s="69">
        <f>IFERROR(IF(OR(NOT(ISNUMBER('Price History'!G68)),NOT(ISNUMBER('Price History'!G67)),'Price History'!G67=0),"",'Price History'!G68/'Price History'!G67-1),"")</f>
        <v>2.6889752016731272E-2</v>
      </c>
      <c r="H67" s="69">
        <f>IFERROR(IF(OR(NOT(ISNUMBER('Price History'!H68)),NOT(ISNUMBER('Price History'!H67)),'Price History'!H67=0),"",'Price History'!H68/'Price History'!H67-1),"")</f>
        <v>0.12202947959490618</v>
      </c>
      <c r="I67" s="69">
        <f>IFERROR(IF(OR(NOT(ISNUMBER('Price History'!I68)),NOT(ISNUMBER('Price History'!I67)),'Price History'!I67=0),"",'Price History'!I68/'Price History'!I67-1),"")</f>
        <v>9.0324963072378139E-2</v>
      </c>
      <c r="J67" s="69">
        <f>IFERROR(IF(OR(NOT(ISNUMBER('Price History'!J68)),NOT(ISNUMBER('Price History'!J67)),'Price History'!J67=0),"",'Price History'!J68/'Price History'!J67-1),"")</f>
        <v>2.1428571428571352E-2</v>
      </c>
      <c r="K67" s="69">
        <f>IFERROR(IF(OR(NOT(ISNUMBER('Price History'!K68)),NOT(ISNUMBER('Price History'!K67)),'Price History'!K67=0),"",'Price History'!K68/'Price History'!K67-1),"")</f>
        <v>0.39289122137404586</v>
      </c>
      <c r="L67" s="69">
        <f>IFERROR(IF(OR(NOT(ISNUMBER('Price History'!L68)),NOT(ISNUMBER('Price History'!L67)),'Price History'!L67=0),"",'Price History'!L68/'Price History'!L67-1),"")</f>
        <v>4.275719098211983E-2</v>
      </c>
      <c r="M67" s="69">
        <f>IFERROR(IF(OR(NOT(ISNUMBER('Price History'!M68)),NOT(ISNUMBER('Price History'!M67)),'Price History'!M67=0),"",'Price History'!M68/'Price History'!M67-1),"")</f>
        <v>0.17633302151543484</v>
      </c>
      <c r="N67" s="69">
        <f>IFERROR(IF(OR(NOT(ISNUMBER('Price History'!N68)),NOT(ISNUMBER('Price History'!N67)),'Price History'!N67=0),"",'Price History'!N68/'Price History'!N67-1),"")</f>
        <v>9.6833078621158197E-2</v>
      </c>
      <c r="O67" s="69">
        <f>IFERROR(IF(OR(NOT(ISNUMBER('Price History'!O68)),NOT(ISNUMBER('Price History'!O67)),'Price History'!O67=0),"",'Price History'!O68/'Price History'!O67-1),"")</f>
        <v>8.8604921322209318E-2</v>
      </c>
      <c r="P67" s="69" t="str">
        <f>IFERROR(IF(OR(NOT(ISNUMBER('Price History'!P68)),NOT(ISNUMBER('Price History'!P67)),'Price History'!P67=0),"",'Price History'!P68/'Price History'!P67-1),"")</f>
        <v/>
      </c>
      <c r="Q67" s="69">
        <f>IFERROR(IF(OR(NOT(ISNUMBER('Price History'!Q68)),NOT(ISNUMBER('Price History'!Q67)),'Price History'!Q67=0),"",'Price History'!Q68/'Price History'!Q67-1),"")</f>
        <v>4.1673345087354097E-3</v>
      </c>
      <c r="R67" s="69">
        <f>IFERROR(IF(OR(NOT(ISNUMBER('Price History'!R68)),NOT(ISNUMBER('Price History'!R67)),'Price History'!R67=0),"",'Price History'!R68/'Price History'!R67-1),"")</f>
        <v>3.8574577516532038E-2</v>
      </c>
      <c r="S67" s="69">
        <f>IFERROR(IF(OR(NOT(ISNUMBER('Price History'!S68)),NOT(ISNUMBER('Price History'!S67)),'Price History'!S67=0),"",'Price History'!S68/'Price History'!S67-1),"")</f>
        <v>5.9833734412601203E-2</v>
      </c>
      <c r="T67" s="69">
        <f>IFERROR(IF(OR(NOT(ISNUMBER('Price History'!T68)),NOT(ISNUMBER('Price History'!T67)),'Price History'!T67=0),"",'Price History'!T68/'Price History'!T67-1),"")</f>
        <v>7.7503015681543941E-2</v>
      </c>
      <c r="U67" s="69" t="str">
        <f>IFERROR(IF(OR(NOT(ISNUMBER('Price History'!U68)),NOT(ISNUMBER('Price History'!U67)),'Price History'!U67=0),"",'Price History'!U68/'Price History'!U67-1),"")</f>
        <v/>
      </c>
    </row>
    <row r="68" spans="1:21" ht="15" customHeight="1" x14ac:dyDescent="0.2">
      <c r="A68" s="52">
        <f>'Price History'!A69</f>
        <v>45611</v>
      </c>
      <c r="B68" s="69">
        <f>IFERROR(IF(OR(NOT(ISNUMBER('Price History'!B69)),NOT(ISNUMBER('Price History'!B68)),'Price History'!B68=0),"",'Price History'!B69/'Price History'!B68-1),"")</f>
        <v>1.7566911943074359E-2</v>
      </c>
      <c r="C68" s="69">
        <f>IFERROR(IF(OR(NOT(ISNUMBER('Price History'!C69)),NOT(ISNUMBER('Price History'!C68)),'Price History'!C68=0),"",'Price History'!C69/'Price History'!C68-1),"")</f>
        <v>-6.5028468684447116E-2</v>
      </c>
      <c r="D68" s="69">
        <f>IFERROR(IF(OR(NOT(ISNUMBER('Price History'!D69)),NOT(ISNUMBER('Price History'!D68)),'Price History'!D68=0),"",'Price History'!D69/'Price History'!D68-1),"")</f>
        <v>-1.6191913005810576E-2</v>
      </c>
      <c r="E68" s="69">
        <f>IFERROR(IF(OR(NOT(ISNUMBER('Price History'!E69)),NOT(ISNUMBER('Price History'!E68)),'Price History'!E68=0),"",'Price History'!E69/'Price History'!E68-1),"")</f>
        <v>-0.10237421041167494</v>
      </c>
      <c r="F68" s="69">
        <f>IFERROR(IF(OR(NOT(ISNUMBER('Price History'!F69)),NOT(ISNUMBER('Price History'!F68)),'Price History'!F68=0),"",'Price History'!F69/'Price History'!F68-1),"")</f>
        <v>2.0361168343230984E-2</v>
      </c>
      <c r="G68" s="69">
        <f>IFERROR(IF(OR(NOT(ISNUMBER('Price History'!G69)),NOT(ISNUMBER('Price History'!G68)),'Price History'!G68=0),"",'Price History'!G69/'Price History'!G68-1),"")</f>
        <v>-0.10605178935117821</v>
      </c>
      <c r="H68" s="69">
        <f>IFERROR(IF(OR(NOT(ISNUMBER('Price History'!H69)),NOT(ISNUMBER('Price History'!H68)),'Price History'!H68=0),"",'Price History'!H69/'Price History'!H68-1),"")</f>
        <v>-0.13905272564789994</v>
      </c>
      <c r="I68" s="69">
        <f>IFERROR(IF(OR(NOT(ISNUMBER('Price History'!I69)),NOT(ISNUMBER('Price History'!I68)),'Price History'!I68=0),"",'Price History'!I69/'Price History'!I68-1),"")</f>
        <v>-3.8271354060827822E-2</v>
      </c>
      <c r="J68" s="69">
        <f>IFERROR(IF(OR(NOT(ISNUMBER('Price History'!J69)),NOT(ISNUMBER('Price History'!J68)),'Price History'!J68=0),"",'Price History'!J69/'Price History'!J68-1),"")</f>
        <v>-2.0806354139687455E-2</v>
      </c>
      <c r="K68" s="69">
        <f>IFERROR(IF(OR(NOT(ISNUMBER('Price History'!K69)),NOT(ISNUMBER('Price History'!K68)),'Price History'!K68=0),"",'Price History'!K69/'Price History'!K68-1),"")</f>
        <v>0.1263915053947593</v>
      </c>
      <c r="L68" s="69">
        <f>IFERROR(IF(OR(NOT(ISNUMBER('Price History'!L69)),NOT(ISNUMBER('Price History'!L68)),'Price History'!L68=0),"",'Price History'!L69/'Price History'!L68-1),"")</f>
        <v>-7.549701789264418E-2</v>
      </c>
      <c r="M68" s="69">
        <f>IFERROR(IF(OR(NOT(ISNUMBER('Price History'!M69)),NOT(ISNUMBER('Price History'!M68)),'Price History'!M68=0),"",'Price History'!M69/'Price History'!M68-1),"")</f>
        <v>-3.8807157057654029E-2</v>
      </c>
      <c r="N68" s="69">
        <f>IFERROR(IF(OR(NOT(ISNUMBER('Price History'!N69)),NOT(ISNUMBER('Price History'!N68)),'Price History'!N68=0),"",'Price History'!N69/'Price History'!N68-1),"")</f>
        <v>-9.8773077369663675E-2</v>
      </c>
      <c r="O68" s="69">
        <f>IFERROR(IF(OR(NOT(ISNUMBER('Price History'!O69)),NOT(ISNUMBER('Price History'!O68)),'Price History'!O68=0),"",'Price History'!O69/'Price History'!O68-1),"")</f>
        <v>-1.9402405898331421E-2</v>
      </c>
      <c r="P68" s="69" t="str">
        <f>IFERROR(IF(OR(NOT(ISNUMBER('Price History'!P69)),NOT(ISNUMBER('Price History'!P68)),'Price History'!P68=0),"",'Price History'!P69/'Price History'!P68-1),"")</f>
        <v/>
      </c>
      <c r="Q68" s="69">
        <f>IFERROR(IF(OR(NOT(ISNUMBER('Price History'!Q69)),NOT(ISNUMBER('Price History'!Q68)),'Price History'!Q68=0),"",'Price History'!Q69/'Price History'!Q68-1),"")</f>
        <v>-3.9904229848364281E-3</v>
      </c>
      <c r="R68" s="69">
        <f>IFERROR(IF(OR(NOT(ISNUMBER('Price History'!R69)),NOT(ISNUMBER('Price History'!R68)),'Price History'!R68=0),"",'Price History'!R69/'Price History'!R68-1),"")</f>
        <v>-1.6448532012734329E-2</v>
      </c>
      <c r="S68" s="69">
        <f>IFERROR(IF(OR(NOT(ISNUMBER('Price History'!S69)),NOT(ISNUMBER('Price History'!S68)),'Price History'!S68=0),"",'Price History'!S69/'Price History'!S68-1),"")</f>
        <v>-3.085973784704299E-2</v>
      </c>
      <c r="T68" s="69">
        <f>IFERROR(IF(OR(NOT(ISNUMBER('Price History'!T69)),NOT(ISNUMBER('Price History'!T68)),'Price History'!T68=0),"",'Price History'!T69/'Price History'!T68-1),"")</f>
        <v>-1.5393226980128683E-2</v>
      </c>
      <c r="U68" s="69" t="str">
        <f>IFERROR(IF(OR(NOT(ISNUMBER('Price History'!U69)),NOT(ISNUMBER('Price History'!U68)),'Price History'!U68=0),"",'Price History'!U69/'Price History'!U68-1),"")</f>
        <v/>
      </c>
    </row>
    <row r="69" spans="1:21" ht="15" customHeight="1" x14ac:dyDescent="0.2">
      <c r="A69" s="52">
        <f>'Price History'!A70</f>
        <v>45618</v>
      </c>
      <c r="B69" s="69">
        <f>IFERROR(IF(OR(NOT(ISNUMBER('Price History'!B70)),NOT(ISNUMBER('Price History'!B69)),'Price History'!B69=0),"",'Price History'!B70/'Price History'!B69-1),"")</f>
        <v>1.7442437968095081E-2</v>
      </c>
      <c r="C69" s="69">
        <f>IFERROR(IF(OR(NOT(ISNUMBER('Price History'!C70)),NOT(ISNUMBER('Price History'!C69)),'Price History'!C69=0),"",'Price History'!C70/'Price History'!C69-1),"")</f>
        <v>8.5683760683760823E-2</v>
      </c>
      <c r="D69" s="69">
        <f>IFERROR(IF(OR(NOT(ISNUMBER('Price History'!D70)),NOT(ISNUMBER('Price History'!D69)),'Price History'!D69=0),"",'Price History'!D70/'Price History'!D69-1),"")</f>
        <v>2.1635819807782841E-2</v>
      </c>
      <c r="E69" s="69">
        <f>IFERROR(IF(OR(NOT(ISNUMBER('Price History'!E70)),NOT(ISNUMBER('Price History'!E69)),'Price History'!E69=0),"",'Price History'!E70/'Price History'!E69-1),"")</f>
        <v>-3.7005581169620161E-3</v>
      </c>
      <c r="F69" s="69">
        <f>IFERROR(IF(OR(NOT(ISNUMBER('Price History'!F70)),NOT(ISNUMBER('Price History'!F69)),'Price History'!F69=0),"",'Price History'!F70/'Price History'!F69-1),"")</f>
        <v>0.10547570970424025</v>
      </c>
      <c r="G69" s="69">
        <f>IFERROR(IF(OR(NOT(ISNUMBER('Price History'!G70)),NOT(ISNUMBER('Price History'!G69)),'Price History'!G69=0),"",'Price History'!G70/'Price History'!G69-1),"")</f>
        <v>4.0846216436126959E-2</v>
      </c>
      <c r="H69" s="69">
        <f>IFERROR(IF(OR(NOT(ISNUMBER('Price History'!H70)),NOT(ISNUMBER('Price History'!H69)),'Price History'!H69=0),"",'Price History'!H70/'Price History'!H69-1),"")</f>
        <v>6.539339838073488E-2</v>
      </c>
      <c r="I69" s="69">
        <f>IFERROR(IF(OR(NOT(ISNUMBER('Price History'!I70)),NOT(ISNUMBER('Price History'!I69)),'Price History'!I69=0),"",'Price History'!I70/'Price History'!I69-1),"")</f>
        <v>-2.1129736582614633E-4</v>
      </c>
      <c r="J69" s="69">
        <f>IFERROR(IF(OR(NOT(ISNUMBER('Price History'!J70)),NOT(ISNUMBER('Price History'!J69)),'Price History'!J69=0),"",'Price History'!J70/'Price History'!J69-1),"")</f>
        <v>2.0983953447363701E-2</v>
      </c>
      <c r="K69" s="69">
        <f>IFERROR(IF(OR(NOT(ISNUMBER('Price History'!K70)),NOT(ISNUMBER('Price History'!K69)),'Price History'!K69=0),"",'Price History'!K70/'Price History'!K69-1),"")</f>
        <v>-2.1590390755663713E-2</v>
      </c>
      <c r="L69" s="69">
        <f>IFERROR(IF(OR(NOT(ISNUMBER('Price History'!L70)),NOT(ISNUMBER('Price History'!L69)),'Price History'!L69=0),"",'Price History'!L70/'Price History'!L69-1),"")</f>
        <v>2.1880544056771312E-2</v>
      </c>
      <c r="M69" s="69">
        <f>IFERROR(IF(OR(NOT(ISNUMBER('Price History'!M70)),NOT(ISNUMBER('Price History'!M69)),'Price History'!M69=0),"",'Price History'!M70/'Price History'!M69-1),"")</f>
        <v>0.15951021758914541</v>
      </c>
      <c r="N69" s="69">
        <f>IFERROR(IF(OR(NOT(ISNUMBER('Price History'!N70)),NOT(ISNUMBER('Price History'!N69)),'Price History'!N69=0),"",'Price History'!N70/'Price History'!N69-1),"")</f>
        <v>-3.1629804595232902E-2</v>
      </c>
      <c r="O69" s="69">
        <f>IFERROR(IF(OR(NOT(ISNUMBER('Price History'!O70)),NOT(ISNUMBER('Price History'!O69)),'Price History'!O69=0),"",'Price History'!O70/'Price History'!O69-1),"")</f>
        <v>3.6604669568658599E-2</v>
      </c>
      <c r="P69" s="69" t="str">
        <f>IFERROR(IF(OR(NOT(ISNUMBER('Price History'!P70)),NOT(ISNUMBER('Price History'!P69)),'Price History'!P69=0),"",'Price History'!P70/'Price History'!P69-1),"")</f>
        <v/>
      </c>
      <c r="Q69" s="69">
        <f>IFERROR(IF(OR(NOT(ISNUMBER('Price History'!Q70)),NOT(ISNUMBER('Price History'!Q69)),'Price History'!Q69=0),"",'Price History'!Q70/'Price History'!Q69-1),"")</f>
        <v>-1.2179487179487136E-2</v>
      </c>
      <c r="R69" s="69">
        <f>IFERROR(IF(OR(NOT(ISNUMBER('Price History'!R70)),NOT(ISNUMBER('Price History'!R69)),'Price History'!R69=0),"",'Price History'!R70/'Price History'!R69-1),"")</f>
        <v>1.7263082179464151E-2</v>
      </c>
      <c r="S69" s="69">
        <f>IFERROR(IF(OR(NOT(ISNUMBER('Price History'!S70)),NOT(ISNUMBER('Price History'!S69)),'Price History'!S69=0),"",'Price History'!S70/'Price History'!S69-1),"")</f>
        <v>1.7891373801916854E-2</v>
      </c>
      <c r="T69" s="69">
        <f>IFERROR(IF(OR(NOT(ISNUMBER('Price History'!T70)),NOT(ISNUMBER('Price History'!T69)),'Price History'!T69=0),"",'Price History'!T70/'Price History'!T69-1),"")</f>
        <v>3.8658328595793101E-2</v>
      </c>
      <c r="U69" s="69" t="str">
        <f>IFERROR(IF(OR(NOT(ISNUMBER('Price History'!U70)),NOT(ISNUMBER('Price History'!U69)),'Price History'!U69=0),"",'Price History'!U70/'Price History'!U69-1),"")</f>
        <v/>
      </c>
    </row>
    <row r="70" spans="1:21" ht="15" customHeight="1" x14ac:dyDescent="0.2">
      <c r="A70" s="52">
        <f>'Price History'!A71</f>
        <v>45625</v>
      </c>
      <c r="B70" s="69">
        <f>IFERROR(IF(OR(NOT(ISNUMBER('Price History'!B71)),NOT(ISNUMBER('Price History'!B70)),'Price History'!B70=0),"",'Price History'!B71/'Price History'!B70-1),"")</f>
        <v>7.3806502001365626E-3</v>
      </c>
      <c r="C70" s="69">
        <f>IFERROR(IF(OR(NOT(ISNUMBER('Price History'!C71)),NOT(ISNUMBER('Price History'!C70)),'Price History'!C70=0),"",'Price History'!C71/'Price History'!C70-1),"")</f>
        <v>-1.5744932099981401E-3</v>
      </c>
      <c r="D70" s="69">
        <f>IFERROR(IF(OR(NOT(ISNUMBER('Price History'!D71)),NOT(ISNUMBER('Price History'!D70)),'Price History'!D70=0),"",'Price History'!D71/'Price History'!D70-1),"")</f>
        <v>2.0404827012245885E-2</v>
      </c>
      <c r="E70" s="69">
        <f>IFERROR(IF(OR(NOT(ISNUMBER('Price History'!E71)),NOT(ISNUMBER('Price History'!E70)),'Price History'!E70=0),"",'Price History'!E71/'Price History'!E70-1),"")</f>
        <v>-1.3091396212628448E-2</v>
      </c>
      <c r="F70" s="69">
        <f>IFERROR(IF(OR(NOT(ISNUMBER('Price History'!F71)),NOT(ISNUMBER('Price History'!F70)),'Price History'!F70=0),"",'Price History'!F71/'Price History'!F70-1),"")</f>
        <v>-7.0699473514558964E-2</v>
      </c>
      <c r="G70" s="69">
        <f>IFERROR(IF(OR(NOT(ISNUMBER('Price History'!G71)),NOT(ISNUMBER('Price History'!G70)),'Price History'!G70=0),"",'Price History'!G71/'Price History'!G70-1),"")</f>
        <v>1.1569731081926271E-2</v>
      </c>
      <c r="H70" s="69">
        <f>IFERROR(IF(OR(NOT(ISNUMBER('Price History'!H71)),NOT(ISNUMBER('Price History'!H70)),'Price History'!H70=0),"",'Price History'!H71/'Price History'!H70-1),"")</f>
        <v>-4.5693686671862799E-2</v>
      </c>
      <c r="I70" s="69">
        <f>IFERROR(IF(OR(NOT(ISNUMBER('Price History'!I71)),NOT(ISNUMBER('Price History'!I70)),'Price History'!I70=0),"",'Price History'!I71/'Price History'!I70-1),"")</f>
        <v>-2.6065516026769875E-2</v>
      </c>
      <c r="J70" s="69">
        <f>IFERROR(IF(OR(NOT(ISNUMBER('Price History'!J71)),NOT(ISNUMBER('Price History'!J70)),'Price History'!J70=0),"",'Price History'!J71/'Price History'!J70-1),"")</f>
        <v>8.4628670120898697E-3</v>
      </c>
      <c r="K70" s="69">
        <f>IFERROR(IF(OR(NOT(ISNUMBER('Price History'!K71)),NOT(ISNUMBER('Price History'!K70)),'Price History'!K70=0),"",'Price History'!K71/'Price History'!K70-1),"")</f>
        <v>4.2424242424242475E-2</v>
      </c>
      <c r="L70" s="69">
        <f>IFERROR(IF(OR(NOT(ISNUMBER('Price History'!L71)),NOT(ISNUMBER('Price History'!L70)),'Price History'!L70=0),"",'Price History'!L71/'Price History'!L70-1),"")</f>
        <v>-2.8514309764309798E-2</v>
      </c>
      <c r="M70" s="69">
        <f>IFERROR(IF(OR(NOT(ISNUMBER('Price History'!M71)),NOT(ISNUMBER('Price History'!M70)),'Price History'!M70=0),"",'Price History'!M71/'Price History'!M70-1),"")</f>
        <v>-8.9546914020692148E-2</v>
      </c>
      <c r="N70" s="69">
        <f>IFERROR(IF(OR(NOT(ISNUMBER('Price History'!N71)),NOT(ISNUMBER('Price History'!N70)),'Price History'!N70=0),"",'Price History'!N71/'Price History'!N70-1),"")</f>
        <v>3.8051311617180561E-2</v>
      </c>
      <c r="O70" s="69">
        <f>IFERROR(IF(OR(NOT(ISNUMBER('Price History'!O71)),NOT(ISNUMBER('Price History'!O70)),'Price History'!O70=0),"",'Price History'!O71/'Price History'!O70-1),"")</f>
        <v>6.7761023096009065E-3</v>
      </c>
      <c r="P70" s="69" t="str">
        <f>IFERROR(IF(OR(NOT(ISNUMBER('Price History'!P71)),NOT(ISNUMBER('Price History'!P70)),'Price History'!P70=0),"",'Price History'!P71/'Price History'!P70-1),"")</f>
        <v/>
      </c>
      <c r="Q70" s="69">
        <f>IFERROR(IF(OR(NOT(ISNUMBER('Price History'!Q71)),NOT(ISNUMBER('Price History'!Q70)),'Price History'!Q70=0),"",'Price History'!Q71/'Price History'!Q70-1),"")</f>
        <v>1.7196625567813095E-2</v>
      </c>
      <c r="R70" s="69">
        <f>IFERROR(IF(OR(NOT(ISNUMBER('Price History'!R71)),NOT(ISNUMBER('Price History'!R70)),'Price History'!R70=0),"",'Price History'!R71/'Price History'!R70-1),"")</f>
        <v>9.1921513169526126E-3</v>
      </c>
      <c r="S70" s="69">
        <f>IFERROR(IF(OR(NOT(ISNUMBER('Price History'!S71)),NOT(ISNUMBER('Price History'!S70)),'Price History'!S70=0),"",'Price History'!S71/'Price History'!S70-1),"")</f>
        <v>1.3078049801213742E-2</v>
      </c>
      <c r="T70" s="69">
        <f>IFERROR(IF(OR(NOT(ISNUMBER('Price History'!T71)),NOT(ISNUMBER('Price History'!T70)),'Price History'!T70=0),"",'Price History'!T71/'Price History'!T70-1),"")</f>
        <v>1.9157088122605526E-3</v>
      </c>
      <c r="U70" s="69" t="str">
        <f>IFERROR(IF(OR(NOT(ISNUMBER('Price History'!U71)),NOT(ISNUMBER('Price History'!U70)),'Price History'!U70=0),"",'Price History'!U71/'Price History'!U70-1),"")</f>
        <v/>
      </c>
    </row>
    <row r="71" spans="1:21" ht="15" customHeight="1" x14ac:dyDescent="0.2">
      <c r="A71" s="52">
        <f>'Price History'!A72</f>
        <v>45632</v>
      </c>
      <c r="B71" s="69">
        <f>IFERROR(IF(OR(NOT(ISNUMBER('Price History'!B72)),NOT(ISNUMBER('Price History'!B71)),'Price History'!B71=0),"",'Price History'!B72/'Price History'!B71-1),"")</f>
        <v>7.1773302579807519E-2</v>
      </c>
      <c r="C71" s="69">
        <f>IFERROR(IF(OR(NOT(ISNUMBER('Price History'!C72)),NOT(ISNUMBER('Price History'!C71)),'Price History'!C71=0),"",'Price History'!C72/'Price History'!C71-1),"")</f>
        <v>6.6922925290755053E-2</v>
      </c>
      <c r="D71" s="69">
        <f>IFERROR(IF(OR(NOT(ISNUMBER('Price History'!D72)),NOT(ISNUMBER('Price History'!D71)),'Price History'!D71=0),"",'Price History'!D72/'Price History'!D71-1),"")</f>
        <v>3.2580358573280233E-2</v>
      </c>
      <c r="E71" s="69">
        <f>IFERROR(IF(OR(NOT(ISNUMBER('Price History'!E72)),NOT(ISNUMBER('Price History'!E71)),'Price History'!E71=0),"",'Price History'!E72/'Price History'!E71-1),"")</f>
        <v>0.10766288252714706</v>
      </c>
      <c r="F71" s="69">
        <f>IFERROR(IF(OR(NOT(ISNUMBER('Price History'!F72)),NOT(ISNUMBER('Price History'!F71)),'Price History'!F71=0),"",'Price History'!F72/'Price History'!F71-1),"")</f>
        <v>5.6885189039195261E-2</v>
      </c>
      <c r="G71" s="69">
        <f>IFERROR(IF(OR(NOT(ISNUMBER('Price History'!G72)),NOT(ISNUMBER('Price History'!G71)),'Price History'!G71=0),"",'Price History'!G72/'Price History'!G71-1),"")</f>
        <v>2.0092735703245435E-3</v>
      </c>
      <c r="H71" s="69">
        <f>IFERROR(IF(OR(NOT(ISNUMBER('Price History'!H72)),NOT(ISNUMBER('Price History'!H71)),'Price History'!H71=0),"",'Price History'!H72/'Price History'!H71-1),"")</f>
        <v>3.2873915262889186E-2</v>
      </c>
      <c r="I71" s="69">
        <f>IFERROR(IF(OR(NOT(ISNUMBER('Price History'!I72)),NOT(ISNUMBER('Price History'!I71)),'Price History'!I71=0),"",'Price History'!I72/'Price History'!I71-1),"")</f>
        <v>3.0307414104882469E-2</v>
      </c>
      <c r="J71" s="69">
        <f>IFERROR(IF(OR(NOT(ISNUMBER('Price History'!J72)),NOT(ISNUMBER('Price History'!J71)),'Price History'!J71=0),"",'Price History'!J72/'Price History'!J71-1),"")</f>
        <v>-4.0931666381229692E-2</v>
      </c>
      <c r="K71" s="69">
        <f>IFERROR(IF(OR(NOT(ISNUMBER('Price History'!K72)),NOT(ISNUMBER('Price History'!K71)),'Price History'!K71=0),"",'Price History'!K72/'Price History'!K71-1),"")</f>
        <v>0.13804412641621955</v>
      </c>
      <c r="L71" s="69">
        <f>IFERROR(IF(OR(NOT(ISNUMBER('Price History'!L72)),NOT(ISNUMBER('Price History'!L71)),'Price History'!L71=0),"",'Price History'!L72/'Price History'!L71-1),"")</f>
        <v>9.9425972056752965E-2</v>
      </c>
      <c r="M71" s="69">
        <f>IFERROR(IF(OR(NOT(ISNUMBER('Price History'!M72)),NOT(ISNUMBER('Price History'!M71)),'Price History'!M71=0),"",'Price History'!M72/'Price History'!M71-1),"")</f>
        <v>4.8981191222570608E-2</v>
      </c>
      <c r="N71" s="69">
        <f>IFERROR(IF(OR(NOT(ISNUMBER('Price History'!N72)),NOT(ISNUMBER('Price History'!N71)),'Price History'!N71=0),"",'Price History'!N72/'Price History'!N71-1),"")</f>
        <v>-1.28810373186935E-2</v>
      </c>
      <c r="O71" s="69">
        <f>IFERROR(IF(OR(NOT(ISNUMBER('Price History'!O72)),NOT(ISNUMBER('Price History'!O71)),'Price History'!O71=0),"",'Price History'!O72/'Price History'!O71-1),"")</f>
        <v>-2.085505735140758E-2</v>
      </c>
      <c r="P71" s="69" t="str">
        <f>IFERROR(IF(OR(NOT(ISNUMBER('Price History'!P72)),NOT(ISNUMBER('Price History'!P71)),'Price History'!P71=0),"",'Price History'!P72/'Price History'!P71-1),"")</f>
        <v/>
      </c>
      <c r="Q71" s="69">
        <f>IFERROR(IF(OR(NOT(ISNUMBER('Price History'!Q72)),NOT(ISNUMBER('Price History'!Q71)),'Price History'!Q71=0),"",'Price History'!Q72/'Price History'!Q71-1),"")</f>
        <v>1.0366826156299913E-2</v>
      </c>
      <c r="R71" s="69">
        <f>IFERROR(IF(OR(NOT(ISNUMBER('Price History'!R72)),NOT(ISNUMBER('Price History'!R71)),'Price History'!R71=0),"",'Price History'!R72/'Price History'!R71-1),"")</f>
        <v>9.2835873182692819E-3</v>
      </c>
      <c r="S71" s="69">
        <f>IFERROR(IF(OR(NOT(ISNUMBER('Price History'!S72)),NOT(ISNUMBER('Price History'!S71)),'Price History'!S71=0),"",'Price History'!S72/'Price History'!S71-1),"")</f>
        <v>1.931219663327477E-2</v>
      </c>
      <c r="T71" s="69">
        <f>IFERROR(IF(OR(NOT(ISNUMBER('Price History'!T72)),NOT(ISNUMBER('Price History'!T71)),'Price History'!T71=0),"",'Price History'!T72/'Price History'!T71-1),"")</f>
        <v>-8.1944823818635992E-4</v>
      </c>
      <c r="U71" s="69" t="str">
        <f>IFERROR(IF(OR(NOT(ISNUMBER('Price History'!U72)),NOT(ISNUMBER('Price History'!U71)),'Price History'!U71=0),"",'Price History'!U72/'Price History'!U71-1),"")</f>
        <v/>
      </c>
    </row>
    <row r="72" spans="1:21" ht="15" customHeight="1" x14ac:dyDescent="0.2">
      <c r="A72" s="52">
        <f>'Price History'!A73</f>
        <v>45639</v>
      </c>
      <c r="B72" s="69">
        <f>IFERROR(IF(OR(NOT(ISNUMBER('Price History'!B73)),NOT(ISNUMBER('Price History'!B72)),'Price History'!B72=0),"",'Price History'!B73/'Price History'!B72-1),"")</f>
        <v>-0.15782335069444453</v>
      </c>
      <c r="C72" s="69">
        <f>IFERROR(IF(OR(NOT(ISNUMBER('Price History'!C73)),NOT(ISNUMBER('Price History'!C72)),'Price History'!C72=0),"",'Price History'!C73/'Price History'!C72-1),"")</f>
        <v>3.8060046189376529E-2</v>
      </c>
      <c r="D72" s="69">
        <f>IFERROR(IF(OR(NOT(ISNUMBER('Price History'!D73)),NOT(ISNUMBER('Price History'!D72)),'Price History'!D72=0),"",'Price History'!D73/'Price History'!D72-1),"")</f>
        <v>1.3540579423961141E-2</v>
      </c>
      <c r="E72" s="69">
        <f>IFERROR(IF(OR(NOT(ISNUMBER('Price History'!E73)),NOT(ISNUMBER('Price History'!E72)),'Price History'!E72=0),"",'Price History'!E73/'Price History'!E72-1),"")</f>
        <v>0.2521584136356041</v>
      </c>
      <c r="F72" s="69">
        <f>IFERROR(IF(OR(NOT(ISNUMBER('Price History'!F73)),NOT(ISNUMBER('Price History'!F72)),'Price History'!F72=0),"",'Price History'!F73/'Price History'!F72-1),"")</f>
        <v>6.5638332786348563E-3</v>
      </c>
      <c r="G72" s="69">
        <f>IFERROR(IF(OR(NOT(ISNUMBER('Price History'!G73)),NOT(ISNUMBER('Price History'!G72)),'Price History'!G72=0),"",'Price History'!G73/'Price History'!G72-1),"")</f>
        <v>8.4837266697517233E-3</v>
      </c>
      <c r="H72" s="69">
        <f>IFERROR(IF(OR(NOT(ISNUMBER('Price History'!H73)),NOT(ISNUMBER('Price History'!H72)),'Price History'!H72=0),"",'Price History'!H73/'Price History'!H72-1),"")</f>
        <v>1.3146189581891843E-2</v>
      </c>
      <c r="I72" s="69">
        <f>IFERROR(IF(OR(NOT(ISNUMBER('Price History'!I73)),NOT(ISNUMBER('Price History'!I72)),'Price History'!I72=0),"",'Price History'!I73/'Price History'!I72-1),"")</f>
        <v>-5.7497893850042114E-2</v>
      </c>
      <c r="J72" s="69">
        <f>IFERROR(IF(OR(NOT(ISNUMBER('Price History'!J73)),NOT(ISNUMBER('Price History'!J72)),'Price History'!J72=0),"",'Price History'!J73/'Price History'!J72-1),"")</f>
        <v>-7.7678571428572152E-3</v>
      </c>
      <c r="K72" s="69">
        <f>IFERROR(IF(OR(NOT(ISNUMBER('Price History'!K73)),NOT(ISNUMBER('Price History'!K72)),'Price History'!K72=0),"",'Price History'!K73/'Price History'!K72-1),"")</f>
        <v>-3.5368090123134577E-3</v>
      </c>
      <c r="L72" s="69">
        <f>IFERROR(IF(OR(NOT(ISNUMBER('Price History'!L73)),NOT(ISNUMBER('Price History'!L72)),'Price History'!L72=0),"",'Price History'!L73/'Price History'!L72-1),"")</f>
        <v>-9.9990148753817953E-3</v>
      </c>
      <c r="M72" s="69">
        <f>IFERROR(IF(OR(NOT(ISNUMBER('Price History'!M73)),NOT(ISNUMBER('Price History'!M72)),'Price History'!M72=0),"",'Price History'!M73/'Price History'!M72-1),"")</f>
        <v>-6.0291370937616717E-2</v>
      </c>
      <c r="N72" s="69">
        <f>IFERROR(IF(OR(NOT(ISNUMBER('Price History'!N73)),NOT(ISNUMBER('Price History'!N72)),'Price History'!N72=0),"",'Price History'!N73/'Price History'!N72-1),"")</f>
        <v>3.5273750270503612E-3</v>
      </c>
      <c r="O72" s="69">
        <f>IFERROR(IF(OR(NOT(ISNUMBER('Price History'!O73)),NOT(ISNUMBER('Price History'!O72)),'Price History'!O72=0),"",'Price History'!O73/'Price History'!O72-1),"")</f>
        <v>-1.2392293542453303E-2</v>
      </c>
      <c r="P72" s="69" t="str">
        <f>IFERROR(IF(OR(NOT(ISNUMBER('Price History'!P73)),NOT(ISNUMBER('Price History'!P72)),'Price History'!P72=0),"",'Price History'!P73/'Price History'!P72-1),"")</f>
        <v/>
      </c>
      <c r="Q72" s="69">
        <f>IFERROR(IF(OR(NOT(ISNUMBER('Price History'!Q73)),NOT(ISNUMBER('Price History'!Q72)),'Price History'!Q72=0),"",'Price History'!Q73/'Price History'!Q72-1),"")</f>
        <v>-8.6819258089977369E-3</v>
      </c>
      <c r="R72" s="69">
        <f>IFERROR(IF(OR(NOT(ISNUMBER('Price History'!R73)),NOT(ISNUMBER('Price History'!R72)),'Price History'!R72=0),"",'Price History'!R73/'Price History'!R72-1),"")</f>
        <v>3.9916695591808438E-3</v>
      </c>
      <c r="S72" s="69">
        <f>IFERROR(IF(OR(NOT(ISNUMBER('Price History'!S73)),NOT(ISNUMBER('Price History'!S72)),'Price History'!S72=0),"",'Price History'!S73/'Price History'!S72-1),"")</f>
        <v>-9.4224924012158429E-3</v>
      </c>
      <c r="T72" s="69">
        <f>IFERROR(IF(OR(NOT(ISNUMBER('Price History'!T73)),NOT(ISNUMBER('Price History'!T72)),'Price History'!T72=0),"",'Price History'!T73/'Price History'!T72-1),"")</f>
        <v>-4.401312192454887E-2</v>
      </c>
      <c r="U72" s="69" t="str">
        <f>IFERROR(IF(OR(NOT(ISNUMBER('Price History'!U73)),NOT(ISNUMBER('Price History'!U72)),'Price History'!U72=0),"",'Price History'!U73/'Price History'!U72-1),"")</f>
        <v/>
      </c>
    </row>
    <row r="73" spans="1:21" ht="15" customHeight="1" x14ac:dyDescent="0.2">
      <c r="A73" s="52">
        <f>'Price History'!A74</f>
        <v>45646</v>
      </c>
      <c r="B73" s="69">
        <f>IFERROR(IF(OR(NOT(ISNUMBER('Price History'!B74)),NOT(ISNUMBER('Price History'!B73)),'Price History'!B73=0),"",'Price History'!B74/'Price History'!B73-1),"")</f>
        <v>-3.9768945006334655E-2</v>
      </c>
      <c r="C73" s="69">
        <f>IFERROR(IF(OR(NOT(ISNUMBER('Price History'!C74)),NOT(ISNUMBER('Price History'!C73)),'Price History'!C73=0),"",'Price History'!C74/'Price History'!C73-1),"")</f>
        <v>3.9156358458662943E-3</v>
      </c>
      <c r="D73" s="69">
        <f>IFERROR(IF(OR(NOT(ISNUMBER('Price History'!D74)),NOT(ISNUMBER('Price History'!D73)),'Price History'!D73=0),"",'Price History'!D74/'Price History'!D73-1),"")</f>
        <v>-1.7952072142280784E-2</v>
      </c>
      <c r="E73" s="69">
        <f>IFERROR(IF(OR(NOT(ISNUMBER('Price History'!E74)),NOT(ISNUMBER('Price History'!E73)),'Price History'!E73=0),"",'Price History'!E74/'Price History'!E73-1),"")</f>
        <v>-1.7838078291815052E-2</v>
      </c>
      <c r="F73" s="69">
        <f>IFERROR(IF(OR(NOT(ISNUMBER('Price History'!F74)),NOT(ISNUMBER('Price History'!F73)),'Price History'!F73=0),"",'Price History'!F74/'Price History'!F73-1),"")</f>
        <v>-1.5650472774698554E-2</v>
      </c>
      <c r="G73" s="69">
        <f>IFERROR(IF(OR(NOT(ISNUMBER('Price History'!G74)),NOT(ISNUMBER('Price History'!G73)),'Price History'!G73=0),"",'Price History'!G74/'Price History'!G73-1),"")</f>
        <v>-3.7320281431630464E-2</v>
      </c>
      <c r="H73" s="69">
        <f>IFERROR(IF(OR(NOT(ISNUMBER('Price History'!H74)),NOT(ISNUMBER('Price History'!H73)),'Price History'!H73=0),"",'Price History'!H74/'Price History'!H73-1),"")</f>
        <v>-0.12078048780487805</v>
      </c>
      <c r="I73" s="69">
        <f>IFERROR(IF(OR(NOT(ISNUMBER('Price History'!I74)),NOT(ISNUMBER('Price History'!I73)),'Price History'!I73=0),"",'Price History'!I74/'Price History'!I73-1),"")</f>
        <v>3.3519553072625108E-3</v>
      </c>
      <c r="J73" s="69">
        <f>IFERROR(IF(OR(NOT(ISNUMBER('Price History'!J74)),NOT(ISNUMBER('Price History'!J73)),'Price History'!J73=0),"",'Price History'!J74/'Price History'!J73-1),"")</f>
        <v>-7.0278052731035712E-2</v>
      </c>
      <c r="K73" s="69">
        <f>IFERROR(IF(OR(NOT(ISNUMBER('Price History'!K74)),NOT(ISNUMBER('Price History'!K73)),'Price History'!K73=0),"",'Price History'!K74/'Price History'!K73-1),"")</f>
        <v>5.889312475351649E-2</v>
      </c>
      <c r="L73" s="69">
        <f>IFERROR(IF(OR(NOT(ISNUMBER('Price History'!L74)),NOT(ISNUMBER('Price History'!L73)),'Price History'!L73=0),"",'Price History'!L74/'Price History'!L73-1),"")</f>
        <v>-1.8806905816209807E-2</v>
      </c>
      <c r="M73" s="69">
        <f>IFERROR(IF(OR(NOT(ISNUMBER('Price History'!M74)),NOT(ISNUMBER('Price History'!M73)),'Price History'!M73=0),"",'Price History'!M74/'Price History'!M73-1),"")</f>
        <v>-4.5635236126570167E-2</v>
      </c>
      <c r="N73" s="69">
        <f>IFERROR(IF(OR(NOT(ISNUMBER('Price History'!N74)),NOT(ISNUMBER('Price History'!N73)),'Price History'!N73=0),"",'Price History'!N74/'Price History'!N73-1),"")</f>
        <v>-0.14331615379639018</v>
      </c>
      <c r="O73" s="69">
        <f>IFERROR(IF(OR(NOT(ISNUMBER('Price History'!O74)),NOT(ISNUMBER('Price History'!O73)),'Price History'!O73=0),"",'Price History'!O74/'Price History'!O73-1),"")</f>
        <v>-5.7837466915008351E-2</v>
      </c>
      <c r="P73" s="69" t="str">
        <f>IFERROR(IF(OR(NOT(ISNUMBER('Price History'!P74)),NOT(ISNUMBER('Price History'!P73)),'Price History'!P73=0),"",'Price History'!P74/'Price History'!P73-1),"")</f>
        <v/>
      </c>
      <c r="Q73" s="69">
        <f>IFERROR(IF(OR(NOT(ISNUMBER('Price History'!Q74)),NOT(ISNUMBER('Price History'!Q73)),'Price History'!Q73=0),"",'Price History'!Q74/'Price History'!Q73-1),"")</f>
        <v>-6.3694267515923553E-4</v>
      </c>
      <c r="R73" s="69">
        <f>IFERROR(IF(OR(NOT(ISNUMBER('Price History'!R74)),NOT(ISNUMBER('Price History'!R73)),'Price History'!R73=0),"",'Price History'!R74/'Price History'!R73-1),"")</f>
        <v>-1.1235955056179803E-2</v>
      </c>
      <c r="S73" s="69">
        <f>IFERROR(IF(OR(NOT(ISNUMBER('Price History'!S74)),NOT(ISNUMBER('Price History'!S73)),'Price History'!S73=0),"",'Price History'!S74/'Price History'!S73-1),"")</f>
        <v>-2.2399509051856392E-2</v>
      </c>
      <c r="T73" s="69">
        <f>IFERROR(IF(OR(NOT(ISNUMBER('Price History'!T74)),NOT(ISNUMBER('Price History'!T73)),'Price History'!T73=0),"",'Price History'!T74/'Price History'!T73-1),"")</f>
        <v>-3.059765513297108E-2</v>
      </c>
      <c r="U73" s="69" t="str">
        <f>IFERROR(IF(OR(NOT(ISNUMBER('Price History'!U74)),NOT(ISNUMBER('Price History'!U73)),'Price History'!U73=0),"",'Price History'!U74/'Price History'!U73-1),"")</f>
        <v/>
      </c>
    </row>
    <row r="74" spans="1:21" ht="15" customHeight="1" x14ac:dyDescent="0.2">
      <c r="A74" s="52">
        <f>'Price History'!A75</f>
        <v>45653</v>
      </c>
      <c r="B74" s="69">
        <f>IFERROR(IF(OR(NOT(ISNUMBER('Price History'!B75)),NOT(ISNUMBER('Price History'!B74)),'Price History'!B74=0),"",'Price History'!B75/'Price History'!B74-1),"")</f>
        <v>-1.5430373236129391E-3</v>
      </c>
      <c r="C74" s="69">
        <f>IFERROR(IF(OR(NOT(ISNUMBER('Price History'!C75)),NOT(ISNUMBER('Price History'!C74)),'Price History'!C74=0),"",'Price History'!C75/'Price History'!C74-1),"")</f>
        <v>1.9501817214786499E-3</v>
      </c>
      <c r="D74" s="69">
        <f>IFERROR(IF(OR(NOT(ISNUMBER('Price History'!D75)),NOT(ISNUMBER('Price History'!D74)),'Price History'!D74=0),"",'Price History'!D75/'Price History'!D74-1),"")</f>
        <v>1.1209046593356975E-2</v>
      </c>
      <c r="E74" s="69">
        <f>IFERROR(IF(OR(NOT(ISNUMBER('Price History'!E75)),NOT(ISNUMBER('Price History'!E74)),'Price History'!E74=0),"",'Price History'!E75/'Price History'!E74-1),"")</f>
        <v>9.4931835680963861E-2</v>
      </c>
      <c r="F74" s="69">
        <f>IFERROR(IF(OR(NOT(ISNUMBER('Price History'!F75)),NOT(ISNUMBER('Price History'!F74)),'Price History'!F74=0),"",'Price History'!F75/'Price History'!F74-1),"")</f>
        <v>-2.0094954179087909E-2</v>
      </c>
      <c r="G74" s="69">
        <f>IFERROR(IF(OR(NOT(ISNUMBER('Price History'!G75)),NOT(ISNUMBER('Price History'!G74)),'Price History'!G74=0),"",'Price History'!G75/'Price History'!G74-1),"")</f>
        <v>2.4467747060692879E-2</v>
      </c>
      <c r="H74" s="69">
        <f>IFERROR(IF(OR(NOT(ISNUMBER('Price History'!H75)),NOT(ISNUMBER('Price History'!H74)),'Price History'!H74=0),"",'Price History'!H75/'Price History'!H74-1),"")</f>
        <v>-1.6533510874389812E-2</v>
      </c>
      <c r="I74" s="69">
        <f>IFERROR(IF(OR(NOT(ISNUMBER('Price History'!I75)),NOT(ISNUMBER('Price History'!I74)),'Price History'!I74=0),"",'Price History'!I75/'Price History'!I74-1),"")</f>
        <v>1.714922048997769E-2</v>
      </c>
      <c r="J74" s="69">
        <f>IFERROR(IF(OR(NOT(ISNUMBER('Price History'!J75)),NOT(ISNUMBER('Price History'!J74)),'Price History'!J74=0),"",'Price History'!J75/'Price History'!J74-1),"")</f>
        <v>1.8583042973286945E-2</v>
      </c>
      <c r="K74" s="69">
        <f>IFERROR(IF(OR(NOT(ISNUMBER('Price History'!K75)),NOT(ISNUMBER('Price History'!K74)),'Price History'!K74=0),"",'Price History'!K75/'Price History'!K74-1),"")</f>
        <v>-1.8249534450651805E-2</v>
      </c>
      <c r="L74" s="69">
        <f>IFERROR(IF(OR(NOT(ISNUMBER('Price History'!L75)),NOT(ISNUMBER('Price History'!L74)),'Price History'!L74=0),"",'Price History'!L75/'Price History'!L74-1),"")</f>
        <v>2.2412656558997934E-2</v>
      </c>
      <c r="M74" s="69">
        <f>IFERROR(IF(OR(NOT(ISNUMBER('Price History'!M75)),NOT(ISNUMBER('Price History'!M74)),'Price History'!M74=0),"",'Price History'!M75/'Price History'!M74-1),"")</f>
        <v>-4.1069643452182669E-2</v>
      </c>
      <c r="N74" s="69">
        <f>IFERROR(IF(OR(NOT(ISNUMBER('Price History'!N75)),NOT(ISNUMBER('Price History'!N74)),'Price History'!N74=0),"",'Price History'!N75/'Price History'!N74-1),"")</f>
        <v>2.8922395348251806E-2</v>
      </c>
      <c r="O74" s="69">
        <f>IFERROR(IF(OR(NOT(ISNUMBER('Price History'!O75)),NOT(ISNUMBER('Price History'!O74)),'Price History'!O74=0),"",'Price History'!O75/'Price History'!O74-1),"")</f>
        <v>3.9538029341379399E-3</v>
      </c>
      <c r="P74" s="69" t="str">
        <f>IFERROR(IF(OR(NOT(ISNUMBER('Price History'!P75)),NOT(ISNUMBER('Price History'!P74)),'Price History'!P74=0),"",'Price History'!P75/'Price History'!P74-1),"")</f>
        <v/>
      </c>
      <c r="Q74" s="69">
        <f>IFERROR(IF(OR(NOT(ISNUMBER('Price History'!Q75)),NOT(ISNUMBER('Price History'!Q74)),'Price History'!Q74=0),"",'Price History'!Q75/'Price History'!Q74-1),"")</f>
        <v>1.051625239005749E-2</v>
      </c>
      <c r="R74" s="69">
        <f>IFERROR(IF(OR(NOT(ISNUMBER('Price History'!R75)),NOT(ISNUMBER('Price History'!R74)),'Price History'!R74=0),"",'Price History'!R75/'Price History'!R74-1),"")</f>
        <v>9.4405594405593263E-3</v>
      </c>
      <c r="S74" s="69">
        <f>IFERROR(IF(OR(NOT(ISNUMBER('Price History'!S75)),NOT(ISNUMBER('Price History'!S74)),'Price History'!S74=0),"",'Price History'!S75/'Price History'!S74-1),"")</f>
        <v>1.0567064239380697E-2</v>
      </c>
      <c r="T74" s="69">
        <f>IFERROR(IF(OR(NOT(ISNUMBER('Price History'!T75)),NOT(ISNUMBER('Price History'!T74)),'Price History'!T74=0),"",'Price History'!T75/'Price History'!T74-1),"")</f>
        <v>9.1445427728613637E-3</v>
      </c>
      <c r="U74" s="69" t="str">
        <f>IFERROR(IF(OR(NOT(ISNUMBER('Price History'!U75)),NOT(ISNUMBER('Price History'!U74)),'Price History'!U74=0),"",'Price History'!U75/'Price History'!U74-1),"")</f>
        <v/>
      </c>
    </row>
    <row r="75" spans="1:21" ht="15" customHeight="1" x14ac:dyDescent="0.2">
      <c r="A75" s="52">
        <f>'Price History'!A76</f>
        <v>45660</v>
      </c>
      <c r="B75" s="69">
        <f>IFERROR(IF(OR(NOT(ISNUMBER('Price History'!B76)),NOT(ISNUMBER('Price History'!B75)),'Price History'!B75=0),"",'Price History'!B76/'Price History'!B75-1),"")</f>
        <v>-3.5634294929224208E-2</v>
      </c>
      <c r="C75" s="69">
        <f>IFERROR(IF(OR(NOT(ISNUMBER('Price History'!C76)),NOT(ISNUMBER('Price History'!C75)),'Price History'!C75=0),"",'Price History'!C76/'Price History'!C75-1),"")</f>
        <v>1.9198442891267931E-2</v>
      </c>
      <c r="D75" s="69">
        <f>IFERROR(IF(OR(NOT(ISNUMBER('Price History'!D76)),NOT(ISNUMBER('Price History'!D75)),'Price History'!D75=0),"",'Price History'!D76/'Price History'!D75-1),"")</f>
        <v>1.0790509956697392E-3</v>
      </c>
      <c r="E75" s="69">
        <f>IFERROR(IF(OR(NOT(ISNUMBER('Price History'!E76)),NOT(ISNUMBER('Price History'!E75)),'Price History'!E75=0),"",'Price History'!E76/'Price History'!E75-1),"")</f>
        <v>-3.8055842812823149E-2</v>
      </c>
      <c r="F75" s="69">
        <f>IFERROR(IF(OR(NOT(ISNUMBER('Price History'!F76)),NOT(ISNUMBER('Price History'!F75)),'Price History'!F75=0),"",'Price History'!F76/'Price History'!F75-1),"")</f>
        <v>1.1380281690140936E-2</v>
      </c>
      <c r="G75" s="69">
        <f>IFERROR(IF(OR(NOT(ISNUMBER('Price History'!G76)),NOT(ISNUMBER('Price History'!G75)),'Price History'!G75=0),"",'Price History'!G76/'Price History'!G75-1),"")</f>
        <v>1.8920595533498785E-2</v>
      </c>
      <c r="H75" s="69">
        <f>IFERROR(IF(OR(NOT(ISNUMBER('Price History'!H76)),NOT(ISNUMBER('Price History'!H75)),'Price History'!H75=0),"",'Price History'!H76/'Price History'!H75-1),"")</f>
        <v>1.3990748053706481E-2</v>
      </c>
      <c r="I75" s="69">
        <f>IFERROR(IF(OR(NOT(ISNUMBER('Price History'!I76)),NOT(ISNUMBER('Price History'!I75)),'Price History'!I75=0),"",'Price History'!I76/'Price History'!I75-1),"")</f>
        <v>5.4448580395591639E-2</v>
      </c>
      <c r="J75" s="69">
        <f>IFERROR(IF(OR(NOT(ISNUMBER('Price History'!J76)),NOT(ISNUMBER('Price History'!J75)),'Price History'!J75=0),"",'Price History'!J76/'Price History'!J75-1),"")</f>
        <v>3.7058152793614241E-3</v>
      </c>
      <c r="K75" s="69">
        <f>IFERROR(IF(OR(NOT(ISNUMBER('Price History'!K76)),NOT(ISNUMBER('Price History'!K75)),'Price History'!K75=0),"",'Price History'!K76/'Price History'!K75-1),"")</f>
        <v>1.0242792109256493E-2</v>
      </c>
      <c r="L75" s="69">
        <f>IFERROR(IF(OR(NOT(ISNUMBER('Price History'!L76)),NOT(ISNUMBER('Price History'!L75)),'Price History'!L75=0),"",'Price History'!L76/'Price History'!L75-1),"")</f>
        <v>3.4617864405098508E-2</v>
      </c>
      <c r="M75" s="69">
        <f>IFERROR(IF(OR(NOT(ISNUMBER('Price History'!M76)),NOT(ISNUMBER('Price History'!M75)),'Price History'!M75=0),"",'Price History'!M76/'Price History'!M75-1),"")</f>
        <v>9.1738337242637469E-2</v>
      </c>
      <c r="N75" s="69">
        <f>IFERROR(IF(OR(NOT(ISNUMBER('Price History'!N76)),NOT(ISNUMBER('Price History'!N75)),'Price History'!N75=0),"",'Price History'!N76/'Price History'!N75-1),"")</f>
        <v>-4.0365984930031962E-3</v>
      </c>
      <c r="O75" s="69">
        <f>IFERROR(IF(OR(NOT(ISNUMBER('Price History'!O76)),NOT(ISNUMBER('Price History'!O75)),'Price History'!O75=0),"",'Price History'!O76/'Price History'!O75-1),"")</f>
        <v>7.7728261996061754E-3</v>
      </c>
      <c r="P75" s="69" t="str">
        <f>IFERROR(IF(OR(NOT(ISNUMBER('Price History'!P76)),NOT(ISNUMBER('Price History'!P75)),'Price History'!P75=0),"",'Price History'!P76/'Price History'!P75-1),"")</f>
        <v/>
      </c>
      <c r="Q75" s="69">
        <f>IFERROR(IF(OR(NOT(ISNUMBER('Price History'!Q76)),NOT(ISNUMBER('Price History'!Q75)),'Price History'!Q75=0),"",'Price History'!Q76/'Price History'!Q75-1),"")</f>
        <v>-8.9877010406811397E-3</v>
      </c>
      <c r="R75" s="69">
        <f>IFERROR(IF(OR(NOT(ISNUMBER('Price History'!R76)),NOT(ISNUMBER('Price History'!R75)),'Price History'!R75=0),"",'Price History'!R76/'Price History'!R75-1),"")</f>
        <v>-1.1430550744717771E-2</v>
      </c>
      <c r="S75" s="69">
        <f>IFERROR(IF(OR(NOT(ISNUMBER('Price History'!S76)),NOT(ISNUMBER('Price History'!S75)),'Price History'!S75=0),"",'Price History'!S76/'Price History'!S75-1),"")</f>
        <v>3.1059115850502472E-3</v>
      </c>
      <c r="T75" s="69">
        <f>IFERROR(IF(OR(NOT(ISNUMBER('Price History'!T76)),NOT(ISNUMBER('Price History'!T75)),'Price History'!T75=0),"",'Price History'!T76/'Price History'!T75-1),"")</f>
        <v>7.6001169248756106E-3</v>
      </c>
      <c r="U75" s="69" t="str">
        <f>IFERROR(IF(OR(NOT(ISNUMBER('Price History'!U76)),NOT(ISNUMBER('Price History'!U75)),'Price History'!U75=0),"",'Price History'!U76/'Price History'!U75-1),"")</f>
        <v/>
      </c>
    </row>
    <row r="76" spans="1:21" ht="15" customHeight="1" x14ac:dyDescent="0.2">
      <c r="A76" s="52">
        <f>'Price History'!A77</f>
        <v>45667</v>
      </c>
      <c r="B76" s="69">
        <f>IFERROR(IF(OR(NOT(ISNUMBER('Price History'!B77)),NOT(ISNUMBER('Price History'!B76)),'Price History'!B76=0),"",'Price History'!B77/'Price History'!B76-1),"")</f>
        <v>-5.7249692268388386E-2</v>
      </c>
      <c r="C76" s="69">
        <f>IFERROR(IF(OR(NOT(ISNUMBER('Price History'!C77)),NOT(ISNUMBER('Price History'!C76)),'Price History'!C76=0),"",'Price History'!C77/'Price History'!C76-1),"")</f>
        <v>-7.4652777777777235E-3</v>
      </c>
      <c r="D76" s="69">
        <f>IFERROR(IF(OR(NOT(ISNUMBER('Price History'!D77)),NOT(ISNUMBER('Price History'!D76)),'Price History'!D76=0),"",'Price History'!D77/'Price History'!D76-1),"")</f>
        <v>3.450641133322141E-2</v>
      </c>
      <c r="E76" s="69">
        <f>IFERROR(IF(OR(NOT(ISNUMBER('Price History'!E77)),NOT(ISNUMBER('Price History'!E76)),'Price History'!E76=0),"",'Price History'!E77/'Price History'!E76-1),"")</f>
        <v>-3.5433240163405766E-2</v>
      </c>
      <c r="F76" s="69">
        <f>IFERROR(IF(OR(NOT(ISNUMBER('Price History'!F77)),NOT(ISNUMBER('Price History'!F76)),'Price History'!F76=0),"",'Price History'!F77/'Price History'!F76-1),"")</f>
        <v>-2.840909090909105E-2</v>
      </c>
      <c r="G76" s="69">
        <f>IFERROR(IF(OR(NOT(ISNUMBER('Price History'!G77)),NOT(ISNUMBER('Price History'!G76)),'Price History'!G76=0),"",'Price History'!G77/'Price History'!G76-1),"")</f>
        <v>3.9726027397260166E-2</v>
      </c>
      <c r="H76" s="69">
        <f>IFERROR(IF(OR(NOT(ISNUMBER('Price History'!H77)),NOT(ISNUMBER('Price History'!H76)),'Price History'!H76=0),"",'Price History'!H77/'Price History'!H76-1),"")</f>
        <v>0.10537442973183486</v>
      </c>
      <c r="I76" s="69">
        <f>IFERROR(IF(OR(NOT(ISNUMBER('Price History'!I77)),NOT(ISNUMBER('Price History'!I76)),'Price History'!I76=0),"",'Price History'!I77/'Price History'!I76-1),"")</f>
        <v>-5.9251055582473899E-2</v>
      </c>
      <c r="J76" s="69">
        <f>IFERROR(IF(OR(NOT(ISNUMBER('Price History'!J77)),NOT(ISNUMBER('Price History'!J76)),'Price History'!J76=0),"",'Price History'!J77/'Price History'!J76-1),"")</f>
        <v>-1.9312695257029167E-2</v>
      </c>
      <c r="K76" s="69">
        <f>IFERROR(IF(OR(NOT(ISNUMBER('Price History'!K77)),NOT(ISNUMBER('Price History'!K76)),'Price History'!K76=0),"",'Price History'!K77/'Price History'!K76-1),"")</f>
        <v>-0.15809237701840029</v>
      </c>
      <c r="L76" s="69">
        <f>IFERROR(IF(OR(NOT(ISNUMBER('Price History'!L77)),NOT(ISNUMBER('Price History'!L76)),'Price History'!L76=0),"",'Price History'!L77/'Price History'!L76-1),"")</f>
        <v>-1.1504721729543865E-3</v>
      </c>
      <c r="M76" s="69">
        <f>IFERROR(IF(OR(NOT(ISNUMBER('Price History'!M77)),NOT(ISNUMBER('Price History'!M76)),'Price History'!M76=0),"",'Price History'!M77/'Price History'!M76-1),"")</f>
        <v>2.5940956473303078E-2</v>
      </c>
      <c r="N76" s="69">
        <f>IFERROR(IF(OR(NOT(ISNUMBER('Price History'!N77)),NOT(ISNUMBER('Price History'!N76)),'Price History'!N76=0),"",'Price History'!N77/'Price History'!N76-1),"")</f>
        <v>6.0180295251897054E-3</v>
      </c>
      <c r="O76" s="69">
        <f>IFERROR(IF(OR(NOT(ISNUMBER('Price History'!O77)),NOT(ISNUMBER('Price History'!O76)),'Price History'!O76=0),"",'Price History'!O77/'Price History'!O76-1),"")</f>
        <v>-2.6223776223776141E-2</v>
      </c>
      <c r="P76" s="69" t="str">
        <f>IFERROR(IF(OR(NOT(ISNUMBER('Price History'!P77)),NOT(ISNUMBER('Price History'!P76)),'Price History'!P76=0),"",'Price History'!P77/'Price History'!P76-1),"")</f>
        <v/>
      </c>
      <c r="Q76" s="69">
        <f>IFERROR(IF(OR(NOT(ISNUMBER('Price History'!Q77)),NOT(ISNUMBER('Price History'!Q76)),'Price History'!Q76=0),"",'Price History'!Q77/'Price History'!Q76-1),"")</f>
        <v>-6.364359586316648E-3</v>
      </c>
      <c r="R76" s="69">
        <f>IFERROR(IF(OR(NOT(ISNUMBER('Price History'!R77)),NOT(ISNUMBER('Price History'!R76)),'Price History'!R76=0),"",'Price History'!R77/'Price History'!R76-1),"")</f>
        <v>-1.927119831814994E-2</v>
      </c>
      <c r="S76" s="69">
        <f>IFERROR(IF(OR(NOT(ISNUMBER('Price History'!S77)),NOT(ISNUMBER('Price History'!S76)),'Price History'!S76=0),"",'Price History'!S77/'Price History'!S76-1),"")</f>
        <v>-1.3520487150376792E-2</v>
      </c>
      <c r="T76" s="69">
        <f>IFERROR(IF(OR(NOT(ISNUMBER('Price History'!T77)),NOT(ISNUMBER('Price History'!T76)),'Price History'!T76=0),"",'Price History'!T77/'Price History'!T76-1),"")</f>
        <v>-2.9010733971568392E-4</v>
      </c>
      <c r="U76" s="69" t="str">
        <f>IFERROR(IF(OR(NOT(ISNUMBER('Price History'!U77)),NOT(ISNUMBER('Price History'!U76)),'Price History'!U76=0),"",'Price History'!U77/'Price History'!U76-1),"")</f>
        <v/>
      </c>
    </row>
    <row r="77" spans="1:21" ht="15" customHeight="1" x14ac:dyDescent="0.2">
      <c r="A77" s="52">
        <f>'Price History'!A78</f>
        <v>45674</v>
      </c>
      <c r="B77" s="69">
        <f>IFERROR(IF(OR(NOT(ISNUMBER('Price History'!B78)),NOT(ISNUMBER('Price History'!B77)),'Price History'!B77=0),"",'Price History'!B78/'Price History'!B77-1),"")</f>
        <v>5.9297398502167864E-2</v>
      </c>
      <c r="C77" s="69">
        <f>IFERROR(IF(OR(NOT(ISNUMBER('Price History'!C78)),NOT(ISNUMBER('Price History'!C77)),'Price History'!C77=0),"",'Price History'!C78/'Price History'!C77-1),"")</f>
        <v>4.9064194507608905E-2</v>
      </c>
      <c r="D77" s="69">
        <f>IFERROR(IF(OR(NOT(ISNUMBER('Price History'!D78)),NOT(ISNUMBER('Price History'!D77)),'Price History'!D77=0),"",'Price History'!D78/'Price History'!D77-1),"")</f>
        <v>2.3436759989716061E-2</v>
      </c>
      <c r="E77" s="69">
        <f>IFERROR(IF(OR(NOT(ISNUMBER('Price History'!E78)),NOT(ISNUMBER('Price History'!E77)),'Price History'!E77=0),"",'Price History'!E78/'Price History'!E77-1),"")</f>
        <v>5.8535063082341354E-2</v>
      </c>
      <c r="F77" s="69">
        <f>IFERROR(IF(OR(NOT(ISNUMBER('Price History'!F78)),NOT(ISNUMBER('Price History'!F77)),'Price History'!F77=0),"",'Price History'!F78/'Price History'!F77-1),"")</f>
        <v>2.3391812865497075E-2</v>
      </c>
      <c r="G77" s="69">
        <f>IFERROR(IF(OR(NOT(ISNUMBER('Price History'!G78)),NOT(ISNUMBER('Price History'!G77)),'Price History'!G77=0),"",'Price History'!G78/'Price History'!G77-1),"")</f>
        <v>0.1089152393500219</v>
      </c>
      <c r="H77" s="69">
        <f>IFERROR(IF(OR(NOT(ISNUMBER('Price History'!H78)),NOT(ISNUMBER('Price History'!H77)),'Price History'!H77=0),"",'Price History'!H78/'Price History'!H77-1),"")</f>
        <v>6.4525870746929614E-2</v>
      </c>
      <c r="I77" s="69">
        <f>IFERROR(IF(OR(NOT(ISNUMBER('Price History'!I78)),NOT(ISNUMBER('Price History'!I77)),'Price History'!I77=0),"",'Price History'!I78/'Price History'!I77-1),"")</f>
        <v>1.3244058568170125E-2</v>
      </c>
      <c r="J77" s="69">
        <f>IFERROR(IF(OR(NOT(ISNUMBER('Price History'!J78)),NOT(ISNUMBER('Price History'!J77)),'Price History'!J77=0),"",'Price History'!J78/'Price History'!J77-1),"")</f>
        <v>5.6858770151559046E-2</v>
      </c>
      <c r="K77" s="69">
        <f>IFERROR(IF(OR(NOT(ISNUMBER('Price History'!K78)),NOT(ISNUMBER('Price History'!K77)),'Price History'!K77=0),"",'Price History'!K78/'Price History'!K77-1),"")</f>
        <v>6.7053226286053924E-2</v>
      </c>
      <c r="L77" s="69">
        <f>IFERROR(IF(OR(NOT(ISNUMBER('Price History'!L78)),NOT(ISNUMBER('Price History'!L77)),'Price History'!L77=0),"",'Price History'!L78/'Price History'!L77-1),"")</f>
        <v>1.502135624130152E-2</v>
      </c>
      <c r="M77" s="69">
        <f>IFERROR(IF(OR(NOT(ISNUMBER('Price History'!M78)),NOT(ISNUMBER('Price History'!M77)),'Price History'!M77=0),"",'Price History'!M78/'Price History'!M77-1),"")</f>
        <v>5.3905219886760225E-2</v>
      </c>
      <c r="N77" s="69">
        <f>IFERROR(IF(OR(NOT(ISNUMBER('Price History'!N78)),NOT(ISNUMBER('Price History'!N77)),'Price History'!N77=0),"",'Price History'!N78/'Price History'!N77-1),"")</f>
        <v>3.0374059966793654E-2</v>
      </c>
      <c r="O77" s="69">
        <f>IFERROR(IF(OR(NOT(ISNUMBER('Price History'!O78)),NOT(ISNUMBER('Price History'!O77)),'Price History'!O77=0),"",'Price History'!O78/'Price History'!O77-1),"")</f>
        <v>4.8896398774949779E-2</v>
      </c>
      <c r="P77" s="69" t="str">
        <f>IFERROR(IF(OR(NOT(ISNUMBER('Price History'!P78)),NOT(ISNUMBER('Price History'!P77)),'Price History'!P77=0),"",'Price History'!P78/'Price History'!P77-1),"")</f>
        <v/>
      </c>
      <c r="Q77" s="69">
        <f>IFERROR(IF(OR(NOT(ISNUMBER('Price History'!Q78)),NOT(ISNUMBER('Price History'!Q77)),'Price History'!Q77=0),"",'Price History'!Q78/'Price History'!Q77-1),"")</f>
        <v>-1.7453963170536491E-2</v>
      </c>
      <c r="R77" s="69">
        <f>IFERROR(IF(OR(NOT(ISNUMBER('Price History'!R78)),NOT(ISNUMBER('Price History'!R77)),'Price History'!R77=0),"",'Price History'!R78/'Price History'!R77-1),"")</f>
        <v>2.3043944265809246E-2</v>
      </c>
      <c r="S77" s="69">
        <f>IFERROR(IF(OR(NOT(ISNUMBER('Price History'!S78)),NOT(ISNUMBER('Price History'!S77)),'Price History'!S77=0),"",'Price History'!S78/'Price History'!S77-1),"")</f>
        <v>3.2119690311780857E-2</v>
      </c>
      <c r="T77" s="69">
        <f>IFERROR(IF(OR(NOT(ISNUMBER('Price History'!T78)),NOT(ISNUMBER('Price History'!T77)),'Price History'!T77=0),"",'Price History'!T78/'Price History'!T77-1),"")</f>
        <v>3.859547301218802E-2</v>
      </c>
      <c r="U77" s="69" t="str">
        <f>IFERROR(IF(OR(NOT(ISNUMBER('Price History'!U78)),NOT(ISNUMBER('Price History'!U77)),'Price History'!U77=0),"",'Price History'!U78/'Price History'!U77-1),"")</f>
        <v/>
      </c>
    </row>
    <row r="78" spans="1:21" ht="15" customHeight="1" x14ac:dyDescent="0.2">
      <c r="A78" s="52">
        <f>'Price History'!A79</f>
        <v>45681</v>
      </c>
      <c r="B78" s="69">
        <f>IFERROR(IF(OR(NOT(ISNUMBER('Price History'!B79)),NOT(ISNUMBER('Price History'!B78)),'Price History'!B78=0),"",'Price History'!B79/'Price History'!B78-1),"")</f>
        <v>1.2535175236633389E-2</v>
      </c>
      <c r="C78" s="69">
        <f>IFERROR(IF(OR(NOT(ISNUMBER('Price History'!C79)),NOT(ISNUMBER('Price History'!C78)),'Price History'!C78=0),"",'Price History'!C79/'Price History'!C78-1),"")</f>
        <v>7.6865360566902741E-2</v>
      </c>
      <c r="D78" s="69">
        <f>IFERROR(IF(OR(NOT(ISNUMBER('Price History'!D79)),NOT(ISNUMBER('Price History'!D78)),'Price History'!D78=0),"",'Price History'!D79/'Price History'!D78-1),"")</f>
        <v>-3.1837954332103791E-2</v>
      </c>
      <c r="E78" s="69">
        <f>IFERROR(IF(OR(NOT(ISNUMBER('Price History'!E79)),NOT(ISNUMBER('Price History'!E78)),'Price History'!E78=0),"",'Price History'!E79/'Price History'!E78-1),"")</f>
        <v>3.0576145552560607E-2</v>
      </c>
      <c r="F78" s="69">
        <f>IFERROR(IF(OR(NOT(ISNUMBER('Price History'!F79)),NOT(ISNUMBER('Price History'!F78)),'Price History'!F78=0),"",'Price History'!F79/'Price History'!F78-1),"")</f>
        <v>5.0196078431372637E-2</v>
      </c>
      <c r="G78" s="69">
        <f>IFERROR(IF(OR(NOT(ISNUMBER('Price History'!G79)),NOT(ISNUMBER('Price History'!G78)),'Price History'!G78=0),"",'Price History'!G79/'Price History'!G78-1),"")</f>
        <v>-1.0165016501650137E-2</v>
      </c>
      <c r="H78" s="69">
        <f>IFERROR(IF(OR(NOT(ISNUMBER('Price History'!H79)),NOT(ISNUMBER('Price History'!H78)),'Price History'!H78=0),"",'Price History'!H79/'Price History'!H78-1),"")</f>
        <v>-2.4208037825059092E-2</v>
      </c>
      <c r="I78" s="69">
        <f>IFERROR(IF(OR(NOT(ISNUMBER('Price History'!I79)),NOT(ISNUMBER('Price History'!I78)),'Price History'!I78=0),"",'Price History'!I79/'Price History'!I78-1),"")</f>
        <v>3.5654636555079389E-2</v>
      </c>
      <c r="J78" s="69">
        <f>IFERROR(IF(OR(NOT(ISNUMBER('Price History'!J79)),NOT(ISNUMBER('Price History'!J78)),'Price History'!J78=0),"",'Price History'!J79/'Price History'!J78-1),"")</f>
        <v>8.6317135549872193E-2</v>
      </c>
      <c r="K78" s="69">
        <f>IFERROR(IF(OR(NOT(ISNUMBER('Price History'!K79)),NOT(ISNUMBER('Price History'!K78)),'Price History'!K78=0),"",'Price History'!K79/'Price History'!K78-1),"")</f>
        <v>0.10045980214574346</v>
      </c>
      <c r="L78" s="69">
        <f>IFERROR(IF(OR(NOT(ISNUMBER('Price History'!L79)),NOT(ISNUMBER('Price History'!L78)),'Price History'!L78=0),"",'Price History'!L79/'Price History'!L78-1),"")</f>
        <v>4.9078014184397167E-2</v>
      </c>
      <c r="M78" s="69">
        <f>IFERROR(IF(OR(NOT(ISNUMBER('Price History'!M79)),NOT(ISNUMBER('Price History'!M78)),'Price History'!M78=0),"",'Price History'!M79/'Price History'!M78-1),"")</f>
        <v>7.6832499264056553E-2</v>
      </c>
      <c r="N78" s="69">
        <f>IFERROR(IF(OR(NOT(ISNUMBER('Price History'!N79)),NOT(ISNUMBER('Price History'!N78)),'Price History'!N78=0),"",'Price History'!N79/'Price History'!N78-1),"")</f>
        <v>4.1753554502369727E-2</v>
      </c>
      <c r="O78" s="69">
        <f>IFERROR(IF(OR(NOT(ISNUMBER('Price History'!O79)),NOT(ISNUMBER('Price History'!O78)),'Price History'!O78=0),"",'Price History'!O79/'Price History'!O78-1),"")</f>
        <v>5.0342327829238087E-3</v>
      </c>
      <c r="P78" s="69" t="str">
        <f>IFERROR(IF(OR(NOT(ISNUMBER('Price History'!P79)),NOT(ISNUMBER('Price History'!P78)),'Price History'!P78=0),"",'Price History'!P79/'Price History'!P78-1),"")</f>
        <v/>
      </c>
      <c r="Q78" s="69">
        <f>IFERROR(IF(OR(NOT(ISNUMBER('Price History'!Q79)),NOT(ISNUMBER('Price History'!Q78)),'Price History'!Q78=0),"",'Price History'!Q79/'Price History'!Q78-1),"")</f>
        <v>-1.4178617992177234E-2</v>
      </c>
      <c r="R78" s="69">
        <f>IFERROR(IF(OR(NOT(ISNUMBER('Price History'!R79)),NOT(ISNUMBER('Price History'!R78)),'Price History'!R78=0),"",'Price History'!R79/'Price History'!R78-1),"")</f>
        <v>1.396891915488041E-2</v>
      </c>
      <c r="S78" s="69">
        <f>IFERROR(IF(OR(NOT(ISNUMBER('Price History'!S79)),NOT(ISNUMBER('Price History'!S78)),'Price History'!S78=0),"",'Price History'!S79/'Price History'!S78-1),"")</f>
        <v>2.716675114039524E-2</v>
      </c>
      <c r="T78" s="69">
        <f>IFERROR(IF(OR(NOT(ISNUMBER('Price History'!T79)),NOT(ISNUMBER('Price History'!T78)),'Price History'!T78=0),"",'Price History'!T79/'Price History'!T78-1),"")</f>
        <v>2.5146689019279744E-3</v>
      </c>
      <c r="U78" s="69" t="str">
        <f>IFERROR(IF(OR(NOT(ISNUMBER('Price History'!U79)),NOT(ISNUMBER('Price History'!U78)),'Price History'!U78=0),"",'Price History'!U79/'Price History'!U78-1),"")</f>
        <v/>
      </c>
    </row>
    <row r="79" spans="1:21" ht="15" customHeight="1" x14ac:dyDescent="0.2">
      <c r="A79" s="52">
        <f>'Price History'!A80</f>
        <v>45688</v>
      </c>
      <c r="B79" s="69">
        <f>IFERROR(IF(OR(NOT(ISNUMBER('Price History'!B80)),NOT(ISNUMBER('Price History'!B79)),'Price History'!B79=0),"",'Price History'!B80/'Price History'!B79-1),"")</f>
        <v>4.7544673618447053E-3</v>
      </c>
      <c r="C79" s="69">
        <f>IFERROR(IF(OR(NOT(ISNUMBER('Price History'!C80)),NOT(ISNUMBER('Price History'!C79)),'Price History'!C79=0),"",'Price History'!C80/'Price History'!C79-1),"")</f>
        <v>-0.10791979561817744</v>
      </c>
      <c r="D79" s="69">
        <f>IFERROR(IF(OR(NOT(ISNUMBER('Price History'!D80)),NOT(ISNUMBER('Price History'!D79)),'Price History'!D79=0),"",'Price History'!D80/'Price History'!D79-1),"")</f>
        <v>9.6415158757254815E-3</v>
      </c>
      <c r="E79" s="69">
        <f>IFERROR(IF(OR(NOT(ISNUMBER('Price History'!E80)),NOT(ISNUMBER('Price History'!E79)),'Price History'!E79=0),"",'Price History'!E80/'Price History'!E79-1),"")</f>
        <v>-9.5749897834082498E-2</v>
      </c>
      <c r="F79" s="69">
        <f>IFERROR(IF(OR(NOT(ISNUMBER('Price History'!F80)),NOT(ISNUMBER('Price History'!F79)),'Price History'!F79=0),"",'Price History'!F80/'Price History'!F79-1),"")</f>
        <v>6.1773178278032637E-2</v>
      </c>
      <c r="G79" s="69">
        <f>IFERROR(IF(OR(NOT(ISNUMBER('Price History'!G80)),NOT(ISNUMBER('Price History'!G79)),'Price History'!G79=0),"",'Price History'!G80/'Price History'!G79-1),"")</f>
        <v>-1.5470792211256468E-2</v>
      </c>
      <c r="H79" s="69">
        <f>IFERROR(IF(OR(NOT(ISNUMBER('Price History'!H80)),NOT(ISNUMBER('Price History'!H79)),'Price History'!H79=0),"",'Price History'!H80/'Price History'!H79-1),"")</f>
        <v>-0.11580579513518752</v>
      </c>
      <c r="I79" s="69">
        <f>IFERROR(IF(OR(NOT(ISNUMBER('Price History'!I80)),NOT(ISNUMBER('Price History'!I79)),'Price History'!I79=0),"",'Price History'!I80/'Price History'!I79-1),"")</f>
        <v>-0.15811246669471335</v>
      </c>
      <c r="J79" s="69">
        <f>IFERROR(IF(OR(NOT(ISNUMBER('Price History'!J80)),NOT(ISNUMBER('Price History'!J79)),'Price History'!J79=0),"",'Price History'!J80/'Price History'!J79-1),"")</f>
        <v>2.6906583704700004E-3</v>
      </c>
      <c r="K79" s="69">
        <f>IFERROR(IF(OR(NOT(ISNUMBER('Price History'!K80)),NOT(ISNUMBER('Price History'!K79)),'Price History'!K79=0),"",'Price History'!K80/'Price History'!K79-1),"")</f>
        <v>4.4441630792605658E-2</v>
      </c>
      <c r="L79" s="69">
        <f>IFERROR(IF(OR(NOT(ISNUMBER('Price History'!L80)),NOT(ISNUMBER('Price History'!L79)),'Price History'!L79=0),"",'Price History'!L80/'Price History'!L79-1),"")</f>
        <v>-5.6607175049576353E-2</v>
      </c>
      <c r="M79" s="69">
        <f>IFERROR(IF(OR(NOT(ISNUMBER('Price History'!M80)),NOT(ISNUMBER('Price History'!M79)),'Price History'!M79=0),"",'Price History'!M80/'Price History'!M79-1),"")</f>
        <v>-0.20024603608529246</v>
      </c>
      <c r="N79" s="69">
        <f>IFERROR(IF(OR(NOT(ISNUMBER('Price History'!N80)),NOT(ISNUMBER('Price History'!N79)),'Price History'!N79=0),"",'Price History'!N80/'Price History'!N79-1),"")</f>
        <v>5.0179700650561765E-2</v>
      </c>
      <c r="O79" s="69">
        <f>IFERROR(IF(OR(NOT(ISNUMBER('Price History'!O80)),NOT(ISNUMBER('Price History'!O79)),'Price History'!O79=0),"",'Price History'!O80/'Price History'!O79-1),"")</f>
        <v>-1.5127229012221854E-2</v>
      </c>
      <c r="P79" s="69" t="str">
        <f>IFERROR(IF(OR(NOT(ISNUMBER('Price History'!P80)),NOT(ISNUMBER('Price History'!P79)),'Price History'!P79=0),"",'Price History'!P80/'Price History'!P79-1),"")</f>
        <v/>
      </c>
      <c r="Q79" s="69">
        <f>IFERROR(IF(OR(NOT(ISNUMBER('Price History'!Q80)),NOT(ISNUMBER('Price History'!Q79)),'Price History'!Q79=0),"",'Price History'!Q80/'Price History'!Q79-1),"")</f>
        <v>-2.1491155562903819E-3</v>
      </c>
      <c r="R79" s="69">
        <f>IFERROR(IF(OR(NOT(ISNUMBER('Price History'!R80)),NOT(ISNUMBER('Price History'!R79)),'Price History'!R79=0),"",'Price History'!R80/'Price History'!R79-1),"")</f>
        <v>-1.0332357499569511E-2</v>
      </c>
      <c r="S79" s="69">
        <f>IFERROR(IF(OR(NOT(ISNUMBER('Price History'!S80)),NOT(ISNUMBER('Price History'!S79)),'Price History'!S79=0),"",'Price History'!S80/'Price History'!S79-1),"")</f>
        <v>-1.2730681930326559E-2</v>
      </c>
      <c r="T79" s="69">
        <f>IFERROR(IF(OR(NOT(ISNUMBER('Price History'!T80)),NOT(ISNUMBER('Price History'!T79)),'Price History'!T79=0),"",'Price History'!T80/'Price History'!T79-1),"")</f>
        <v>-1.0312151616499565E-2</v>
      </c>
      <c r="U79" s="69" t="str">
        <f>IFERROR(IF(OR(NOT(ISNUMBER('Price History'!U80)),NOT(ISNUMBER('Price History'!U79)),'Price History'!U79=0),"",'Price History'!U80/'Price History'!U79-1),"")</f>
        <v/>
      </c>
    </row>
    <row r="80" spans="1:21" ht="15" customHeight="1" x14ac:dyDescent="0.2">
      <c r="A80" s="52">
        <f>'Price History'!A81</f>
        <v>45695</v>
      </c>
      <c r="B80" s="69">
        <f>IFERROR(IF(OR(NOT(ISNUMBER('Price History'!B81)),NOT(ISNUMBER('Price History'!B80)),'Price History'!B80=0),"",'Price History'!B81/'Price History'!B80-1),"")</f>
        <v>-1.0012572865470304E-2</v>
      </c>
      <c r="C80" s="69">
        <f>IFERROR(IF(OR(NOT(ISNUMBER('Price History'!C81)),NOT(ISNUMBER('Price History'!C80)),'Price History'!C80=0),"",'Price History'!C81/'Price History'!C80-1),"")</f>
        <v>2.8117677688102027E-2</v>
      </c>
      <c r="D80" s="69">
        <f>IFERROR(IF(OR(NOT(ISNUMBER('Price History'!D81)),NOT(ISNUMBER('Price History'!D80)),'Price History'!D80=0),"",'Price History'!D81/'Price History'!D80-1),"")</f>
        <v>-1.5703831951414005E-2</v>
      </c>
      <c r="E80" s="69">
        <f>IFERROR(IF(OR(NOT(ISNUMBER('Price History'!E81)),NOT(ISNUMBER('Price History'!E80)),'Price History'!E80=0),"",'Price History'!E81/'Price History'!E80-1),"")</f>
        <v>1.6269715731911161E-2</v>
      </c>
      <c r="F80" s="69">
        <f>IFERROR(IF(OR(NOT(ISNUMBER('Price History'!F81)),NOT(ISNUMBER('Price History'!F80)),'Price History'!F80=0),"",'Price History'!F81/'Price History'!F80-1),"")</f>
        <v>5.9083601286173737E-2</v>
      </c>
      <c r="G80" s="69">
        <f>IFERROR(IF(OR(NOT(ISNUMBER('Price History'!G81)),NOT(ISNUMBER('Price History'!G80)),'Price History'!G80=0),"",'Price History'!G81/'Price History'!G80-1),"")</f>
        <v>1.2869141154158825E-2</v>
      </c>
      <c r="H80" s="69">
        <f>IFERROR(IF(OR(NOT(ISNUMBER('Price History'!H81)),NOT(ISNUMBER('Price History'!H80)),'Price History'!H80=0),"",'Price History'!H81/'Price History'!H80-1),"")</f>
        <v>1.1617711530030661E-2</v>
      </c>
      <c r="I80" s="69">
        <f>IFERROR(IF(OR(NOT(ISNUMBER('Price History'!I81)),NOT(ISNUMBER('Price History'!I80)),'Price History'!I80=0),"",'Price History'!I81/'Price History'!I80-1),"")</f>
        <v>8.1369201299242189E-2</v>
      </c>
      <c r="J80" s="69">
        <f>IFERROR(IF(OR(NOT(ISNUMBER('Price History'!J81)),NOT(ISNUMBER('Price History'!J80)),'Price History'!J80=0),"",'Price History'!J81/'Price History'!J80-1),"")</f>
        <v>-1.5932914046121627E-2</v>
      </c>
      <c r="K80" s="69">
        <f>IFERROR(IF(OR(NOT(ISNUMBER('Price History'!K81)),NOT(ISNUMBER('Price History'!K80)),'Price History'!K80=0),"",'Price History'!K81/'Price History'!K80-1),"")</f>
        <v>0.34379924839374465</v>
      </c>
      <c r="L80" s="69">
        <f>IFERROR(IF(OR(NOT(ISNUMBER('Price History'!L81)),NOT(ISNUMBER('Price History'!L80)),'Price History'!L80=0),"",'Price History'!L81/'Price History'!L80-1),"")</f>
        <v>-1.528759793617418E-2</v>
      </c>
      <c r="M80" s="69">
        <f>IFERROR(IF(OR(NOT(ISNUMBER('Price History'!M81)),NOT(ISNUMBER('Price History'!M80)),'Price History'!M80=0),"",'Price History'!M81/'Price History'!M80-1),"")</f>
        <v>3.7258588275508542E-2</v>
      </c>
      <c r="N80" s="69">
        <f>IFERROR(IF(OR(NOT(ISNUMBER('Price History'!N81)),NOT(ISNUMBER('Price History'!N80)),'Price History'!N80=0),"",'Price History'!N81/'Price History'!N80-1),"")</f>
        <v>1.6548258534049509E-2</v>
      </c>
      <c r="O80" s="69">
        <f>IFERROR(IF(OR(NOT(ISNUMBER('Price History'!O81)),NOT(ISNUMBER('Price History'!O80)),'Price History'!O80=0),"",'Price History'!O81/'Price History'!O80-1),"")</f>
        <v>-1.1595971925541626E-2</v>
      </c>
      <c r="P80" s="69" t="str">
        <f>IFERROR(IF(OR(NOT(ISNUMBER('Price History'!P81)),NOT(ISNUMBER('Price History'!P80)),'Price History'!P80=0),"",'Price History'!P81/'Price History'!P80-1),"")</f>
        <v/>
      </c>
      <c r="Q80" s="69">
        <f>IFERROR(IF(OR(NOT(ISNUMBER('Price History'!Q81)),NOT(ISNUMBER('Price History'!Q80)),'Price History'!Q80=0),"",'Price History'!Q81/'Price History'!Q80-1),"")</f>
        <v>-1.2922465208747513E-2</v>
      </c>
      <c r="R80" s="69">
        <f>IFERROR(IF(OR(NOT(ISNUMBER('Price History'!R81)),NOT(ISNUMBER('Price History'!R80)),'Price History'!R80=0),"",'Price History'!R81/'Price History'!R80-1),"")</f>
        <v>-5.2201148425264909E-3</v>
      </c>
      <c r="S80" s="69">
        <f>IFERROR(IF(OR(NOT(ISNUMBER('Price History'!S81)),NOT(ISNUMBER('Price History'!S80)),'Price History'!S80=0),"",'Price History'!S81/'Price History'!S80-1),"")</f>
        <v>1.9892043182726749E-2</v>
      </c>
      <c r="T80" s="69">
        <f>IFERROR(IF(OR(NOT(ISNUMBER('Price History'!T81)),NOT(ISNUMBER('Price History'!T80)),'Price History'!T80=0),"",'Price History'!T81/'Price History'!T80-1),"")</f>
        <v>-8.7299352295127086E-3</v>
      </c>
      <c r="U80" s="69" t="str">
        <f>IFERROR(IF(OR(NOT(ISNUMBER('Price History'!U81)),NOT(ISNUMBER('Price History'!U80)),'Price History'!U80=0),"",'Price History'!U81/'Price History'!U80-1),"")</f>
        <v/>
      </c>
    </row>
    <row r="81" spans="1:21" ht="15" customHeight="1" x14ac:dyDescent="0.2">
      <c r="A81" s="52">
        <f>'Price History'!A82</f>
        <v>45702</v>
      </c>
      <c r="B81" s="69">
        <f>IFERROR(IF(OR(NOT(ISNUMBER('Price History'!B82)),NOT(ISNUMBER('Price History'!B81)),'Price History'!B81=0),"",'Price History'!B82/'Price History'!B81-1),"")</f>
        <v>6.2553397834068436E-2</v>
      </c>
      <c r="C81" s="69">
        <f>IFERROR(IF(OR(NOT(ISNUMBER('Price History'!C82)),NOT(ISNUMBER('Price History'!C81)),'Price History'!C81=0),"",'Price History'!C82/'Price History'!C81-1),"")</f>
        <v>-9.7915083987507368E-2</v>
      </c>
      <c r="D81" s="69">
        <f>IFERROR(IF(OR(NOT(ISNUMBER('Price History'!D82)),NOT(ISNUMBER('Price History'!D81)),'Price History'!D81=0),"",'Price History'!D82/'Price History'!D81-1),"")</f>
        <v>3.27744949841966E-2</v>
      </c>
      <c r="E81" s="69">
        <f>IFERROR(IF(OR(NOT(ISNUMBER('Price History'!E82)),NOT(ISNUMBER('Price History'!E81)),'Price History'!E81=0),"",'Price History'!E82/'Price History'!E81-1),"")</f>
        <v>3.6332102992840287E-2</v>
      </c>
      <c r="F81" s="69">
        <f>IFERROR(IF(OR(NOT(ISNUMBER('Price History'!F82)),NOT(ISNUMBER('Price History'!F81)),'Price History'!F81=0),"",'Price History'!F82/'Price History'!F81-1),"")</f>
        <v>7.1537001897533203E-2</v>
      </c>
      <c r="G81" s="69">
        <f>IFERROR(IF(OR(NOT(ISNUMBER('Price History'!G82)),NOT(ISNUMBER('Price History'!G81)),'Price History'!G81=0),"",'Price History'!G82/'Price History'!G81-1),"")</f>
        <v>4.0123044001605379E-3</v>
      </c>
      <c r="H81" s="69">
        <f>IFERROR(IF(OR(NOT(ISNUMBER('Price History'!H82)),NOT(ISNUMBER('Price History'!H81)),'Price History'!H81=0),"",'Price History'!H82/'Price History'!H81-1),"")</f>
        <v>7.8223185265438699E-2</v>
      </c>
      <c r="I81" s="69">
        <f>IFERROR(IF(OR(NOT(ISNUMBER('Price History'!I82)),NOT(ISNUMBER('Price History'!I81)),'Price History'!I81=0),"",'Price History'!I82/'Price History'!I81-1),"")</f>
        <v>6.9393099199014152E-2</v>
      </c>
      <c r="J81" s="69">
        <f>IFERROR(IF(OR(NOT(ISNUMBER('Price History'!J82)),NOT(ISNUMBER('Price History'!J81)),'Price History'!J81=0),"",'Price History'!J82/'Price History'!J81-1),"")</f>
        <v>2.9825308904985137E-2</v>
      </c>
      <c r="K81" s="69">
        <f>IFERROR(IF(OR(NOT(ISNUMBER('Price History'!K82)),NOT(ISNUMBER('Price History'!K81)),'Price History'!K81=0),"",'Price History'!K82/'Price History'!K81-1),"")</f>
        <v>7.4966170500676554E-2</v>
      </c>
      <c r="L81" s="69">
        <f>IFERROR(IF(OR(NOT(ISNUMBER('Price History'!L82)),NOT(ISNUMBER('Price History'!L81)),'Price History'!L81=0),"",'Price History'!L82/'Price History'!L81-1),"")</f>
        <v>-1.0770424995148464E-2</v>
      </c>
      <c r="M81" s="69">
        <f>IFERROR(IF(OR(NOT(ISNUMBER('Price History'!M82)),NOT(ISNUMBER('Price History'!M81)),'Price History'!M81=0),"",'Price History'!M82/'Price History'!M81-1),"")</f>
        <v>-0.10982039874773442</v>
      </c>
      <c r="N81" s="69">
        <f>IFERROR(IF(OR(NOT(ISNUMBER('Price History'!N82)),NOT(ISNUMBER('Price History'!N81)),'Price History'!N81=0),"",'Price History'!N82/'Price History'!N81-1),"")</f>
        <v>-2.1989261058552811E-2</v>
      </c>
      <c r="O81" s="69">
        <f>IFERROR(IF(OR(NOT(ISNUMBER('Price History'!O82)),NOT(ISNUMBER('Price History'!O81)),'Price History'!O81=0),"",'Price History'!O82/'Price History'!O81-1),"")</f>
        <v>3.087372645878439E-3</v>
      </c>
      <c r="P81" s="69" t="str">
        <f>IFERROR(IF(OR(NOT(ISNUMBER('Price History'!P82)),NOT(ISNUMBER('Price History'!P81)),'Price History'!P81=0),"",'Price History'!P82/'Price History'!P81-1),"")</f>
        <v/>
      </c>
      <c r="Q81" s="69">
        <f>IFERROR(IF(OR(NOT(ISNUMBER('Price History'!Q82)),NOT(ISNUMBER('Price History'!Q81)),'Price History'!Q81=0),"",'Price History'!Q82/'Price History'!Q81-1),"")</f>
        <v>-3.8771399798590012E-2</v>
      </c>
      <c r="R81" s="69">
        <f>IFERROR(IF(OR(NOT(ISNUMBER('Price History'!R82)),NOT(ISNUMBER('Price History'!R81)),'Price History'!R81=0),"",'Price History'!R82/'Price History'!R81-1),"")</f>
        <v>1.92408605912191E-2</v>
      </c>
      <c r="S81" s="69">
        <f>IFERROR(IF(OR(NOT(ISNUMBER('Price History'!S82)),NOT(ISNUMBER('Price History'!S81)),'Price History'!S81=0),"",'Price History'!S82/'Price History'!S81-1),"")</f>
        <v>1.009507007742827E-2</v>
      </c>
      <c r="T81" s="69">
        <f>IFERROR(IF(OR(NOT(ISNUMBER('Price History'!T82)),NOT(ISNUMBER('Price History'!T81)),'Price History'!T81=0),"",'Price History'!T82/'Price History'!T81-1),"")</f>
        <v>1.1647727272727115E-2</v>
      </c>
      <c r="U81" s="69" t="str">
        <f>IFERROR(IF(OR(NOT(ISNUMBER('Price History'!U82)),NOT(ISNUMBER('Price History'!U81)),'Price History'!U81=0),"",'Price History'!U82/'Price History'!U81-1),"")</f>
        <v/>
      </c>
    </row>
    <row r="82" spans="1:21" ht="15" customHeight="1" x14ac:dyDescent="0.2">
      <c r="A82" s="52">
        <f>'Price History'!A83</f>
        <v>45709</v>
      </c>
      <c r="B82" s="69">
        <f>IFERROR(IF(OR(NOT(ISNUMBER('Price History'!B83)),NOT(ISNUMBER('Price History'!B82)),'Price History'!B82=0),"",'Price History'!B83/'Price History'!B82-1),"")</f>
        <v>-3.4422809457580028E-2</v>
      </c>
      <c r="C82" s="69">
        <f>IFERROR(IF(OR(NOT(ISNUMBER('Price History'!C83)),NOT(ISNUMBER('Price History'!C82)),'Price History'!C82=0),"",'Price History'!C83/'Price History'!C82-1),"")</f>
        <v>-8.0190886123327476E-2</v>
      </c>
      <c r="D82" s="69">
        <f>IFERROR(IF(OR(NOT(ISNUMBER('Price History'!D83)),NOT(ISNUMBER('Price History'!D82)),'Price History'!D82=0),"",'Price History'!D83/'Price History'!D82-1),"")</f>
        <v>-1.9080566828554191E-2</v>
      </c>
      <c r="E82" s="69">
        <f>IFERROR(IF(OR(NOT(ISNUMBER('Price History'!E83)),NOT(ISNUMBER('Price History'!E82)),'Price History'!E82=0),"",'Price History'!E83/'Price History'!E82-1),"")</f>
        <v>-6.1706144867833879E-2</v>
      </c>
      <c r="F82" s="69">
        <f>IFERROR(IF(OR(NOT(ISNUMBER('Price History'!F83)),NOT(ISNUMBER('Price History'!F82)),'Price History'!F82=0),"",'Price History'!F83/'Price History'!F82-1),"")</f>
        <v>-9.9787497786435253E-2</v>
      </c>
      <c r="G82" s="69">
        <f>IFERROR(IF(OR(NOT(ISNUMBER('Price History'!G83)),NOT(ISNUMBER('Price History'!G82)),'Price History'!G82=0),"",'Price History'!G83/'Price History'!G82-1),"")</f>
        <v>4.7955241774346735E-3</v>
      </c>
      <c r="H82" s="69">
        <f>IFERROR(IF(OR(NOT(ISNUMBER('Price History'!H83)),NOT(ISNUMBER('Price History'!H82)),'Price History'!H82=0),"",'Price History'!H83/'Price History'!H82-1),"")</f>
        <v>-6.8327974276526371E-3</v>
      </c>
      <c r="I82" s="69">
        <f>IFERROR(IF(OR(NOT(ISNUMBER('Price History'!I83)),NOT(ISNUMBER('Price History'!I82)),'Price History'!I82=0),"",'Price History'!I83/'Price History'!I82-1),"")</f>
        <v>-3.1832913215700254E-2</v>
      </c>
      <c r="J82" s="69">
        <f>IFERROR(IF(OR(NOT(ISNUMBER('Price History'!J83)),NOT(ISNUMBER('Price History'!J82)),'Price History'!J82=0),"",'Price History'!J83/'Price History'!J82-1),"")</f>
        <v>9.9296648738111948E-4</v>
      </c>
      <c r="K82" s="69">
        <f>IFERROR(IF(OR(NOT(ISNUMBER('Price History'!K83)),NOT(ISNUMBER('Price History'!K82)),'Price History'!K82=0),"",'Price History'!K83/'Price History'!K82-1),"")</f>
        <v>-0.14946290701577714</v>
      </c>
      <c r="L82" s="69">
        <f>IFERROR(IF(OR(NOT(ISNUMBER('Price History'!L83)),NOT(ISNUMBER('Price History'!L82)),'Price History'!L82=0),"",'Price History'!L83/'Price History'!L82-1),"")</f>
        <v>-2.7758705247670434E-2</v>
      </c>
      <c r="M82" s="69">
        <f>IFERROR(IF(OR(NOT(ISNUMBER('Price History'!M83)),NOT(ISNUMBER('Price History'!M82)),'Price History'!M82=0),"",'Price History'!M83/'Price History'!M82-1),"")</f>
        <v>-0.1116149930587691</v>
      </c>
      <c r="N82" s="69">
        <f>IFERROR(IF(OR(NOT(ISNUMBER('Price History'!N83)),NOT(ISNUMBER('Price History'!N82)),'Price History'!N82=0),"",'Price History'!N83/'Price History'!N82-1),"")</f>
        <v>5.4989106753812633E-2</v>
      </c>
      <c r="O82" s="69">
        <f>IFERROR(IF(OR(NOT(ISNUMBER('Price History'!O83)),NOT(ISNUMBER('Price History'!O82)),'Price History'!O82=0),"",'Price History'!O83/'Price History'!O82-1),"")</f>
        <v>-3.6524058684723526E-2</v>
      </c>
      <c r="P82" s="69" t="str">
        <f>IFERROR(IF(OR(NOT(ISNUMBER('Price History'!P83)),NOT(ISNUMBER('Price History'!P82)),'Price History'!P82=0),"",'Price History'!P83/'Price History'!P82-1),"")</f>
        <v/>
      </c>
      <c r="Q82" s="69">
        <f>IFERROR(IF(OR(NOT(ISNUMBER('Price History'!Q83)),NOT(ISNUMBER('Price History'!Q82)),'Price History'!Q82=0),"",'Price History'!Q83/'Price History'!Q82-1),"")</f>
        <v>1.8858040859088598E-2</v>
      </c>
      <c r="R82" s="69">
        <f>IFERROR(IF(OR(NOT(ISNUMBER('Price History'!R83)),NOT(ISNUMBER('Price History'!R82)),'Price History'!R82=0),"",'Price History'!R83/'Price History'!R82-1),"")</f>
        <v>-1.2013042732109236E-2</v>
      </c>
      <c r="S82" s="69">
        <f>IFERROR(IF(OR(NOT(ISNUMBER('Price History'!S83)),NOT(ISNUMBER('Price History'!S82)),'Price History'!S82=0),"",'Price History'!S83/'Price History'!S82-1),"")</f>
        <v>-3.0564719580826738E-2</v>
      </c>
      <c r="T82" s="69">
        <f>IFERROR(IF(OR(NOT(ISNUMBER('Price History'!T83)),NOT(ISNUMBER('Price History'!T82)),'Price History'!T82=0),"",'Price History'!T83/'Price History'!T82-1),"")</f>
        <v>-3.3698399326030914E-3</v>
      </c>
      <c r="U82" s="69" t="str">
        <f>IFERROR(IF(OR(NOT(ISNUMBER('Price History'!U83)),NOT(ISNUMBER('Price History'!U82)),'Price History'!U82=0),"",'Price History'!U83/'Price History'!U82-1),"")</f>
        <v/>
      </c>
    </row>
    <row r="83" spans="1:21" ht="15" customHeight="1" x14ac:dyDescent="0.2">
      <c r="A83" s="52">
        <f>'Price History'!A84</f>
        <v>45716</v>
      </c>
      <c r="B83" s="69">
        <f>IFERROR(IF(OR(NOT(ISNUMBER('Price History'!B84)),NOT(ISNUMBER('Price History'!B83)),'Price History'!B83=0),"",'Price History'!B84/'Price History'!B83-1),"")</f>
        <v>-1.2963629816348576E-2</v>
      </c>
      <c r="C83" s="69">
        <f>IFERROR(IF(OR(NOT(ISNUMBER('Price History'!C84)),NOT(ISNUMBER('Price History'!C83)),'Price History'!C83=0),"",'Price History'!C84/'Price History'!C83-1),"")</f>
        <v>-5.3407934893184184E-2</v>
      </c>
      <c r="D83" s="69">
        <f>IFERROR(IF(OR(NOT(ISNUMBER('Price History'!D84)),NOT(ISNUMBER('Price History'!D83)),'Price History'!D83=0),"",'Price History'!D84/'Price History'!D83-1),"")</f>
        <v>-3.8157377138128834E-2</v>
      </c>
      <c r="E83" s="69">
        <f>IFERROR(IF(OR(NOT(ISNUMBER('Price History'!E84)),NOT(ISNUMBER('Price History'!E83)),'Price History'!E83=0),"",'Price History'!E84/'Price History'!E83-1),"")</f>
        <v>-8.794475441324423E-2</v>
      </c>
      <c r="F83" s="69">
        <f>IFERROR(IF(OR(NOT(ISNUMBER('Price History'!F84)),NOT(ISNUMBER('Price History'!F83)),'Price History'!F83=0),"",'Price History'!F84/'Price History'!F83-1),"")</f>
        <v>-4.1801908134159516E-2</v>
      </c>
      <c r="G83" s="69">
        <f>IFERROR(IF(OR(NOT(ISNUMBER('Price History'!G84)),NOT(ISNUMBER('Price History'!G83)),'Price History'!G83=0),"",'Price History'!G84/'Price History'!G83-1),"")</f>
        <v>-6.0320827257059673E-2</v>
      </c>
      <c r="H83" s="69">
        <f>IFERROR(IF(OR(NOT(ISNUMBER('Price History'!H84)),NOT(ISNUMBER('Price History'!H83)),'Price History'!H83=0),"",'Price History'!H84/'Price History'!H83-1),"")</f>
        <v>-5.2711452853095975E-2</v>
      </c>
      <c r="I83" s="69">
        <f>IFERROR(IF(OR(NOT(ISNUMBER('Price History'!I84)),NOT(ISNUMBER('Price History'!I83)),'Price History'!I83=0),"",'Price History'!I84/'Price History'!I83-1),"")</f>
        <v>-7.0743137692479419E-2</v>
      </c>
      <c r="J83" s="69">
        <f>IFERROR(IF(OR(NOT(ISNUMBER('Price History'!J84)),NOT(ISNUMBER('Price History'!J83)),'Price History'!J83=0),"",'Price History'!J84/'Price History'!J83-1),"")</f>
        <v>2.4386211457386064E-2</v>
      </c>
      <c r="K83" s="69">
        <f>IFERROR(IF(OR(NOT(ISNUMBER('Price History'!K84)),NOT(ISNUMBER('Price History'!K83)),'Price History'!K83=0),"",'Price History'!K84/'Price History'!K83-1),"")</f>
        <v>-0.16211149481993092</v>
      </c>
      <c r="L83" s="69">
        <f>IFERROR(IF(OR(NOT(ISNUMBER('Price History'!L84)),NOT(ISNUMBER('Price History'!L83)),'Price History'!L83=0),"",'Price History'!L84/'Price History'!L83-1),"")</f>
        <v>-8.9336158192090398E-2</v>
      </c>
      <c r="M83" s="69">
        <f>IFERROR(IF(OR(NOT(ISNUMBER('Price History'!M84)),NOT(ISNUMBER('Price History'!M83)),'Price History'!M83=0),"",'Price History'!M84/'Price History'!M83-1),"")</f>
        <v>-8.5425565163037565E-3</v>
      </c>
      <c r="N83" s="69">
        <f>IFERROR(IF(OR(NOT(ISNUMBER('Price History'!N84)),NOT(ISNUMBER('Price History'!N83)),'Price History'!N83=0),"",'Price History'!N84/'Price History'!N83-1),"")</f>
        <v>-9.1896580208160605E-3</v>
      </c>
      <c r="O83" s="69">
        <f>IFERROR(IF(OR(NOT(ISNUMBER('Price History'!O84)),NOT(ISNUMBER('Price History'!O83)),'Price History'!O83=0),"",'Price History'!O84/'Price History'!O83-1),"")</f>
        <v>-1.1287402832499183E-2</v>
      </c>
      <c r="P83" s="69" t="str">
        <f>IFERROR(IF(OR(NOT(ISNUMBER('Price History'!P84)),NOT(ISNUMBER('Price History'!P83)),'Price History'!P83=0),"",'Price History'!P84/'Price History'!P83-1),"")</f>
        <v/>
      </c>
      <c r="Q83" s="69">
        <f>IFERROR(IF(OR(NOT(ISNUMBER('Price History'!Q84)),NOT(ISNUMBER('Price History'!Q83)),'Price History'!Q83=0),"",'Price History'!Q84/'Price History'!Q83-1),"")</f>
        <v>-5.9982862039417162E-3</v>
      </c>
      <c r="R83" s="69">
        <f>IFERROR(IF(OR(NOT(ISNUMBER('Price History'!R84)),NOT(ISNUMBER('Price History'!R83)),'Price History'!R83=0),"",'Price History'!R84/'Price History'!R83-1),"")</f>
        <v>-2.7618551328817187E-2</v>
      </c>
      <c r="S83" s="69">
        <f>IFERROR(IF(OR(NOT(ISNUMBER('Price History'!S84)),NOT(ISNUMBER('Price History'!S83)),'Price History'!S83=0),"",'Price History'!S84/'Price History'!S83-1),"")</f>
        <v>-1.1009908918026001E-3</v>
      </c>
      <c r="T83" s="69">
        <f>IFERROR(IF(OR(NOT(ISNUMBER('Price History'!T84)),NOT(ISNUMBER('Price History'!T83)),'Price History'!T83=0),"",'Price History'!T84/'Price History'!T83-1),"")</f>
        <v>-4.7900817131586448E-3</v>
      </c>
      <c r="U83" s="69" t="str">
        <f>IFERROR(IF(OR(NOT(ISNUMBER('Price History'!U84)),NOT(ISNUMBER('Price History'!U83)),'Price History'!U83=0),"",'Price History'!U84/'Price History'!U83-1),"")</f>
        <v/>
      </c>
    </row>
    <row r="84" spans="1:21" ht="15" customHeight="1" x14ac:dyDescent="0.2">
      <c r="A84" s="52">
        <f>'Price History'!A85</f>
        <v>45723</v>
      </c>
      <c r="B84" s="69">
        <f>IFERROR(IF(OR(NOT(ISNUMBER('Price History'!B85)),NOT(ISNUMBER('Price History'!B84)),'Price History'!B84=0),"",'Price History'!B85/'Price History'!B84-1),"")</f>
        <v>2.4717256475738747E-2</v>
      </c>
      <c r="C84" s="69">
        <f>IFERROR(IF(OR(NOT(ISNUMBER('Price History'!C85)),NOT(ISNUMBER('Price History'!C84)),'Price History'!C84=0),"",'Price History'!C85/'Price History'!C84-1),"")</f>
        <v>-0.10413756045137024</v>
      </c>
      <c r="D84" s="69">
        <f>IFERROR(IF(OR(NOT(ISNUMBER('Price History'!D85)),NOT(ISNUMBER('Price History'!D84)),'Price History'!D84=0),"",'Price History'!D85/'Price History'!D84-1),"")</f>
        <v>3.2633835392339439E-2</v>
      </c>
      <c r="E84" s="69">
        <f>IFERROR(IF(OR(NOT(ISNUMBER('Price History'!E85)),NOT(ISNUMBER('Price History'!E84)),'Price History'!E84=0),"",'Price History'!E85/'Price History'!E84-1),"")</f>
        <v>-2.2413879556736682E-2</v>
      </c>
      <c r="F84" s="69">
        <f>IFERROR(IF(OR(NOT(ISNUMBER('Price History'!F85)),NOT(ISNUMBER('Price History'!F84)),'Price History'!F84=0),"",'Price History'!F85/'Price History'!F84-1),"")</f>
        <v>-0.14411825087251084</v>
      </c>
      <c r="G84" s="69">
        <f>IFERROR(IF(OR(NOT(ISNUMBER('Price History'!G85)),NOT(ISNUMBER('Price History'!G84)),'Price History'!G84=0),"",'Price History'!G85/'Price History'!G84-1),"")</f>
        <v>3.5270880361173429E-3</v>
      </c>
      <c r="H84" s="69">
        <f>IFERROR(IF(OR(NOT(ISNUMBER('Price History'!H85)),NOT(ISNUMBER('Price History'!H84)),'Price History'!H84=0),"",'Price History'!H85/'Price History'!H84-1),"")</f>
        <v>-7.1558261241055909E-3</v>
      </c>
      <c r="I84" s="69">
        <f>IFERROR(IF(OR(NOT(ISNUMBER('Price History'!I85)),NOT(ISNUMBER('Price History'!I84)),'Price History'!I84=0),"",'Price History'!I85/'Price History'!I84-1),"")</f>
        <v>-9.7902657700928652E-2</v>
      </c>
      <c r="J84" s="69">
        <f>IFERROR(IF(OR(NOT(ISNUMBER('Price History'!J85)),NOT(ISNUMBER('Price History'!J84)),'Price History'!J84=0),"",'Price History'!J85/'Price History'!J84-1),"")</f>
        <v>-3.2359586830213116E-2</v>
      </c>
      <c r="K84" s="69">
        <f>IFERROR(IF(OR(NOT(ISNUMBER('Price History'!K85)),NOT(ISNUMBER('Price History'!K84)),'Price History'!K84=0),"",'Price History'!K85/'Price History'!K84-1),"")</f>
        <v>-1.1775788977863577E-4</v>
      </c>
      <c r="L84" s="69">
        <f>IFERROR(IF(OR(NOT(ISNUMBER('Price History'!L85)),NOT(ISNUMBER('Price History'!L84)),'Price History'!L84=0),"",'Price History'!L85/'Price History'!L84-1),"")</f>
        <v>-1.8999612252811215E-2</v>
      </c>
      <c r="M84" s="69">
        <f>IFERROR(IF(OR(NOT(ISNUMBER('Price History'!M85)),NOT(ISNUMBER('Price History'!M84)),'Price History'!M84=0),"",'Price History'!M85/'Price History'!M84-1),"")</f>
        <v>-0.10644110539035401</v>
      </c>
      <c r="N84" s="69">
        <f>IFERROR(IF(OR(NOT(ISNUMBER('Price History'!N85)),NOT(ISNUMBER('Price History'!N84)),'Price History'!N84=0),"",'Price History'!N85/'Price History'!N84-1),"")</f>
        <v>1.7716084120135811E-2</v>
      </c>
      <c r="O84" s="69">
        <f>IFERROR(IF(OR(NOT(ISNUMBER('Price History'!O85)),NOT(ISNUMBER('Price History'!O84)),'Price History'!O84=0),"",'Price History'!O85/'Price History'!O84-1),"")</f>
        <v>-4.4911147011308383E-2</v>
      </c>
      <c r="P84" s="69" t="str">
        <f>IFERROR(IF(OR(NOT(ISNUMBER('Price History'!P85)),NOT(ISNUMBER('Price History'!P84)),'Price History'!P84=0),"",'Price History'!P85/'Price History'!P84-1),"")</f>
        <v/>
      </c>
      <c r="Q84" s="69">
        <f>IFERROR(IF(OR(NOT(ISNUMBER('Price History'!Q85)),NOT(ISNUMBER('Price History'!Q84)),'Price History'!Q84=0),"",'Price History'!Q85/'Price History'!Q84-1),"")</f>
        <v>1.7758620689655169E-2</v>
      </c>
      <c r="R84" s="69">
        <f>IFERROR(IF(OR(NOT(ISNUMBER('Price History'!R85)),NOT(ISNUMBER('Price History'!R84)),'Price History'!R84=0),"",'Price History'!R85/'Price History'!R84-1),"")</f>
        <v>-3.9657020364415874E-2</v>
      </c>
      <c r="S84" s="69">
        <f>IFERROR(IF(OR(NOT(ISNUMBER('Price History'!S85)),NOT(ISNUMBER('Price History'!S84)),'Price History'!S84=0),"",'Price History'!S85/'Price History'!S84-1),"")</f>
        <v>-5.270541082164315E-2</v>
      </c>
      <c r="T84" s="69">
        <f>IFERROR(IF(OR(NOT(ISNUMBER('Price History'!T85)),NOT(ISNUMBER('Price History'!T84)),'Price History'!T84=0),"",'Price History'!T85/'Price History'!T84-1),"")</f>
        <v>-1.4439411098527644E-2</v>
      </c>
      <c r="U84" s="69" t="str">
        <f>IFERROR(IF(OR(NOT(ISNUMBER('Price History'!U85)),NOT(ISNUMBER('Price History'!U84)),'Price History'!U84=0),"",'Price History'!U85/'Price History'!U84-1),"")</f>
        <v/>
      </c>
    </row>
    <row r="85" spans="1:21" ht="15" customHeight="1" x14ac:dyDescent="0.2">
      <c r="A85" s="52">
        <f>'Price History'!A86</f>
        <v>45730</v>
      </c>
      <c r="B85" s="69">
        <f>IFERROR(IF(OR(NOT(ISNUMBER('Price History'!B86)),NOT(ISNUMBER('Price History'!B85)),'Price History'!B85=0),"",'Price History'!B86/'Price History'!B85-1),"")</f>
        <v>-0.12162883845126826</v>
      </c>
      <c r="C85" s="69">
        <f>IFERROR(IF(OR(NOT(ISNUMBER('Price History'!C86)),NOT(ISNUMBER('Price History'!C85)),'Price History'!C85=0),"",'Price History'!C86/'Price History'!C85-1),"")</f>
        <v>1.7994241842611558E-3</v>
      </c>
      <c r="D85" s="69">
        <f>IFERROR(IF(OR(NOT(ISNUMBER('Price History'!D86)),NOT(ISNUMBER('Price History'!D85)),'Price History'!D85=0),"",'Price History'!D86/'Price History'!D85-1),"")</f>
        <v>-2.4883231815574613E-2</v>
      </c>
      <c r="E85" s="69">
        <f>IFERROR(IF(OR(NOT(ISNUMBER('Price History'!E86)),NOT(ISNUMBER('Price History'!E85)),'Price History'!E85=0),"",'Price History'!E86/'Price History'!E85-1),"")</f>
        <v>2.9749692244562809E-3</v>
      </c>
      <c r="F85" s="69">
        <f>IFERROR(IF(OR(NOT(ISNUMBER('Price History'!F86)),NOT(ISNUMBER('Price History'!F85)),'Price History'!F85=0),"",'Price History'!F86/'Price History'!F85-1),"")</f>
        <v>6.0566082993523729E-2</v>
      </c>
      <c r="G85" s="69">
        <f>IFERROR(IF(OR(NOT(ISNUMBER('Price History'!G86)),NOT(ISNUMBER('Price History'!G85)),'Price History'!G85=0),"",'Price History'!G86/'Price History'!G85-1),"")</f>
        <v>2.389990158863986E-3</v>
      </c>
      <c r="H85" s="69">
        <f>IFERROR(IF(OR(NOT(ISNUMBER('Price History'!H86)),NOT(ISNUMBER('Price History'!H85)),'Price History'!H85=0),"",'Price History'!H86/'Price History'!H85-1),"")</f>
        <v>8.4229776247848775E-2</v>
      </c>
      <c r="I85" s="69">
        <f>IFERROR(IF(OR(NOT(ISNUMBER('Price History'!I86)),NOT(ISNUMBER('Price History'!I85)),'Price History'!I85=0),"",'Price History'!I86/'Price History'!I85-1),"")</f>
        <v>7.9687638654716508E-2</v>
      </c>
      <c r="J85" s="69">
        <f>IFERROR(IF(OR(NOT(ISNUMBER('Price History'!J86)),NOT(ISNUMBER('Price History'!J85)),'Price History'!J85=0),"",'Price History'!J86/'Price History'!J85-1),"")</f>
        <v>-6.6883495955299743E-2</v>
      </c>
      <c r="K85" s="69">
        <f>IFERROR(IF(OR(NOT(ISNUMBER('Price History'!K86)),NOT(ISNUMBER('Price History'!K85)),'Price History'!K85=0),"",'Price History'!K86/'Price History'!K85-1),"")</f>
        <v>1.5663643858202736E-2</v>
      </c>
      <c r="L85" s="69">
        <f>IFERROR(IF(OR(NOT(ISNUMBER('Price History'!L86)),NOT(ISNUMBER('Price History'!L85)),'Price History'!L85=0),"",'Price History'!L86/'Price History'!L85-1),"")</f>
        <v>-1.6996047430829941E-2</v>
      </c>
      <c r="M85" s="69">
        <f>IFERROR(IF(OR(NOT(ISNUMBER('Price History'!M86)),NOT(ISNUMBER('Price History'!M85)),'Price History'!M85=0),"",'Price History'!M86/'Price History'!M85-1),"")</f>
        <v>2.833960489181564E-2</v>
      </c>
      <c r="N85" s="69">
        <f>IFERROR(IF(OR(NOT(ISNUMBER('Price History'!N86)),NOT(ISNUMBER('Price History'!N85)),'Price History'!N85=0),"",'Price History'!N86/'Price History'!N85-1),"")</f>
        <v>3.3750435192201333E-2</v>
      </c>
      <c r="O85" s="69">
        <f>IFERROR(IF(OR(NOT(ISNUMBER('Price History'!O86)),NOT(ISNUMBER('Price History'!O85)),'Price History'!O85=0),"",'Price History'!O86/'Price History'!O85-1),"")</f>
        <v>-1.8718989625620353E-2</v>
      </c>
      <c r="P85" s="69" t="str">
        <f>IFERROR(IF(OR(NOT(ISNUMBER('Price History'!P86)),NOT(ISNUMBER('Price History'!P85)),'Price History'!P85=0),"",'Price History'!P86/'Price History'!P85-1),"")</f>
        <v/>
      </c>
      <c r="Q85" s="69">
        <f>IFERROR(IF(OR(NOT(ISNUMBER('Price History'!Q86)),NOT(ISNUMBER('Price History'!Q85)),'Price History'!Q85=0),"",'Price History'!Q86/'Price History'!Q85-1),"")</f>
        <v>1.6262917160765777E-2</v>
      </c>
      <c r="R85" s="69">
        <f>IFERROR(IF(OR(NOT(ISNUMBER('Price History'!R86)),NOT(ISNUMBER('Price History'!R85)),'Price History'!R85=0),"",'Price History'!R86/'Price History'!R85-1),"")</f>
        <v>-2.1391369047619069E-2</v>
      </c>
      <c r="S85" s="69">
        <f>IFERROR(IF(OR(NOT(ISNUMBER('Price History'!S86)),NOT(ISNUMBER('Price History'!S85)),'Price History'!S85=0),"",'Price History'!S86/'Price History'!S85-1),"")</f>
        <v>-7.1927226570764891E-3</v>
      </c>
      <c r="T85" s="69">
        <f>IFERROR(IF(OR(NOT(ISNUMBER('Price History'!T86)),NOT(ISNUMBER('Price History'!T85)),'Price History'!T85=0),"",'Price History'!T86/'Price History'!T85-1),"")</f>
        <v>-2.0683711577133002E-2</v>
      </c>
      <c r="U85" s="69" t="str">
        <f>IFERROR(IF(OR(NOT(ISNUMBER('Price History'!U86)),NOT(ISNUMBER('Price History'!U85)),'Price History'!U85=0),"",'Price History'!U86/'Price History'!U85-1),"")</f>
        <v/>
      </c>
    </row>
    <row r="86" spans="1:21" ht="15" customHeight="1" x14ac:dyDescent="0.2">
      <c r="A86" s="52">
        <f>'Price History'!A87</f>
        <v>45737</v>
      </c>
      <c r="B86" s="69">
        <f>IFERROR(IF(OR(NOT(ISNUMBER('Price History'!B87)),NOT(ISNUMBER('Price History'!B86)),'Price History'!B86=0),"",'Price History'!B87/'Price History'!B86-1),"")</f>
        <v>-1.8949181739879473E-2</v>
      </c>
      <c r="C86" s="69">
        <f>IFERROR(IF(OR(NOT(ISNUMBER('Price History'!C87)),NOT(ISNUMBER('Price History'!C86)),'Price History'!C86=0),"",'Price History'!C87/'Price History'!C86-1),"")</f>
        <v>-4.5503532511077527E-3</v>
      </c>
      <c r="D86" s="69">
        <f>IFERROR(IF(OR(NOT(ISNUMBER('Price History'!D87)),NOT(ISNUMBER('Price History'!D86)),'Price History'!D86=0),"",'Price History'!D87/'Price History'!D86-1),"")</f>
        <v>3.1092436974791138E-3</v>
      </c>
      <c r="E86" s="69">
        <f>IFERROR(IF(OR(NOT(ISNUMBER('Price History'!E87)),NOT(ISNUMBER('Price History'!E86)),'Price History'!E86=0),"",'Price History'!E87/'Price History'!E86-1),"")</f>
        <v>-1.984248747059425E-2</v>
      </c>
      <c r="F86" s="69">
        <f>IFERROR(IF(OR(NOT(ISNUMBER('Price History'!F87)),NOT(ISNUMBER('Price History'!F86)),'Price History'!F86=0),"",'Price History'!F87/'Price History'!F86-1),"")</f>
        <v>2.4086848354630819E-2</v>
      </c>
      <c r="G86" s="69">
        <f>IFERROR(IF(OR(NOT(ISNUMBER('Price History'!G87)),NOT(ISNUMBER('Price History'!G86)),'Price History'!G86=0),"",'Price History'!G87/'Price History'!G86-1),"")</f>
        <v>-9.1164095371667475E-3</v>
      </c>
      <c r="H86" s="69">
        <f>IFERROR(IF(OR(NOT(ISNUMBER('Price History'!H87)),NOT(ISNUMBER('Price History'!H86)),'Price History'!H86=0),"",'Price History'!H87/'Price History'!H86-1),"")</f>
        <v>-6.0224228594106588E-2</v>
      </c>
      <c r="I86" s="69">
        <f>IFERROR(IF(OR(NOT(ISNUMBER('Price History'!I87)),NOT(ISNUMBER('Price History'!I86)),'Price History'!I86=0),"",'Price History'!I87/'Price History'!I86-1),"")</f>
        <v>-3.2629243034437372E-2</v>
      </c>
      <c r="J86" s="69">
        <f>IFERROR(IF(OR(NOT(ISNUMBER('Price History'!J87)),NOT(ISNUMBER('Price History'!J86)),'Price History'!J86=0),"",'Price History'!J87/'Price History'!J86-1),"")</f>
        <v>-3.1012601662346984E-2</v>
      </c>
      <c r="K86" s="69">
        <f>IFERROR(IF(OR(NOT(ISNUMBER('Price History'!K87)),NOT(ISNUMBER('Price History'!K86)),'Price History'!K86=0),"",'Price History'!K87/'Price History'!K86-1),"")</f>
        <v>5.4730983302411884E-2</v>
      </c>
      <c r="L86" s="69">
        <f>IFERROR(IF(OR(NOT(ISNUMBER('Price History'!L87)),NOT(ISNUMBER('Price History'!L86)),'Price History'!L86=0),"",'Price History'!L87/'Price History'!L86-1),"")</f>
        <v>1.5164570049974069E-2</v>
      </c>
      <c r="M86" s="69">
        <f>IFERROR(IF(OR(NOT(ISNUMBER('Price History'!M87)),NOT(ISNUMBER('Price History'!M86)),'Price History'!M86=0),"",'Price History'!M87/'Price History'!M86-1),"")</f>
        <v>1.3493424814179367E-2</v>
      </c>
      <c r="N86" s="69">
        <f>IFERROR(IF(OR(NOT(ISNUMBER('Price History'!N87)),NOT(ISNUMBER('Price History'!N86)),'Price History'!N86=0),"",'Price History'!N87/'Price History'!N86-1),"")</f>
        <v>-3.1103274758801369E-3</v>
      </c>
      <c r="O86" s="69">
        <f>IFERROR(IF(OR(NOT(ISNUMBER('Price History'!O87)),NOT(ISNUMBER('Price History'!O86)),'Price History'!O86=0),"",'Price History'!O87/'Price History'!O86-1),"")</f>
        <v>9.6529533440588011E-3</v>
      </c>
      <c r="P86" s="69" t="str">
        <f>IFERROR(IF(OR(NOT(ISNUMBER('Price History'!P87)),NOT(ISNUMBER('Price History'!P86)),'Price History'!P86=0),"",'Price History'!P87/'Price History'!P86-1),"")</f>
        <v/>
      </c>
      <c r="Q86" s="69">
        <f>IFERROR(IF(OR(NOT(ISNUMBER('Price History'!Q87)),NOT(ISNUMBER('Price History'!Q86)),'Price History'!Q86=0),"",'Price History'!Q87/'Price History'!Q86-1),"")</f>
        <v>-2.5004167361226681E-3</v>
      </c>
      <c r="R86" s="69">
        <f>IFERROR(IF(OR(NOT(ISNUMBER('Price History'!R87)),NOT(ISNUMBER('Price History'!R86)),'Price History'!R86=0),"",'Price History'!R87/'Price History'!R86-1),"")</f>
        <v>3.6114807070899424E-3</v>
      </c>
      <c r="S86" s="69">
        <f>IFERROR(IF(OR(NOT(ISNUMBER('Price History'!S87)),NOT(ISNUMBER('Price History'!S86)),'Price History'!S86=0),"",'Price History'!S87/'Price History'!S86-1),"")</f>
        <v>3.8354996803751096E-3</v>
      </c>
      <c r="T86" s="69">
        <f>IFERROR(IF(OR(NOT(ISNUMBER('Price History'!T87)),NOT(ISNUMBER('Price History'!T86)),'Price History'!T86=0),"",'Price History'!T87/'Price History'!T86-1),"")</f>
        <v>1.7013787034320771E-2</v>
      </c>
      <c r="U86" s="69" t="str">
        <f>IFERROR(IF(OR(NOT(ISNUMBER('Price History'!U87)),NOT(ISNUMBER('Price History'!U86)),'Price History'!U86=0),"",'Price History'!U87/'Price History'!U86-1),"")</f>
        <v/>
      </c>
    </row>
    <row r="87" spans="1:21" ht="15" customHeight="1" x14ac:dyDescent="0.2">
      <c r="A87" s="52">
        <f>'Price History'!A88</f>
        <v>45744</v>
      </c>
      <c r="B87" s="69">
        <f>IFERROR(IF(OR(NOT(ISNUMBER('Price History'!B88)),NOT(ISNUMBER('Price History'!B87)),'Price History'!B87=0),"",'Price History'!B88/'Price History'!B87-1),"")</f>
        <v>-4.0024789547075112E-3</v>
      </c>
      <c r="C87" s="69">
        <f>IFERROR(IF(OR(NOT(ISNUMBER('Price History'!C88)),NOT(ISNUMBER('Price History'!C87)),'Price History'!C87=0),"",'Price History'!C88/'Price History'!C87-1),"")</f>
        <v>-6.2432334897149055E-2</v>
      </c>
      <c r="D87" s="69">
        <f>IFERROR(IF(OR(NOT(ISNUMBER('Price History'!D88)),NOT(ISNUMBER('Price History'!D87)),'Price History'!D87=0),"",'Price History'!D88/'Price History'!D87-1),"")</f>
        <v>-5.8138560777414749E-2</v>
      </c>
      <c r="E87" s="69">
        <f>IFERROR(IF(OR(NOT(ISNUMBER('Price History'!E88)),NOT(ISNUMBER('Price History'!E87)),'Price History'!E87=0),"",'Price History'!E88/'Price History'!E87-1),"")</f>
        <v>-0.11760409057706356</v>
      </c>
      <c r="F87" s="69">
        <f>IFERROR(IF(OR(NOT(ISNUMBER('Price History'!F88)),NOT(ISNUMBER('Price History'!F87)),'Price History'!F87=0),"",'Price History'!F88/'Price History'!F87-1),"")</f>
        <v>-1.4134275618374548E-2</v>
      </c>
      <c r="G87" s="69">
        <f>IFERROR(IF(OR(NOT(ISNUMBER('Price History'!G88)),NOT(ISNUMBER('Price History'!G87)),'Price History'!G87=0),"",'Price History'!G88/'Price History'!G87-1),"")</f>
        <v>-4.6567586694975294E-2</v>
      </c>
      <c r="H87" s="69">
        <f>IFERROR(IF(OR(NOT(ISNUMBER('Price History'!H88)),NOT(ISNUMBER('Price History'!H87)),'Price History'!H87=0),"",'Price History'!H88/'Price History'!H87-1),"")</f>
        <v>-6.6300675675675658E-2</v>
      </c>
      <c r="I87" s="69">
        <f>IFERROR(IF(OR(NOT(ISNUMBER('Price History'!I88)),NOT(ISNUMBER('Price History'!I87)),'Price History'!I87=0),"",'Price History'!I88/'Price History'!I87-1),"")</f>
        <v>-6.8224299065420602E-2</v>
      </c>
      <c r="J87" s="69">
        <f>IFERROR(IF(OR(NOT(ISNUMBER('Price History'!J88)),NOT(ISNUMBER('Price History'!J87)),'Price History'!J87=0),"",'Price History'!J88/'Price History'!J87-1),"")</f>
        <v>1.8723482752259768E-2</v>
      </c>
      <c r="K87" s="69">
        <f>IFERROR(IF(OR(NOT(ISNUMBER('Price History'!K88)),NOT(ISNUMBER('Price History'!K87)),'Price History'!K87=0),"",'Price History'!K88/'Price History'!K87-1),"")</f>
        <v>-5.6178540017590151E-2</v>
      </c>
      <c r="L87" s="69">
        <f>IFERROR(IF(OR(NOT(ISNUMBER('Price History'!L88)),NOT(ISNUMBER('Price History'!L87)),'Price History'!L87=0),"",'Price History'!L88/'Price History'!L87-1),"")</f>
        <v>-6.4957845300741224E-2</v>
      </c>
      <c r="M87" s="69">
        <f>IFERROR(IF(OR(NOT(ISNUMBER('Price History'!M88)),NOT(ISNUMBER('Price History'!M87)),'Price History'!M87=0),"",'Price History'!M88/'Price History'!M87-1),"")</f>
        <v>-0.16224754597765989</v>
      </c>
      <c r="N87" s="69">
        <f>IFERROR(IF(OR(NOT(ISNUMBER('Price History'!N88)),NOT(ISNUMBER('Price History'!N87)),'Price History'!N87=0),"",'Price History'!N88/'Price History'!N87-1),"")</f>
        <v>-2.0886327503974567E-2</v>
      </c>
      <c r="O87" s="69">
        <f>IFERROR(IF(OR(NOT(ISNUMBER('Price History'!O88)),NOT(ISNUMBER('Price History'!O87)),'Price History'!O87=0),"",'Price History'!O88/'Price History'!O87-1),"")</f>
        <v>-8.4224903255177841E-3</v>
      </c>
      <c r="P87" s="69" t="str">
        <f>IFERROR(IF(OR(NOT(ISNUMBER('Price History'!P88)),NOT(ISNUMBER('Price History'!P87)),'Price History'!P87=0),"",'Price History'!P88/'Price History'!P87-1),"")</f>
        <v/>
      </c>
      <c r="Q87" s="69">
        <f>IFERROR(IF(OR(NOT(ISNUMBER('Price History'!Q88)),NOT(ISNUMBER('Price History'!Q87)),'Price History'!Q87=0),"",'Price History'!Q88/'Price History'!Q87-1),"")</f>
        <v>2.9411764705882248E-2</v>
      </c>
      <c r="R87" s="69">
        <f>IFERROR(IF(OR(NOT(ISNUMBER('Price History'!R88)),NOT(ISNUMBER('Price History'!R87)),'Price History'!R87=0),"",'Price History'!R88/'Price History'!R87-1),"")</f>
        <v>-1.8749999999999933E-2</v>
      </c>
      <c r="S87" s="69">
        <f>IFERROR(IF(OR(NOT(ISNUMBER('Price History'!S88)),NOT(ISNUMBER('Price History'!S87)),'Price History'!S87=0),"",'Price History'!S88/'Price History'!S87-1),"")</f>
        <v>-2.1545319465081758E-2</v>
      </c>
      <c r="T87" s="69">
        <f>IFERROR(IF(OR(NOT(ISNUMBER('Price History'!T88)),NOT(ISNUMBER('Price History'!T87)),'Price History'!T87=0),"",'Price History'!T88/'Price History'!T87-1),"")</f>
        <v>-1.6440726853187204E-2</v>
      </c>
      <c r="U87" s="69" t="str">
        <f>IFERROR(IF(OR(NOT(ISNUMBER('Price History'!U88)),NOT(ISNUMBER('Price History'!U87)),'Price History'!U87=0),"",'Price History'!U88/'Price History'!U87-1),"")</f>
        <v/>
      </c>
    </row>
    <row r="88" spans="1:21" ht="15" customHeight="1" x14ac:dyDescent="0.2">
      <c r="A88" s="52">
        <f>'Price History'!A89</f>
        <v>45751</v>
      </c>
      <c r="B88" s="69">
        <f>IFERROR(IF(OR(NOT(ISNUMBER('Price History'!B89)),NOT(ISNUMBER('Price History'!B88)),'Price History'!B88=0),"",'Price History'!B89/'Price History'!B88-1),"")</f>
        <v>-9.4993648077571158E-2</v>
      </c>
      <c r="C88" s="69">
        <f>IFERROR(IF(OR(NOT(ISNUMBER('Price History'!C89)),NOT(ISNUMBER('Price History'!C88)),'Price History'!C88=0),"",'Price History'!C89/'Price History'!C88-1),"")</f>
        <v>-0.17410828842699499</v>
      </c>
      <c r="D88" s="69">
        <f>IFERROR(IF(OR(NOT(ISNUMBER('Price History'!D89)),NOT(ISNUMBER('Price History'!D88)),'Price History'!D88=0),"",'Price History'!D89/'Price History'!D88-1),"")</f>
        <v>-0.10233033887752396</v>
      </c>
      <c r="E88" s="69">
        <f>IFERROR(IF(OR(NOT(ISNUMBER('Price History'!E89)),NOT(ISNUMBER('Price History'!E88)),'Price History'!E88=0),"",'Price History'!E89/'Price History'!E88-1),"")</f>
        <v>-0.13499290444654688</v>
      </c>
      <c r="F88" s="69">
        <f>IFERROR(IF(OR(NOT(ISNUMBER('Price History'!F89)),NOT(ISNUMBER('Price History'!F88)),'Price History'!F88=0),"",'Price History'!F89/'Price History'!F88-1),"")</f>
        <v>-9.9350358422939156E-2</v>
      </c>
      <c r="G88" s="69">
        <f>IFERROR(IF(OR(NOT(ISNUMBER('Price History'!G89)),NOT(ISNUMBER('Price History'!G88)),'Price History'!G88=0),"",'Price History'!G89/'Price History'!G88-1),"")</f>
        <v>-0.14415083135391926</v>
      </c>
      <c r="H88" s="69">
        <f>IFERROR(IF(OR(NOT(ISNUMBER('Price History'!H89)),NOT(ISNUMBER('Price History'!H88)),'Price History'!H88=0),"",'Price History'!H89/'Price History'!H88-1),"")</f>
        <v>-0.26820443238353686</v>
      </c>
      <c r="I88" s="69">
        <f>IFERROR(IF(OR(NOT(ISNUMBER('Price History'!I89)),NOT(ISNUMBER('Price History'!I88)),'Price History'!I88=0),"",'Price History'!I89/'Price History'!I88-1),"")</f>
        <v>-0.14005653323607181</v>
      </c>
      <c r="J88" s="69">
        <f>IFERROR(IF(OR(NOT(ISNUMBER('Price History'!J89)),NOT(ISNUMBER('Price History'!J88)),'Price History'!J88=0),"",'Price History'!J89/'Price History'!J88-1),"")</f>
        <v>-0.11063829787234036</v>
      </c>
      <c r="K88" s="69">
        <f>IFERROR(IF(OR(NOT(ISNUMBER('Price History'!K89)),NOT(ISNUMBER('Price History'!K88)),'Price History'!K88=0),"",'Price History'!K89/'Price History'!K88-1),"")</f>
        <v>-0.13791496796738489</v>
      </c>
      <c r="L88" s="69">
        <f>IFERROR(IF(OR(NOT(ISNUMBER('Price History'!L89)),NOT(ISNUMBER('Price History'!L88)),'Price History'!L88=0),"",'Price History'!L89/'Price History'!L88-1),"")</f>
        <v>-0.11164901664145233</v>
      </c>
      <c r="M88" s="69">
        <f>IFERROR(IF(OR(NOT(ISNUMBER('Price History'!M89)),NOT(ISNUMBER('Price History'!M88)),'Price History'!M88=0),"",'Price History'!M89/'Price History'!M88-1),"")</f>
        <v>-0.19986531986531986</v>
      </c>
      <c r="N88" s="69">
        <f>IFERROR(IF(OR(NOT(ISNUMBER('Price History'!N89)),NOT(ISNUMBER('Price History'!N88)),'Price History'!N88=0),"",'Price History'!N89/'Price History'!N88-1),"")</f>
        <v>-3.6676206133674283E-2</v>
      </c>
      <c r="O88" s="69">
        <f>IFERROR(IF(OR(NOT(ISNUMBER('Price History'!O89)),NOT(ISNUMBER('Price History'!O88)),'Price History'!O88=0),"",'Price History'!O89/'Price History'!O88-1),"")</f>
        <v>-0.10468319559228656</v>
      </c>
      <c r="P88" s="69" t="str">
        <f>IFERROR(IF(OR(NOT(ISNUMBER('Price History'!P89)),NOT(ISNUMBER('Price History'!P88)),'Price History'!P88=0),"",'Price History'!P89/'Price History'!P88-1),"")</f>
        <v/>
      </c>
      <c r="Q88" s="69">
        <f>IFERROR(IF(OR(NOT(ISNUMBER('Price History'!Q89)),NOT(ISNUMBER('Price History'!Q88)),'Price History'!Q88=0),"",'Price History'!Q89/'Price History'!Q88-1),"")</f>
        <v>-1.6558441558441661E-2</v>
      </c>
      <c r="R88" s="69">
        <f>IFERROR(IF(OR(NOT(ISNUMBER('Price History'!R89)),NOT(ISNUMBER('Price History'!R88)),'Price History'!R88=0),"",'Price History'!R89/'Price History'!R88-1),"")</f>
        <v>-0.10055973750241265</v>
      </c>
      <c r="S88" s="69">
        <f>IFERROR(IF(OR(NOT(ISNUMBER('Price History'!S89)),NOT(ISNUMBER('Price History'!S88)),'Price History'!S88=0),"",'Price History'!S89/'Price History'!S88-1),"")</f>
        <v>-0.1070615034168565</v>
      </c>
      <c r="T88" s="69">
        <f>IFERROR(IF(OR(NOT(ISNUMBER('Price History'!T89)),NOT(ISNUMBER('Price History'!T88)),'Price History'!T88=0),"",'Price History'!T89/'Price History'!T88-1),"")</f>
        <v>-9.2375366568914985E-2</v>
      </c>
      <c r="U88" s="69" t="str">
        <f>IFERROR(IF(OR(NOT(ISNUMBER('Price History'!U89)),NOT(ISNUMBER('Price History'!U88)),'Price History'!U88=0),"",'Price History'!U89/'Price History'!U88-1),"")</f>
        <v/>
      </c>
    </row>
    <row r="89" spans="1:21" ht="15" customHeight="1" x14ac:dyDescent="0.2">
      <c r="A89" s="52">
        <f>'Price History'!A90</f>
        <v>45758</v>
      </c>
      <c r="B89" s="69">
        <f>IFERROR(IF(OR(NOT(ISNUMBER('Price History'!B90)),NOT(ISNUMBER('Price History'!B89)),'Price History'!B89=0),"",'Price History'!B90/'Price History'!B89-1),"")</f>
        <v>9.7401667287364546E-3</v>
      </c>
      <c r="C89" s="69">
        <f>IFERROR(IF(OR(NOT(ISNUMBER('Price History'!C90)),NOT(ISNUMBER('Price History'!C89)),'Price History'!C89=0),"",'Price History'!C90/'Price History'!C89-1),"")</f>
        <v>0.12894205375174761</v>
      </c>
      <c r="D89" s="69">
        <f>IFERROR(IF(OR(NOT(ISNUMBER('Price History'!D90)),NOT(ISNUMBER('Price History'!D89)),'Price History'!D89=0),"",'Price History'!D90/'Price History'!D89-1),"")</f>
        <v>0.10446701345883902</v>
      </c>
      <c r="E89" s="69">
        <f>IFERROR(IF(OR(NOT(ISNUMBER('Price History'!E90)),NOT(ISNUMBER('Price History'!E89)),'Price History'!E89=0),"",'Price History'!E90/'Price History'!E89-1),"")</f>
        <v>0.24369403240139453</v>
      </c>
      <c r="F89" s="69">
        <f>IFERROR(IF(OR(NOT(ISNUMBER('Price History'!F90)),NOT(ISNUMBER('Price History'!F89)),'Price History'!F89=0),"",'Price History'!F90/'Price History'!F89-1),"")</f>
        <v>0.17497823653774414</v>
      </c>
      <c r="G89" s="69">
        <f>IFERROR(IF(OR(NOT(ISNUMBER('Price History'!G90)),NOT(ISNUMBER('Price History'!G89)),'Price History'!G89=0),"",'Price History'!G90/'Price History'!G89-1),"")</f>
        <v>0.16253252385082395</v>
      </c>
      <c r="H89" s="69">
        <f>IFERROR(IF(OR(NOT(ISNUMBER('Price History'!H90)),NOT(ISNUMBER('Price History'!H89)),'Price History'!H89=0),"",'Price History'!H90/'Price History'!H89-1),"")</f>
        <v>7.4629171817057971E-2</v>
      </c>
      <c r="I89" s="69">
        <f>IFERROR(IF(OR(NOT(ISNUMBER('Price History'!I90)),NOT(ISNUMBER('Price History'!I89)),'Price History'!I89=0),"",'Price History'!I90/'Price History'!I89-1),"")</f>
        <v>0.17622733538331037</v>
      </c>
      <c r="J89" s="69">
        <f>IFERROR(IF(OR(NOT(ISNUMBER('Price History'!J90)),NOT(ISNUMBER('Price History'!J89)),'Price History'!J89=0),"",'Price History'!J90/'Price History'!J89-1),"")</f>
        <v>-2.0360378703043858E-2</v>
      </c>
      <c r="K89" s="69">
        <f>IFERROR(IF(OR(NOT(ISNUMBER('Price History'!K90)),NOT(ISNUMBER('Price History'!K89)),'Price History'!K89=0),"",'Price History'!K90/'Price History'!K89-1),"")</f>
        <v>0.19645993784623683</v>
      </c>
      <c r="L89" s="69">
        <f>IFERROR(IF(OR(NOT(ISNUMBER('Price History'!L90)),NOT(ISNUMBER('Price History'!L89)),'Price History'!L89=0),"",'Price History'!L90/'Price History'!L89-1),"")</f>
        <v>7.0027247956403249E-2</v>
      </c>
      <c r="M89" s="69">
        <f>IFERROR(IF(OR(NOT(ISNUMBER('Price History'!M90)),NOT(ISNUMBER('Price History'!M89)),'Price History'!M89=0),"",'Price History'!M90/'Price History'!M89-1),"")</f>
        <v>0.17168826796835557</v>
      </c>
      <c r="N89" s="69">
        <f>IFERROR(IF(OR(NOT(ISNUMBER('Price History'!N90)),NOT(ISNUMBER('Price History'!N89)),'Price History'!N89=0),"",'Price History'!N90/'Price History'!N89-1),"")</f>
        <v>2.022670768193513E-2</v>
      </c>
      <c r="O89" s="69">
        <f>IFERROR(IF(OR(NOT(ISNUMBER('Price History'!O90)),NOT(ISNUMBER('Price History'!O89)),'Price History'!O89=0),"",'Price History'!O90/'Price History'!O89-1),"")</f>
        <v>1.2564102564102564E-2</v>
      </c>
      <c r="P89" s="69" t="str">
        <f>IFERROR(IF(OR(NOT(ISNUMBER('Price History'!P90)),NOT(ISNUMBER('Price History'!P89)),'Price History'!P89=0),"",'Price History'!P90/'Price History'!P89-1),"")</f>
        <v/>
      </c>
      <c r="Q89" s="69">
        <f>IFERROR(IF(OR(NOT(ISNUMBER('Price History'!Q90)),NOT(ISNUMBER('Price History'!Q89)),'Price History'!Q89=0),"",'Price History'!Q90/'Price History'!Q89-1),"")</f>
        <v>1.0894684714427338E-2</v>
      </c>
      <c r="R89" s="69">
        <f>IFERROR(IF(OR(NOT(ISNUMBER('Price History'!R90)),NOT(ISNUMBER('Price History'!R89)),'Price History'!R89=0),"",'Price History'!R90/'Price History'!R89-1),"")</f>
        <v>6.3090128755364683E-2</v>
      </c>
      <c r="S89" s="69">
        <f>IFERROR(IF(OR(NOT(ISNUMBER('Price History'!S90)),NOT(ISNUMBER('Price History'!S89)),'Price History'!S89=0),"",'Price History'!S90/'Price History'!S89-1),"")</f>
        <v>9.1107871720116584E-2</v>
      </c>
      <c r="T89" s="69">
        <f>IFERROR(IF(OR(NOT(ISNUMBER('Price History'!T90)),NOT(ISNUMBER('Price History'!T89)),'Price History'!T89=0),"",'Price History'!T90/'Price History'!T89-1),"")</f>
        <v>1.9709208400646272E-2</v>
      </c>
      <c r="U89" s="69" t="str">
        <f>IFERROR(IF(OR(NOT(ISNUMBER('Price History'!U90)),NOT(ISNUMBER('Price History'!U89)),'Price History'!U89=0),"",'Price History'!U90/'Price History'!U89-1),"")</f>
        <v/>
      </c>
    </row>
    <row r="90" spans="1:21" ht="15" customHeight="1" x14ac:dyDescent="0.2">
      <c r="A90" s="52">
        <f>'Price History'!A91</f>
        <v>45764</v>
      </c>
      <c r="B90" s="69">
        <f>IFERROR(IF(OR(NOT(ISNUMBER('Price History'!B91)),NOT(ISNUMBER('Price History'!B90)),'Price History'!B90=0),"",'Price History'!B91/'Price History'!B90-1),"")</f>
        <v>-1.0412233665276549E-2</v>
      </c>
      <c r="C90" s="69">
        <f>IFERROR(IF(OR(NOT(ISNUMBER('Price History'!C91)),NOT(ISNUMBER('Price History'!C90)),'Price History'!C90=0),"",'Price History'!C91/'Price History'!C90-1),"")</f>
        <v>-2.0228429888537236E-2</v>
      </c>
      <c r="D90" s="69">
        <f>IFERROR(IF(OR(NOT(ISNUMBER('Price History'!D91)),NOT(ISNUMBER('Price History'!D90)),'Price History'!D90=0),"",'Price History'!D91/'Price History'!D90-1),"")</f>
        <v>-4.2837278150745339E-2</v>
      </c>
      <c r="E90" s="69">
        <f>IFERROR(IF(OR(NOT(ISNUMBER('Price History'!E91)),NOT(ISNUMBER('Price History'!E90)),'Price History'!E90=0),"",'Price History'!E91/'Price History'!E90-1),"")</f>
        <v>-6.018467626690116E-2</v>
      </c>
      <c r="F90" s="69">
        <f>IFERROR(IF(OR(NOT(ISNUMBER('Price History'!F91)),NOT(ISNUMBER('Price History'!F90)),'Price History'!F90=0),"",'Price History'!F91/'Price History'!F90-1),"")</f>
        <v>-6.0330228619814852E-3</v>
      </c>
      <c r="G90" s="69">
        <f>IFERROR(IF(OR(NOT(ISNUMBER('Price History'!G91)),NOT(ISNUMBER('Price History'!G90)),'Price History'!G90=0),"",'Price History'!G91/'Price History'!G90-1),"")</f>
        <v>-5.3416890480453616E-2</v>
      </c>
      <c r="H90" s="69">
        <f>IFERROR(IF(OR(NOT(ISNUMBER('Price History'!H91)),NOT(ISNUMBER('Price History'!H90)),'Price History'!H90=0),"",'Price History'!H91/'Price History'!H90-1),"")</f>
        <v>-1.0783608914450071E-2</v>
      </c>
      <c r="I90" s="69">
        <f>IFERROR(IF(OR(NOT(ISNUMBER('Price History'!I91)),NOT(ISNUMBER('Price History'!I90)),'Price History'!I90=0),"",'Price History'!I91/'Price History'!I90-1),"")</f>
        <v>-8.5098710898765084E-2</v>
      </c>
      <c r="J90" s="69">
        <f>IFERROR(IF(OR(NOT(ISNUMBER('Price History'!J91)),NOT(ISNUMBER('Price History'!J90)),'Price History'!J90=0),"",'Price History'!J91/'Price History'!J90-1),"")</f>
        <v>6.0999688246908379E-2</v>
      </c>
      <c r="K90" s="69">
        <f>IFERROR(IF(OR(NOT(ISNUMBER('Price History'!K91)),NOT(ISNUMBER('Price History'!K90)),'Price History'!K90=0),"",'Price History'!K91/'Price History'!K90-1),"")</f>
        <v>5.9062676453980778E-2</v>
      </c>
      <c r="L90" s="69">
        <f>IFERROR(IF(OR(NOT(ISNUMBER('Price History'!L91)),NOT(ISNUMBER('Price History'!L90)),'Price History'!L90=0),"",'Price History'!L91/'Price History'!L90-1),"")</f>
        <v>-3.3995416348357566E-2</v>
      </c>
      <c r="M90" s="69">
        <f>IFERROR(IF(OR(NOT(ISNUMBER('Price History'!M91)),NOT(ISNUMBER('Price History'!M90)),'Price History'!M90=0),"",'Price History'!M91/'Price History'!M90-1),"")</f>
        <v>5.1716707369630743E-2</v>
      </c>
      <c r="N90" s="69">
        <f>IFERROR(IF(OR(NOT(ISNUMBER('Price History'!N91)),NOT(ISNUMBER('Price History'!N90)),'Price History'!N90=0),"",'Price History'!N91/'Price History'!N90-1),"")</f>
        <v>1.0078063690058148E-2</v>
      </c>
      <c r="O90" s="69">
        <f>IFERROR(IF(OR(NOT(ISNUMBER('Price History'!O91)),NOT(ISNUMBER('Price History'!O90)),'Price History'!O90=0),"",'Price History'!O91/'Price History'!O90-1),"")</f>
        <v>1.8612306913142529E-2</v>
      </c>
      <c r="P90" s="69" t="str">
        <f>IFERROR(IF(OR(NOT(ISNUMBER('Price History'!P91)),NOT(ISNUMBER('Price History'!P90)),'Price History'!P90=0),"",'Price History'!P91/'Price History'!P90-1),"")</f>
        <v/>
      </c>
      <c r="Q90" s="69">
        <f>IFERROR(IF(OR(NOT(ISNUMBER('Price History'!Q91)),NOT(ISNUMBER('Price History'!Q90)),'Price History'!Q90=0),"",'Price History'!Q91/'Price History'!Q90-1),"")</f>
        <v>9.6342259960808807E-3</v>
      </c>
      <c r="R90" s="69">
        <f>IFERROR(IF(OR(NOT(ISNUMBER('Price History'!R91)),NOT(ISNUMBER('Price History'!R90)),'Price History'!R90=0),"",'Price History'!R91/'Price History'!R90-1),"")</f>
        <v>-1.614856681469512E-2</v>
      </c>
      <c r="S90" s="69">
        <f>IFERROR(IF(OR(NOT(ISNUMBER('Price History'!S91)),NOT(ISNUMBER('Price History'!S90)),'Price History'!S90=0),"",'Price History'!S91/'Price History'!S90-1),"")</f>
        <v>-1.7368069472277758E-2</v>
      </c>
      <c r="T90" s="69">
        <f>IFERROR(IF(OR(NOT(ISNUMBER('Price History'!T91)),NOT(ISNUMBER('Price History'!T90)),'Price History'!T90=0),"",'Price History'!T91/'Price History'!T90-1),"")</f>
        <v>6.9708491761724112E-3</v>
      </c>
      <c r="U90" s="69" t="str">
        <f>IFERROR(IF(OR(NOT(ISNUMBER('Price History'!U91)),NOT(ISNUMBER('Price History'!U90)),'Price History'!U90=0),"",'Price History'!U91/'Price History'!U90-1),"")</f>
        <v/>
      </c>
    </row>
    <row r="91" spans="1:21" ht="15" customHeight="1" x14ac:dyDescent="0.2">
      <c r="A91" s="52">
        <f>'Price History'!A92</f>
        <v>45772</v>
      </c>
      <c r="B91" s="69">
        <f>IFERROR(IF(OR(NOT(ISNUMBER('Price History'!B92)),NOT(ISNUMBER('Price History'!B91)),'Price History'!B91=0),"",'Price History'!B92/'Price History'!B91-1),"")</f>
        <v>5.4243119266055073E-2</v>
      </c>
      <c r="C91" s="69">
        <f>IFERROR(IF(OR(NOT(ISNUMBER('Price History'!C92)),NOT(ISNUMBER('Price History'!C91)),'Price History'!C91=0),"",'Price History'!C92/'Price History'!C91-1),"")</f>
        <v>9.4241573033707837E-2</v>
      </c>
      <c r="D91" s="69">
        <f>IFERROR(IF(OR(NOT(ISNUMBER('Price History'!D92)),NOT(ISNUMBER('Price History'!D91)),'Price History'!D91=0),"",'Price History'!D92/'Price History'!D91-1),"")</f>
        <v>5.7969882529367744E-2</v>
      </c>
      <c r="E91" s="69">
        <f>IFERROR(IF(OR(NOT(ISNUMBER('Price History'!E92)),NOT(ISNUMBER('Price History'!E91)),'Price History'!E91=0),"",'Price History'!E92/'Price History'!E91-1),"")</f>
        <v>0.12468565413182042</v>
      </c>
      <c r="F91" s="69">
        <f>IFERROR(IF(OR(NOT(ISNUMBER('Price History'!F92)),NOT(ISNUMBER('Price History'!F91)),'Price History'!F91=0),"",'Price History'!F92/'Price History'!F91-1),"")</f>
        <v>0.13108295176232576</v>
      </c>
      <c r="G91" s="69">
        <f>IFERROR(IF(OR(NOT(ISNUMBER('Price History'!G92)),NOT(ISNUMBER('Price History'!G91)),'Price History'!G91=0),"",'Price History'!G92/'Price History'!G91-1),"")</f>
        <v>9.4892812105926705E-2</v>
      </c>
      <c r="H91" s="69">
        <f>IFERROR(IF(OR(NOT(ISNUMBER('Price History'!H92)),NOT(ISNUMBER('Price History'!H91)),'Price History'!H91=0),"",'Price History'!H92/'Price History'!H91-1),"")</f>
        <v>0.15959302325581404</v>
      </c>
      <c r="I91" s="69">
        <f>IFERROR(IF(OR(NOT(ISNUMBER('Price History'!I92)),NOT(ISNUMBER('Price History'!I91)),'Price History'!I91=0),"",'Price History'!I92/'Price History'!I91-1),"")</f>
        <v>9.3802345058626502E-2</v>
      </c>
      <c r="J91" s="69">
        <f>IFERROR(IF(OR(NOT(ISNUMBER('Price History'!J92)),NOT(ISNUMBER('Price History'!J91)),'Price History'!J91=0),"",'Price History'!J92/'Price History'!J91-1),"")</f>
        <v>1.3712047012732764E-3</v>
      </c>
      <c r="K91" s="69">
        <f>IFERROR(IF(OR(NOT(ISNUMBER('Price History'!K92)),NOT(ISNUMBER('Price History'!K91)),'Price History'!K91=0),"",'Price History'!K92/'Price History'!K91-1),"")</f>
        <v>0.20260183407976107</v>
      </c>
      <c r="L91" s="69">
        <f>IFERROR(IF(OR(NOT(ISNUMBER('Price History'!L92)),NOT(ISNUMBER('Price History'!L91)),'Price History'!L91=0),"",'Price History'!L92/'Price History'!L91-1),"")</f>
        <v>8.804534071437975E-2</v>
      </c>
      <c r="M91" s="69">
        <f>IFERROR(IF(OR(NOT(ISNUMBER('Price History'!M92)),NOT(ISNUMBER('Price History'!M91)),'Price History'!M91=0),"",'Price History'!M92/'Price History'!M91-1),"")</f>
        <v>0.18767927878705115</v>
      </c>
      <c r="N91" s="69">
        <f>IFERROR(IF(OR(NOT(ISNUMBER('Price History'!N92)),NOT(ISNUMBER('Price History'!N91)),'Price History'!N91=0),"",'Price History'!N92/'Price History'!N91-1),"")</f>
        <v>9.6912696790021347E-3</v>
      </c>
      <c r="O91" s="69">
        <f>IFERROR(IF(OR(NOT(ISNUMBER('Price History'!O92)),NOT(ISNUMBER('Price History'!O91)),'Price History'!O91=0),"",'Price History'!O92/'Price History'!O91-1),"")</f>
        <v>2.80919825978867E-2</v>
      </c>
      <c r="P91" s="69" t="str">
        <f>IFERROR(IF(OR(NOT(ISNUMBER('Price History'!P92)),NOT(ISNUMBER('Price History'!P91)),'Price History'!P91=0),"",'Price History'!P92/'Price History'!P91-1),"")</f>
        <v/>
      </c>
      <c r="Q91" s="69">
        <f>IFERROR(IF(OR(NOT(ISNUMBER('Price History'!Q92)),NOT(ISNUMBER('Price History'!Q91)),'Price History'!Q91=0),"",'Price History'!Q92/'Price History'!Q91-1),"")</f>
        <v>-1.6173378618788981E-4</v>
      </c>
      <c r="R91" s="69">
        <f>IFERROR(IF(OR(NOT(ISNUMBER('Price History'!R92)),NOT(ISNUMBER('Price History'!R91)),'Price History'!R91=0),"",'Price History'!R92/'Price History'!R91-1),"")</f>
        <v>4.8215018465326276E-2</v>
      </c>
      <c r="S91" s="69">
        <f>IFERROR(IF(OR(NOT(ISNUMBER('Price History'!S92)),NOT(ISNUMBER('Price History'!S91)),'Price History'!S91=0),"",'Price History'!S92/'Price History'!S91-1),"")</f>
        <v>6.5261726716519197E-2</v>
      </c>
      <c r="T91" s="69">
        <f>IFERROR(IF(OR(NOT(ISNUMBER('Price History'!T92)),NOT(ISNUMBER('Price History'!T91)),'Price History'!T91=0),"",'Price History'!T92/'Price History'!T91-1),"")</f>
        <v>3.3039647577092435E-2</v>
      </c>
      <c r="U91" s="69" t="str">
        <f>IFERROR(IF(OR(NOT(ISNUMBER('Price History'!U92)),NOT(ISNUMBER('Price History'!U91)),'Price History'!U91=0),"",'Price History'!U92/'Price History'!U91-1),"")</f>
        <v/>
      </c>
    </row>
    <row r="92" spans="1:21" ht="15" customHeight="1" x14ac:dyDescent="0.2">
      <c r="A92" s="52">
        <f>'Price History'!A93</f>
        <v>45779</v>
      </c>
      <c r="B92" s="69">
        <f>IFERROR(IF(OR(NOT(ISNUMBER('Price History'!B93)),NOT(ISNUMBER('Price History'!B92)),'Price History'!B92=0),"",'Price History'!B93/'Price History'!B92-1),"")</f>
        <v>3.5760905036440693E-2</v>
      </c>
      <c r="C92" s="69">
        <f>IFERROR(IF(OR(NOT(ISNUMBER('Price History'!C93)),NOT(ISNUMBER('Price History'!C92)),'Price History'!C92=0),"",'Price History'!C93/'Price History'!C92-1),"")</f>
        <v>0.16827108201771268</v>
      </c>
      <c r="D92" s="69">
        <f>IFERROR(IF(OR(NOT(ISNUMBER('Price History'!D93)),NOT(ISNUMBER('Price History'!D92)),'Price History'!D92=0),"",'Price History'!D93/'Price History'!D92-1),"")</f>
        <v>1.9283299127379028E-2</v>
      </c>
      <c r="E92" s="69">
        <f>IFERROR(IF(OR(NOT(ISNUMBER('Price History'!E93)),NOT(ISNUMBER('Price History'!E92)),'Price History'!E92=0),"",'Price History'!E93/'Price History'!E92-1),"")</f>
        <v>5.8915293016483794E-2</v>
      </c>
      <c r="F92" s="69">
        <f>IFERROR(IF(OR(NOT(ISNUMBER('Price History'!F93)),NOT(ISNUMBER('Price History'!F92)),'Price History'!F92=0),"",'Price History'!F93/'Price History'!F92-1),"")</f>
        <v>3.699868198079459E-2</v>
      </c>
      <c r="G92" s="69">
        <f>IFERROR(IF(OR(NOT(ISNUMBER('Price History'!G93)),NOT(ISNUMBER('Price History'!G92)),'Price History'!G92=0),"",'Price History'!G93/'Price History'!G92-1),"")</f>
        <v>5.1828390440540328E-3</v>
      </c>
      <c r="H92" s="69">
        <f>IFERROR(IF(OR(NOT(ISNUMBER('Price History'!H93)),NOT(ISNUMBER('Price History'!H92)),'Price History'!H92=0),"",'Price History'!H93/'Price History'!H92-1),"")</f>
        <v>1.1782401604412129E-2</v>
      </c>
      <c r="I92" s="69">
        <f>IFERROR(IF(OR(NOT(ISNUMBER('Price History'!I93)),NOT(ISNUMBER('Price History'!I92)),'Price History'!I92=0),"",'Price History'!I93/'Price History'!I92-1),"")</f>
        <v>3.1438609134312179E-2</v>
      </c>
      <c r="J92" s="69">
        <f>IFERROR(IF(OR(NOT(ISNUMBER('Price History'!J93)),NOT(ISNUMBER('Price History'!J92)),'Price History'!J92=0),"",'Price History'!J93/'Price History'!J92-1),"")</f>
        <v>3.1005477308294171E-2</v>
      </c>
      <c r="K92" s="69">
        <f>IFERROR(IF(OR(NOT(ISNUMBER('Price History'!K93)),NOT(ISNUMBER('Price History'!K92)),'Price History'!K92=0),"",'Price History'!K93/'Price History'!K92-1),"")</f>
        <v>0.10196843411952483</v>
      </c>
      <c r="L92" s="69">
        <f>IFERROR(IF(OR(NOT(ISNUMBER('Price History'!L93)),NOT(ISNUMBER('Price History'!L92)),'Price History'!L92=0),"",'Price History'!L93/'Price History'!L92-1),"")</f>
        <v>8.5887341005451256E-2</v>
      </c>
      <c r="M92" s="69">
        <f>IFERROR(IF(OR(NOT(ISNUMBER('Price History'!M93)),NOT(ISNUMBER('Price History'!M92)),'Price History'!M92=0),"",'Price History'!M93/'Price History'!M92-1),"")</f>
        <v>9.2581943645773324E-2</v>
      </c>
      <c r="N92" s="69">
        <f>IFERROR(IF(OR(NOT(ISNUMBER('Price History'!N93)),NOT(ISNUMBER('Price History'!N92)),'Price History'!N92=0),"",'Price History'!N93/'Price History'!N92-1),"")</f>
        <v>1.4802365138506302E-2</v>
      </c>
      <c r="O92" s="69">
        <f>IFERROR(IF(OR(NOT(ISNUMBER('Price History'!O93)),NOT(ISNUMBER('Price History'!O92)),'Price History'!O92=0),"",'Price History'!O93/'Price History'!O92-1),"")</f>
        <v>3.3974126465965426E-2</v>
      </c>
      <c r="P92" s="69" t="str">
        <f>IFERROR(IF(OR(NOT(ISNUMBER('Price History'!P93)),NOT(ISNUMBER('Price History'!P92)),'Price History'!P92=0),"",'Price History'!P93/'Price History'!P92-1),"")</f>
        <v/>
      </c>
      <c r="Q92" s="69">
        <f>IFERROR(IF(OR(NOT(ISNUMBER('Price History'!Q93)),NOT(ISNUMBER('Price History'!Q92)),'Price History'!Q92=0),"",'Price History'!Q93/'Price History'!Q92-1),"")</f>
        <v>8.0879974118408526E-4</v>
      </c>
      <c r="R92" s="69">
        <f>IFERROR(IF(OR(NOT(ISNUMBER('Price History'!R93)),NOT(ISNUMBER('Price History'!R92)),'Price History'!R92=0),"",'Price History'!R93/'Price History'!R92-1),"")</f>
        <v>7.8293208064199593E-3</v>
      </c>
      <c r="S92" s="69">
        <f>IFERROR(IF(OR(NOT(ISNUMBER('Price History'!S93)),NOT(ISNUMBER('Price History'!S92)),'Price History'!S92=0),"",'Price History'!S93/'Price History'!S92-1),"")</f>
        <v>4.0204211869814932E-2</v>
      </c>
      <c r="T92" s="69">
        <f>IFERROR(IF(OR(NOT(ISNUMBER('Price History'!T93)),NOT(ISNUMBER('Price History'!T92)),'Price History'!T92=0),"",'Price History'!T93/'Price History'!T92-1),"")</f>
        <v>1.9189765458422325E-2</v>
      </c>
      <c r="U92" s="69" t="str">
        <f>IFERROR(IF(OR(NOT(ISNUMBER('Price History'!U93)),NOT(ISNUMBER('Price History'!U92)),'Price History'!U92=0),"",'Price History'!U93/'Price History'!U92-1),"")</f>
        <v/>
      </c>
    </row>
    <row r="93" spans="1:21" ht="15" customHeight="1" x14ac:dyDescent="0.2">
      <c r="A93" s="52">
        <f>'Price History'!A94</f>
        <v>45786</v>
      </c>
      <c r="B93" s="69">
        <f>IFERROR(IF(OR(NOT(ISNUMBER('Price History'!B94)),NOT(ISNUMBER('Price History'!B93)),'Price History'!B93=0),"",'Price History'!B94/'Price History'!B93-1),"")</f>
        <v>6.3276183474676451E-3</v>
      </c>
      <c r="C93" s="69">
        <f>IFERROR(IF(OR(NOT(ISNUMBER('Price History'!C94)),NOT(ISNUMBER('Price History'!C93)),'Price History'!C93=0),"",'Price History'!C94/'Price History'!C93-1),"")</f>
        <v>-4.9439683586025018E-2</v>
      </c>
      <c r="D93" s="69">
        <f>IFERROR(IF(OR(NOT(ISNUMBER('Price History'!D94)),NOT(ISNUMBER('Price History'!D93)),'Price History'!D93=0),"",'Price History'!D94/'Price History'!D93-1),"")</f>
        <v>2.3003491083974259E-2</v>
      </c>
      <c r="E93" s="69">
        <f>IFERROR(IF(OR(NOT(ISNUMBER('Price History'!E94)),NOT(ISNUMBER('Price History'!E93)),'Price History'!E93=0),"",'Price History'!E94/'Price History'!E93-1),"")</f>
        <v>2.2392457277548683E-2</v>
      </c>
      <c r="F93" s="69">
        <f>IFERROR(IF(OR(NOT(ISNUMBER('Price History'!F94)),NOT(ISNUMBER('Price History'!F93)),'Price History'!F93=0),"",'Price History'!F94/'Price History'!F93-1),"")</f>
        <v>-6.8179754879709509E-2</v>
      </c>
      <c r="G93" s="69">
        <f>IFERROR(IF(OR(NOT(ISNUMBER('Price History'!G94)),NOT(ISNUMBER('Price History'!G93)),'Price History'!G93=0),"",'Price History'!G94/'Price History'!G93-1),"")</f>
        <v>4.2967631051276101E-3</v>
      </c>
      <c r="H93" s="69">
        <f>IFERROR(IF(OR(NOT(ISNUMBER('Price History'!H94)),NOT(ISNUMBER('Price History'!H93)),'Price History'!H93=0),"",'Price History'!H94/'Price History'!H93-1),"")</f>
        <v>6.3676907829534279E-2</v>
      </c>
      <c r="I93" s="69">
        <f>IFERROR(IF(OR(NOT(ISNUMBER('Price History'!I94)),NOT(ISNUMBER('Price History'!I93)),'Price History'!I93=0),"",'Price History'!I94/'Price History'!I93-1),"")</f>
        <v>1.8777292576419358E-2</v>
      </c>
      <c r="J93" s="69">
        <f>IFERROR(IF(OR(NOT(ISNUMBER('Price History'!J94)),NOT(ISNUMBER('Price History'!J93)),'Price History'!J93=0),"",'Price History'!J94/'Price History'!J93-1),"")</f>
        <v>1.4230148942225629E-2</v>
      </c>
      <c r="K93" s="69">
        <f>IFERROR(IF(OR(NOT(ISNUMBER('Price History'!K94)),NOT(ISNUMBER('Price History'!K93)),'Price History'!K93=0),"",'Price History'!K94/'Price History'!K93-1),"")</f>
        <v>-5.6163501770196356E-2</v>
      </c>
      <c r="L93" s="69">
        <f>IFERROR(IF(OR(NOT(ISNUMBER('Price History'!L94)),NOT(ISNUMBER('Price History'!L93)),'Price History'!L93=0),"",'Price History'!L94/'Price History'!L93-1),"")</f>
        <v>-1.53949129852744E-2</v>
      </c>
      <c r="M93" s="69">
        <f>IFERROR(IF(OR(NOT(ISNUMBER('Price History'!M94)),NOT(ISNUMBER('Price History'!M93)),'Price History'!M93=0),"",'Price History'!M94/'Price History'!M93-1),"")</f>
        <v>-9.8947368421052895E-3</v>
      </c>
      <c r="N93" s="69">
        <f>IFERROR(IF(OR(NOT(ISNUMBER('Price History'!N94)),NOT(ISNUMBER('Price History'!N93)),'Price History'!N93=0),"",'Price History'!N94/'Price History'!N93-1),"")</f>
        <v>-0.15197046792377522</v>
      </c>
      <c r="O93" s="69">
        <f>IFERROR(IF(OR(NOT(ISNUMBER('Price History'!O94)),NOT(ISNUMBER('Price History'!O93)),'Price History'!O93=0),"",'Price History'!O94/'Price History'!O93-1),"")</f>
        <v>1.1576239476146055E-2</v>
      </c>
      <c r="P93" s="69" t="str">
        <f>IFERROR(IF(OR(NOT(ISNUMBER('Price History'!P94)),NOT(ISNUMBER('Price History'!P93)),'Price History'!P93=0),"",'Price History'!P94/'Price History'!P93-1),"")</f>
        <v/>
      </c>
      <c r="Q93" s="69">
        <f>IFERROR(IF(OR(NOT(ISNUMBER('Price History'!Q94)),NOT(ISNUMBER('Price History'!Q93)),'Price History'!Q93=0),"",'Price History'!Q94/'Price History'!Q93-1),"")</f>
        <v>1.0829157911750542E-2</v>
      </c>
      <c r="R93" s="69">
        <f>IFERROR(IF(OR(NOT(ISNUMBER('Price History'!R94)),NOT(ISNUMBER('Price History'!R93)),'Price History'!R93=0),"",'Price History'!R94/'Price History'!R93-1),"")</f>
        <v>2.7189745581666092E-3</v>
      </c>
      <c r="S93" s="69">
        <f>IFERROR(IF(OR(NOT(ISNUMBER('Price History'!S94)),NOT(ISNUMBER('Price History'!S93)),'Price History'!S93=0),"",'Price History'!S94/'Price History'!S93-1),"")</f>
        <v>6.952965235173858E-3</v>
      </c>
      <c r="T93" s="69">
        <f>IFERROR(IF(OR(NOT(ISNUMBER('Price History'!T94)),NOT(ISNUMBER('Price History'!T93)),'Price History'!T93=0),"",'Price History'!T94/'Price History'!T93-1),"")</f>
        <v>-1.7931858936043321E-3</v>
      </c>
      <c r="U93" s="69" t="str">
        <f>IFERROR(IF(OR(NOT(ISNUMBER('Price History'!U94)),NOT(ISNUMBER('Price History'!U93)),'Price History'!U93=0),"",'Price History'!U94/'Price History'!U93-1),"")</f>
        <v/>
      </c>
    </row>
    <row r="94" spans="1:21" ht="15" customHeight="1" x14ac:dyDescent="0.2">
      <c r="A94" s="52">
        <f>'Price History'!A95</f>
        <v>45793</v>
      </c>
      <c r="B94" s="69">
        <f>IFERROR(IF(OR(NOT(ISNUMBER('Price History'!B95)),NOT(ISNUMBER('Price History'!B94)),'Price History'!B94=0),"",'Price History'!B95/'Price History'!B94-1),"")</f>
        <v>8.8316635357962969E-2</v>
      </c>
      <c r="C94" s="69">
        <f>IFERROR(IF(OR(NOT(ISNUMBER('Price History'!C95)),NOT(ISNUMBER('Price History'!C94)),'Price History'!C94=0),"",'Price History'!C95/'Price History'!C94-1),"")</f>
        <v>0.11442441054091557</v>
      </c>
      <c r="D94" s="69">
        <f>IFERROR(IF(OR(NOT(ISNUMBER('Price History'!D95)),NOT(ISNUMBER('Price History'!D94)),'Price History'!D94=0),"",'Price History'!D95/'Price History'!D94-1),"")</f>
        <v>5.9316633862448898E-2</v>
      </c>
      <c r="E94" s="69">
        <f>IFERROR(IF(OR(NOT(ISNUMBER('Price History'!E95)),NOT(ISNUMBER('Price History'!E94)),'Price History'!E94=0),"",'Price History'!E95/'Price History'!E94-1),"")</f>
        <v>9.8030739673391043E-2</v>
      </c>
      <c r="F94" s="69">
        <f>IFERROR(IF(OR(NOT(ISNUMBER('Price History'!F95)),NOT(ISNUMBER('Price History'!F94)),'Price History'!F94=0),"",'Price History'!F95/'Price History'!F94-1),"")</f>
        <v>6.9953234606391135E-2</v>
      </c>
      <c r="G94" s="69">
        <f>IFERROR(IF(OR(NOT(ISNUMBER('Price History'!G95)),NOT(ISNUMBER('Price History'!G94)),'Price History'!G94=0),"",'Price History'!G95/'Price History'!G94-1),"")</f>
        <v>0.1283513976041073</v>
      </c>
      <c r="H94" s="69">
        <f>IFERROR(IF(OR(NOT(ISNUMBER('Price History'!H95)),NOT(ISNUMBER('Price History'!H94)),'Price History'!H94=0),"",'Price History'!H95/'Price History'!H94-1),"")</f>
        <v>0.14139296529233647</v>
      </c>
      <c r="I94" s="69">
        <f>IFERROR(IF(OR(NOT(ISNUMBER('Price History'!I95)),NOT(ISNUMBER('Price History'!I94)),'Price History'!I94=0),"",'Price History'!I95/'Price History'!I94-1),"")</f>
        <v>0.16073724817831114</v>
      </c>
      <c r="J94" s="69">
        <f>IFERROR(IF(OR(NOT(ISNUMBER('Price History'!J95)),NOT(ISNUMBER('Price History'!J94)),'Price History'!J94=0),"",'Price History'!J95/'Price History'!J94-1),"")</f>
        <v>3.4047329529510728E-2</v>
      </c>
      <c r="K94" s="69">
        <f>IFERROR(IF(OR(NOT(ISNUMBER('Price History'!K95)),NOT(ISNUMBER('Price History'!K94)),'Price History'!K94=0),"",'Price History'!K95/'Price History'!K94-1),"")</f>
        <v>0.10417732310315442</v>
      </c>
      <c r="L94" s="69">
        <f>IFERROR(IF(OR(NOT(ISNUMBER('Price History'!L95)),NOT(ISNUMBER('Price History'!L94)),'Price History'!L94=0),"",'Price History'!L95/'Price History'!L94-1),"")</f>
        <v>0.10027192386131878</v>
      </c>
      <c r="M94" s="69">
        <f>IFERROR(IF(OR(NOT(ISNUMBER('Price History'!M95)),NOT(ISNUMBER('Price History'!M94)),'Price History'!M94=0),"",'Price History'!M95/'Price History'!M94-1),"")</f>
        <v>0.12736551137571772</v>
      </c>
      <c r="N94" s="69">
        <f>IFERROR(IF(OR(NOT(ISNUMBER('Price History'!N95)),NOT(ISNUMBER('Price History'!N94)),'Price History'!N94=0),"",'Price History'!N95/'Price History'!N94-1),"")</f>
        <v>3.2141932751358793E-2</v>
      </c>
      <c r="O94" s="69">
        <f>IFERROR(IF(OR(NOT(ISNUMBER('Price History'!O95)),NOT(ISNUMBER('Price History'!O94)),'Price History'!O94=0),"",'Price History'!O95/'Price History'!O94-1),"")</f>
        <v>4.8896081377875378E-2</v>
      </c>
      <c r="P94" s="69" t="str">
        <f>IFERROR(IF(OR(NOT(ISNUMBER('Price History'!P95)),NOT(ISNUMBER('Price History'!P94)),'Price History'!P94=0),"",'Price History'!P95/'Price History'!P94-1),"")</f>
        <v/>
      </c>
      <c r="Q94" s="69">
        <f>IFERROR(IF(OR(NOT(ISNUMBER('Price History'!Q95)),NOT(ISNUMBER('Price History'!Q94)),'Price History'!Q94=0),"",'Price History'!Q95/'Price History'!Q94-1),"")</f>
        <v>6.5558042852575937E-3</v>
      </c>
      <c r="R94" s="69">
        <f>IFERROR(IF(OR(NOT(ISNUMBER('Price History'!R95)),NOT(ISNUMBER('Price History'!R94)),'Price History'!R94=0),"",'Price History'!R95/'Price History'!R94-1),"")</f>
        <v>1.7238039899283297E-2</v>
      </c>
      <c r="S94" s="69">
        <f>IFERROR(IF(OR(NOT(ISNUMBER('Price History'!S95)),NOT(ISNUMBER('Price History'!S94)),'Price History'!S94=0),"",'Price History'!S95/'Price History'!S94-1),"")</f>
        <v>6.8237205523964173E-2</v>
      </c>
      <c r="T94" s="69">
        <f>IFERROR(IF(OR(NOT(ISNUMBER('Price History'!T95)),NOT(ISNUMBER('Price History'!T94)),'Price History'!T94=0),"",'Price History'!T95/'Price History'!T94-1),"")</f>
        <v>4.3113772455090071E-2</v>
      </c>
      <c r="U94" s="69" t="str">
        <f>IFERROR(IF(OR(NOT(ISNUMBER('Price History'!U95)),NOT(ISNUMBER('Price History'!U94)),'Price History'!U94=0),"",'Price History'!U95/'Price History'!U94-1),"")</f>
        <v/>
      </c>
    </row>
    <row r="95" spans="1:21" ht="15" customHeight="1" x14ac:dyDescent="0.2">
      <c r="A95" s="52">
        <f>'Price History'!A96</f>
        <v>45800</v>
      </c>
      <c r="B95" s="69">
        <f>IFERROR(IF(OR(NOT(ISNUMBER('Price History'!B96)),NOT(ISNUMBER('Price History'!B95)),'Price History'!B95=0),"",'Price History'!B96/'Price History'!B95-1),"")</f>
        <v>-2.2630834512022635E-2</v>
      </c>
      <c r="C95" s="69">
        <f>IFERROR(IF(OR(NOT(ISNUMBER('Price History'!C96)),NOT(ISNUMBER('Price History'!C95)),'Price History'!C95=0),"",'Price History'!C96/'Price History'!C95-1),"")</f>
        <v>-5.4138145612943389E-2</v>
      </c>
      <c r="D95" s="69">
        <f>IFERROR(IF(OR(NOT(ISNUMBER('Price History'!D96)),NOT(ISNUMBER('Price History'!D95)),'Price History'!D95=0),"",'Price History'!D96/'Price History'!D95-1),"")</f>
        <v>-2.0866194359042911E-2</v>
      </c>
      <c r="E95" s="69">
        <f>IFERROR(IF(OR(NOT(ISNUMBER('Price History'!E96)),NOT(ISNUMBER('Price History'!E95)),'Price History'!E95=0),"",'Price History'!E96/'Price History'!E95-1),"")</f>
        <v>4.8116880276438678E-4</v>
      </c>
      <c r="F95" s="69">
        <f>IFERROR(IF(OR(NOT(ISNUMBER('Price History'!F96)),NOT(ISNUMBER('Price History'!F95)),'Price History'!F95=0),"",'Price History'!F96/'Price History'!F95-1),"")</f>
        <v>3.7151702786377916E-2</v>
      </c>
      <c r="G95" s="69">
        <f>IFERROR(IF(OR(NOT(ISNUMBER('Price History'!G96)),NOT(ISNUMBER('Price History'!G95)),'Price History'!G95=0),"",'Price History'!G96/'Price History'!G95-1),"")</f>
        <v>-4.2972699696663397E-2</v>
      </c>
      <c r="H95" s="69">
        <f>IFERROR(IF(OR(NOT(ISNUMBER('Price History'!H96)),NOT(ISNUMBER('Price History'!H95)),'Price History'!H95=0),"",'Price History'!H96/'Price History'!H95-1),"")</f>
        <v>-4.7244897959183629E-2</v>
      </c>
      <c r="I95" s="69">
        <f>IFERROR(IF(OR(NOT(ISNUMBER('Price History'!I96)),NOT(ISNUMBER('Price History'!I95)),'Price History'!I95=0),"",'Price History'!I96/'Price History'!I95-1),"")</f>
        <v>-3.0354505169867152E-2</v>
      </c>
      <c r="J95" s="69">
        <f>IFERROR(IF(OR(NOT(ISNUMBER('Price History'!J96)),NOT(ISNUMBER('Price History'!J95)),'Price History'!J95=0),"",'Price History'!J96/'Price History'!J95-1),"")</f>
        <v>-5.8887381275440909E-2</v>
      </c>
      <c r="K95" s="69">
        <f>IFERROR(IF(OR(NOT(ISNUMBER('Price History'!K96)),NOT(ISNUMBER('Price History'!K95)),'Price History'!K95=0),"",'Price History'!K96/'Price History'!K95-1),"")</f>
        <v>-4.7946263125386079E-2</v>
      </c>
      <c r="L95" s="69">
        <f>IFERROR(IF(OR(NOT(ISNUMBER('Price History'!L96)),NOT(ISNUMBER('Price History'!L95)),'Price History'!L95=0),"",'Price History'!L96/'Price History'!L95-1),"")</f>
        <v>-1.1533312738132073E-2</v>
      </c>
      <c r="M95" s="69">
        <f>IFERROR(IF(OR(NOT(ISNUMBER('Price History'!M96)),NOT(ISNUMBER('Price History'!M95)),'Price History'!M95=0),"",'Price History'!M96/'Price History'!M95-1),"")</f>
        <v>-1.791776688042257E-2</v>
      </c>
      <c r="N95" s="69">
        <f>IFERROR(IF(OR(NOT(ISNUMBER('Price History'!N96)),NOT(ISNUMBER('Price History'!N95)),'Price History'!N95=0),"",'Price History'!N96/'Price History'!N95-1),"")</f>
        <v>-6.041262965918115E-3</v>
      </c>
      <c r="O95" s="69">
        <f>IFERROR(IF(OR(NOT(ISNUMBER('Price History'!O96)),NOT(ISNUMBER('Price History'!O95)),'Price History'!O95=0),"",'Price History'!O96/'Price History'!O95-1),"")</f>
        <v>-4.0004408199250552E-2</v>
      </c>
      <c r="P95" s="69" t="str">
        <f>IFERROR(IF(OR(NOT(ISNUMBER('Price History'!P96)),NOT(ISNUMBER('Price History'!P95)),'Price History'!P95=0),"",'Price History'!P96/'Price History'!P95-1),"")</f>
        <v/>
      </c>
      <c r="Q95" s="69">
        <f>IFERROR(IF(OR(NOT(ISNUMBER('Price History'!Q96)),NOT(ISNUMBER('Price History'!Q95)),'Price History'!Q95=0),"",'Price History'!Q96/'Price History'!Q95-1),"")</f>
        <v>1.5885623510722979E-3</v>
      </c>
      <c r="R95" s="69">
        <f>IFERROR(IF(OR(NOT(ISNUMBER('Price History'!R96)),NOT(ISNUMBER('Price History'!R95)),'Price History'!R95=0),"",'Price History'!R96/'Price History'!R95-1),"")</f>
        <v>-9.1393754760091817E-3</v>
      </c>
      <c r="S95" s="69">
        <f>IFERROR(IF(OR(NOT(ISNUMBER('Price History'!S96)),NOT(ISNUMBER('Price History'!S95)),'Price History'!S95=0),"",'Price History'!S96/'Price History'!S95-1),"")</f>
        <v>-2.2338403041825217E-2</v>
      </c>
      <c r="T95" s="69">
        <f>IFERROR(IF(OR(NOT(ISNUMBER('Price History'!T96)),NOT(ISNUMBER('Price History'!T95)),'Price History'!T95=0),"",'Price History'!T96/'Price History'!T95-1),"")</f>
        <v>-3.4730195177956391E-2</v>
      </c>
      <c r="U95" s="69" t="str">
        <f>IFERROR(IF(OR(NOT(ISNUMBER('Price History'!U96)),NOT(ISNUMBER('Price History'!U95)),'Price History'!U95=0),"",'Price History'!U96/'Price History'!U95-1),"")</f>
        <v/>
      </c>
    </row>
    <row r="96" spans="1:21" ht="15" customHeight="1" x14ac:dyDescent="0.2">
      <c r="A96" s="52">
        <f>'Price History'!A97</f>
        <v>45807</v>
      </c>
      <c r="B96" s="69">
        <f>IFERROR(IF(OR(NOT(ISNUMBER('Price History'!B97)),NOT(ISNUMBER('Price History'!B96)),'Price History'!B96=0),"",'Price History'!B97/'Price History'!B96-1),"")</f>
        <v>1.8151046137997007E-2</v>
      </c>
      <c r="C96" s="69">
        <f>IFERROR(IF(OR(NOT(ISNUMBER('Price History'!C97)),NOT(ISNUMBER('Price History'!C96)),'Price History'!C96=0),"",'Price History'!C97/'Price History'!C96-1),"")</f>
        <v>-5.0000000000000044E-2</v>
      </c>
      <c r="D96" s="69">
        <f>IFERROR(IF(OR(NOT(ISNUMBER('Price History'!D97)),NOT(ISNUMBER('Price History'!D96)),'Price History'!D96=0),"",'Price History'!D97/'Price History'!D96-1),"")</f>
        <v>5.8430831820228679E-3</v>
      </c>
      <c r="E96" s="69">
        <f>IFERROR(IF(OR(NOT(ISNUMBER('Price History'!E97)),NOT(ISNUMBER('Price History'!E96)),'Price History'!E96=0),"",'Price History'!E97/'Price History'!E96-1),"")</f>
        <v>5.8368310598111206E-2</v>
      </c>
      <c r="F96" s="69">
        <f>IFERROR(IF(OR(NOT(ISNUMBER('Price History'!F97)),NOT(ISNUMBER('Price History'!F96)),'Price History'!F96=0),"",'Price History'!F97/'Price History'!F96-1),"")</f>
        <v>3.4591747146619722E-2</v>
      </c>
      <c r="G96" s="69">
        <f>IFERROR(IF(OR(NOT(ISNUMBER('Price History'!G97)),NOT(ISNUMBER('Price History'!G96)),'Price History'!G96=0),"",'Price History'!G97/'Price History'!G96-1),"")</f>
        <v>-3.961965134706702E-4</v>
      </c>
      <c r="H96" s="69">
        <f>IFERROR(IF(OR(NOT(ISNUMBER('Price History'!H97)),NOT(ISNUMBER('Price History'!H96)),'Price History'!H96=0),"",'Price History'!H97/'Price History'!H96-1),"")</f>
        <v>1.1673985220091998E-2</v>
      </c>
      <c r="I96" s="69">
        <f>IFERROR(IF(OR(NOT(ISNUMBER('Price History'!I97)),NOT(ISNUMBER('Price History'!I96)),'Price History'!I96=0),"",'Price History'!I97/'Price History'!I96-1),"")</f>
        <v>2.924822911112801E-2</v>
      </c>
      <c r="J96" s="69">
        <f>IFERROR(IF(OR(NOT(ISNUMBER('Price History'!J97)),NOT(ISNUMBER('Price History'!J96)),'Price History'!J96=0),"",'Price History'!J97/'Price History'!J96-1),"")</f>
        <v>4.3829296424451991E-2</v>
      </c>
      <c r="K96" s="69">
        <f>IFERROR(IF(OR(NOT(ISNUMBER('Price History'!K97)),NOT(ISNUMBER('Price History'!K96)),'Price History'!K96=0),"",'Price History'!K97/'Price History'!K96-1),"")</f>
        <v>6.8688670829616383E-2</v>
      </c>
      <c r="L96" s="69">
        <f>IFERROR(IF(OR(NOT(ISNUMBER('Price History'!L97)),NOT(ISNUMBER('Price History'!L96)),'Price History'!L96=0),"",'Price History'!L97/'Price History'!L96-1),"")</f>
        <v>6.9798937389311533E-3</v>
      </c>
      <c r="M96" s="69">
        <f>IFERROR(IF(OR(NOT(ISNUMBER('Price History'!M97)),NOT(ISNUMBER('Price History'!M96)),'Price History'!M96=0),"",'Price History'!M97/'Price History'!M96-1),"")</f>
        <v>3.6393316689072419E-2</v>
      </c>
      <c r="N96" s="69">
        <f>IFERROR(IF(OR(NOT(ISNUMBER('Price History'!N97)),NOT(ISNUMBER('Price History'!N96)),'Price History'!N96=0),"",'Price History'!N97/'Price History'!N96-1),"")</f>
        <v>1.3876146788990962E-2</v>
      </c>
      <c r="O96" s="69">
        <f>IFERROR(IF(OR(NOT(ISNUMBER('Price History'!O97)),NOT(ISNUMBER('Price History'!O96)),'Price History'!O96=0),"",'Price History'!O97/'Price History'!O96-1),"")</f>
        <v>1.1709333027206892E-2</v>
      </c>
      <c r="P96" s="69" t="str">
        <f>IFERROR(IF(OR(NOT(ISNUMBER('Price History'!P97)),NOT(ISNUMBER('Price History'!P96)),'Price History'!P96=0),"",'Price History'!P97/'Price History'!P96-1),"")</f>
        <v/>
      </c>
      <c r="Q96" s="69">
        <f>IFERROR(IF(OR(NOT(ISNUMBER('Price History'!Q97)),NOT(ISNUMBER('Price History'!Q96)),'Price History'!Q96=0),"",'Price History'!Q97/'Price History'!Q96-1),"")</f>
        <v>3.4892942109436831E-3</v>
      </c>
      <c r="R96" s="69">
        <f>IFERROR(IF(OR(NOT(ISNUMBER('Price History'!R97)),NOT(ISNUMBER('Price History'!R96)),'Price History'!R96=0),"",'Price History'!R97/'Price History'!R96-1),"")</f>
        <v>1.1337432744043197E-2</v>
      </c>
      <c r="S96" s="69">
        <f>IFERROR(IF(OR(NOT(ISNUMBER('Price History'!S97)),NOT(ISNUMBER('Price History'!S96)),'Price History'!S96=0),"",'Price History'!S97/'Price History'!S96-1),"")</f>
        <v>2.4307243558580494E-2</v>
      </c>
      <c r="T96" s="69">
        <f>IFERROR(IF(OR(NOT(ISNUMBER('Price History'!T97)),NOT(ISNUMBER('Price History'!T96)),'Price History'!T96=0),"",'Price History'!T97/'Price History'!T96-1),"")</f>
        <v>7.7311923877489974E-3</v>
      </c>
      <c r="U96" s="69" t="str">
        <f>IFERROR(IF(OR(NOT(ISNUMBER('Price History'!U97)),NOT(ISNUMBER('Price History'!U96)),'Price History'!U96=0),"",'Price History'!U97/'Price History'!U96-1),"")</f>
        <v/>
      </c>
    </row>
    <row r="97" spans="1:21" ht="15" customHeight="1" x14ac:dyDescent="0.2">
      <c r="A97" s="52">
        <f>'Price History'!A98</f>
        <v>45814</v>
      </c>
      <c r="B97" s="69">
        <f>IFERROR(IF(OR(NOT(ISNUMBER('Price History'!B98)),NOT(ISNUMBER('Price History'!B97)),'Price History'!B97=0),"",'Price History'!B98/'Price History'!B97-1),"")</f>
        <v>4.4086824544076197E-3</v>
      </c>
      <c r="C97" s="69">
        <f>IFERROR(IF(OR(NOT(ISNUMBER('Price History'!C98)),NOT(ISNUMBER('Price History'!C97)),'Price History'!C97=0),"",'Price History'!C98/'Price History'!C97-1),"")</f>
        <v>0.12246075715604809</v>
      </c>
      <c r="D97" s="69">
        <f>IFERROR(IF(OR(NOT(ISNUMBER('Price History'!D98)),NOT(ISNUMBER('Price History'!D97)),'Price History'!D97=0),"",'Price History'!D98/'Price History'!D97-1),"")</f>
        <v>2.2055729739267393E-2</v>
      </c>
      <c r="E97" s="69">
        <f>IFERROR(IF(OR(NOT(ISNUMBER('Price History'!E98)),NOT(ISNUMBER('Price History'!E97)),'Price History'!E97=0),"",'Price History'!E98/'Price History'!E97-1),"")</f>
        <v>2.0076837278473203E-2</v>
      </c>
      <c r="F97" s="69">
        <f>IFERROR(IF(OR(NOT(ISNUMBER('Price History'!F98)),NOT(ISNUMBER('Price History'!F97)),'Price History'!F97=0),"",'Price History'!F98/'Price History'!F97-1),"")</f>
        <v>-6.2797012898846427E-3</v>
      </c>
      <c r="G97" s="69">
        <f>IFERROR(IF(OR(NOT(ISNUMBER('Price History'!G98)),NOT(ISNUMBER('Price History'!G97)),'Price History'!G97=0),"",'Price History'!G98/'Price History'!G97-1),"")</f>
        <v>6.7512220901043696E-2</v>
      </c>
      <c r="H97" s="69">
        <f>IFERROR(IF(OR(NOT(ISNUMBER('Price History'!H98)),NOT(ISNUMBER('Price History'!H97)),'Price History'!H97=0),"",'Price History'!H98/'Price History'!H97-1),"")</f>
        <v>0.14926953207706983</v>
      </c>
      <c r="I97" s="69">
        <f>IFERROR(IF(OR(NOT(ISNUMBER('Price History'!I98)),NOT(ISNUMBER('Price History'!I97)),'Price History'!I97=0),"",'Price History'!I98/'Price History'!I97-1),"")</f>
        <v>4.8767853178420806E-2</v>
      </c>
      <c r="J97" s="69">
        <f>IFERROR(IF(OR(NOT(ISNUMBER('Price History'!J98)),NOT(ISNUMBER('Price History'!J97)),'Price History'!J97=0),"",'Price History'!J98/'Price History'!J97-1),"")</f>
        <v>1.7495395948434744E-3</v>
      </c>
      <c r="K97" s="69">
        <f>IFERROR(IF(OR(NOT(ISNUMBER('Price History'!K98)),NOT(ISNUMBER('Price History'!K97)),'Price History'!K97=0),"",'Price History'!K98/'Price History'!K97-1),"")</f>
        <v>-3.0808923964182777E-2</v>
      </c>
      <c r="L97" s="69">
        <f>IFERROR(IF(OR(NOT(ISNUMBER('Price History'!L98)),NOT(ISNUMBER('Price History'!L97)),'Price History'!L97=0),"",'Price History'!L98/'Price History'!L97-1),"")</f>
        <v>6.1349058555762559E-2</v>
      </c>
      <c r="M97" s="69">
        <f>IFERROR(IF(OR(NOT(ISNUMBER('Price History'!M98)),NOT(ISNUMBER('Price History'!M97)),'Price History'!M97=0),"",'Price History'!M98/'Price History'!M97-1),"")</f>
        <v>6.8840915408134862E-2</v>
      </c>
      <c r="N97" s="69">
        <f>IFERROR(IF(OR(NOT(ISNUMBER('Price History'!N98)),NOT(ISNUMBER('Price History'!N97)),'Price History'!N97=0),"",'Price History'!N98/'Price History'!N97-1),"")</f>
        <v>1.9115484673679406E-2</v>
      </c>
      <c r="O97" s="69">
        <f>IFERROR(IF(OR(NOT(ISNUMBER('Price History'!O98)),NOT(ISNUMBER('Price History'!O97)),'Price History'!O97=0),"",'Price History'!O98/'Price History'!O97-1),"")</f>
        <v>1.8495404516055913E-2</v>
      </c>
      <c r="P97" s="69" t="str">
        <f>IFERROR(IF(OR(NOT(ISNUMBER('Price History'!P98)),NOT(ISNUMBER('Price History'!P97)),'Price History'!P97=0),"",'Price History'!P98/'Price History'!P97-1),"")</f>
        <v/>
      </c>
      <c r="Q97" s="69">
        <f>IFERROR(IF(OR(NOT(ISNUMBER('Price History'!Q98)),NOT(ISNUMBER('Price History'!Q97)),'Price History'!Q97=0),"",'Price History'!Q98/'Price History'!Q97-1),"")</f>
        <v>2.2127390548443149E-3</v>
      </c>
      <c r="R97" s="69">
        <f>IFERROR(IF(OR(NOT(ISNUMBER('Price History'!R98)),NOT(ISNUMBER('Price History'!R97)),'Price History'!R97=0),"",'Price History'!R98/'Price History'!R97-1),"")</f>
        <v>1.3300399011970665E-3</v>
      </c>
      <c r="S97" s="69">
        <f>IFERROR(IF(OR(NOT(ISNUMBER('Price History'!S98)),NOT(ISNUMBER('Price History'!S97)),'Price History'!S97=0),"",'Price History'!S98/'Price History'!S97-1),"")</f>
        <v>1.4902705268153849E-2</v>
      </c>
      <c r="T97" s="69">
        <f>IFERROR(IF(OR(NOT(ISNUMBER('Price History'!T98)),NOT(ISNUMBER('Price History'!T97)),'Price History'!T97=0),"",'Price History'!T98/'Price History'!T97-1),"")</f>
        <v>2.3605783416936976E-2</v>
      </c>
      <c r="U97" s="69" t="str">
        <f>IFERROR(IF(OR(NOT(ISNUMBER('Price History'!U98)),NOT(ISNUMBER('Price History'!U97)),'Price History'!U97=0),"",'Price History'!U98/'Price History'!U97-1),"")</f>
        <v/>
      </c>
    </row>
    <row r="98" spans="1:21" ht="15" customHeight="1" x14ac:dyDescent="0.2">
      <c r="A98" s="52">
        <f>'Price History'!A99</f>
        <v>45821</v>
      </c>
      <c r="B98" s="69">
        <f>IFERROR(IF(OR(NOT(ISNUMBER('Price History'!B99)),NOT(ISNUMBER('Price History'!B98)),'Price History'!B98=0),"",'Price History'!B99/'Price History'!B98-1),"")</f>
        <v>-6.0539192171159995E-2</v>
      </c>
      <c r="C98" s="69">
        <f>IFERROR(IF(OR(NOT(ISNUMBER('Price History'!C99)),NOT(ISNUMBER('Price History'!C98)),'Price History'!C98=0),"",'Price History'!C99/'Price History'!C98-1),"")</f>
        <v>-5.0385604113110549E-2</v>
      </c>
      <c r="D98" s="69">
        <f>IFERROR(IF(OR(NOT(ISNUMBER('Price History'!D99)),NOT(ISNUMBER('Price History'!D98)),'Price History'!D98=0),"",'Price History'!D99/'Price History'!D98-1),"")</f>
        <v>1.0597328092215363E-2</v>
      </c>
      <c r="E98" s="69">
        <f>IFERROR(IF(OR(NOT(ISNUMBER('Price History'!E99)),NOT(ISNUMBER('Price History'!E98)),'Price History'!E98=0),"",'Price History'!E99/'Price History'!E98-1),"")</f>
        <v>7.1680233264486137E-3</v>
      </c>
      <c r="F98" s="69">
        <f>IFERROR(IF(OR(NOT(ISNUMBER('Price History'!F99)),NOT(ISNUMBER('Price History'!F98)),'Price History'!F98=0),"",'Price History'!F99/'Price History'!F98-1),"")</f>
        <v>2.6131511528608042E-2</v>
      </c>
      <c r="G98" s="69">
        <f>IFERROR(IF(OR(NOT(ISNUMBER('Price History'!G99)),NOT(ISNUMBER('Price History'!G98)),'Price History'!G98=0),"",'Price History'!G99/'Price History'!G98-1),"")</f>
        <v>7.3886138613861396E-2</v>
      </c>
      <c r="H98" s="69">
        <f>IFERROR(IF(OR(NOT(ISNUMBER('Price History'!H99)),NOT(ISNUMBER('Price History'!H98)),'Price History'!H98=0),"",'Price History'!H99/'Price History'!H98-1),"")</f>
        <v>6.4848931466469972E-2</v>
      </c>
      <c r="I98" s="69">
        <f>IFERROR(IF(OR(NOT(ISNUMBER('Price History'!I99)),NOT(ISNUMBER('Price History'!I98)),'Price History'!I98=0),"",'Price History'!I99/'Price History'!I98-1),"")</f>
        <v>1.7640417725091062E-3</v>
      </c>
      <c r="J98" s="69">
        <f>IFERROR(IF(OR(NOT(ISNUMBER('Price History'!J99)),NOT(ISNUMBER('Price History'!J98)),'Price History'!J98=0),"",'Price History'!J99/'Price History'!J98-1),"")</f>
        <v>-1.3879952201489187E-2</v>
      </c>
      <c r="K98" s="69">
        <f>IFERROR(IF(OR(NOT(ISNUMBER('Price History'!K99)),NOT(ISNUMBER('Price History'!K98)),'Price History'!K98=0),"",'Price History'!K99/'Price History'!K98-1),"")</f>
        <v>7.5790792358283898E-2</v>
      </c>
      <c r="L98" s="69">
        <f>IFERROR(IF(OR(NOT(ISNUMBER('Price History'!L99)),NOT(ISNUMBER('Price History'!L98)),'Price History'!L98=0),"",'Price History'!L99/'Price History'!L98-1),"")</f>
        <v>2.8852714689540759E-2</v>
      </c>
      <c r="M98" s="69">
        <f>IFERROR(IF(OR(NOT(ISNUMBER('Price History'!M99)),NOT(ISNUMBER('Price History'!M98)),'Price History'!M98=0),"",'Price History'!M99/'Price History'!M98-1),"")</f>
        <v>-3.8054785020804394E-2</v>
      </c>
      <c r="N98" s="69">
        <f>IFERROR(IF(OR(NOT(ISNUMBER('Price History'!N99)),NOT(ISNUMBER('Price History'!N98)),'Price History'!N98=0),"",'Price History'!N99/'Price History'!N98-1),"")</f>
        <v>1.0987791342952358E-2</v>
      </c>
      <c r="O98" s="69">
        <f>IFERROR(IF(OR(NOT(ISNUMBER('Price History'!O99)),NOT(ISNUMBER('Price History'!O98)),'Price History'!O98=0),"",'Price History'!O99/'Price History'!O98-1),"")</f>
        <v>-6.0160427807487427E-3</v>
      </c>
      <c r="P98" s="69" t="str">
        <f>IFERROR(IF(OR(NOT(ISNUMBER('Price History'!P99)),NOT(ISNUMBER('Price History'!P98)),'Price History'!P98=0),"",'Price History'!P99/'Price History'!P98-1),"")</f>
        <v/>
      </c>
      <c r="Q98" s="69">
        <f>IFERROR(IF(OR(NOT(ISNUMBER('Price History'!Q99)),NOT(ISNUMBER('Price History'!Q98)),'Price History'!Q98=0),"",'Price History'!Q99/'Price History'!Q98-1),"")</f>
        <v>-1.0408452925406042E-2</v>
      </c>
      <c r="R98" s="69">
        <f>IFERROR(IF(OR(NOT(ISNUMBER('Price History'!R99)),NOT(ISNUMBER('Price History'!R98)),'Price History'!R98=0),"",'Price History'!R99/'Price History'!R98-1),"")</f>
        <v>-2.0872865275142205E-3</v>
      </c>
      <c r="S98" s="69">
        <f>IFERROR(IF(OR(NOT(ISNUMBER('Price History'!S99)),NOT(ISNUMBER('Price History'!S98)),'Price History'!S98=0),"",'Price History'!S99/'Price History'!S98-1),"")</f>
        <v>-7.108118219229409E-3</v>
      </c>
      <c r="T98" s="69">
        <f>IFERROR(IF(OR(NOT(ISNUMBER('Price History'!T99)),NOT(ISNUMBER('Price History'!T98)),'Price History'!T98=0),"",'Price History'!T99/'Price History'!T98-1),"")</f>
        <v>1.0954165465552057E-2</v>
      </c>
      <c r="U98" s="69" t="str">
        <f>IFERROR(IF(OR(NOT(ISNUMBER('Price History'!U99)),NOT(ISNUMBER('Price History'!U98)),'Price History'!U98=0),"",'Price History'!U99/'Price History'!U98-1),"")</f>
        <v/>
      </c>
    </row>
    <row r="99" spans="1:21" ht="15" customHeight="1" x14ac:dyDescent="0.2">
      <c r="A99" s="52">
        <f>'Price History'!A100</f>
        <v>45828</v>
      </c>
      <c r="B99" s="69">
        <f>IFERROR(IF(OR(NOT(ISNUMBER('Price History'!B100)),NOT(ISNUMBER('Price History'!B99)),'Price History'!B99=0),"",'Price History'!B100/'Price History'!B99-1),"")</f>
        <v>-3.7683823529411686E-2</v>
      </c>
      <c r="C99" s="69">
        <f>IFERROR(IF(OR(NOT(ISNUMBER('Price History'!C100)),NOT(ISNUMBER('Price History'!C99)),'Price History'!C99=0),"",'Price History'!C100/'Price History'!C99-1),"")</f>
        <v>-6.6053059014618221E-2</v>
      </c>
      <c r="D99" s="69">
        <f>IFERROR(IF(OR(NOT(ISNUMBER('Price History'!D100)),NOT(ISNUMBER('Price History'!D99)),'Price History'!D99=0),"",'Price History'!D100/'Price History'!D99-1),"")</f>
        <v>-5.8738501971090651E-3</v>
      </c>
      <c r="E99" s="69">
        <f>IFERROR(IF(OR(NOT(ISNUMBER('Price History'!E100)),NOT(ISNUMBER('Price History'!E99)),'Price History'!E99=0),"",'Price History'!E100/'Price History'!E99-1),"")</f>
        <v>5.1869722557298381E-3</v>
      </c>
      <c r="F99" s="69">
        <f>IFERROR(IF(OR(NOT(ISNUMBER('Price History'!F100)),NOT(ISNUMBER('Price History'!F99)),'Price History'!F99=0),"",'Price History'!F100/'Price History'!F99-1),"")</f>
        <v>-8.9880159786950298E-3</v>
      </c>
      <c r="G99" s="69">
        <f>IFERROR(IF(OR(NOT(ISNUMBER('Price History'!G100)),NOT(ISNUMBER('Price History'!G99)),'Price History'!G99=0),"",'Price History'!G100/'Price History'!G99-1),"")</f>
        <v>-2.0398755330183205E-2</v>
      </c>
      <c r="H99" s="69">
        <f>IFERROR(IF(OR(NOT(ISNUMBER('Price History'!H100)),NOT(ISNUMBER('Price History'!H99)),'Price History'!H99=0),"",'Price History'!H100/'Price History'!H99-1),"")</f>
        <v>6.9204152249134898E-2</v>
      </c>
      <c r="I99" s="69">
        <f>IFERROR(IF(OR(NOT(ISNUMBER('Price History'!I100)),NOT(ISNUMBER('Price History'!I99)),'Price History'!I99=0),"",'Price History'!I100/'Price History'!I99-1),"")</f>
        <v>1.3242234274846831E-2</v>
      </c>
      <c r="J99" s="69">
        <f>IFERROR(IF(OR(NOT(ISNUMBER('Price History'!J100)),NOT(ISNUMBER('Price History'!J99)),'Price History'!J99=0),"",'Price History'!J100/'Price History'!J99-1),"")</f>
        <v>-1.4821029082774051E-2</v>
      </c>
      <c r="K99" s="69">
        <f>IFERROR(IF(OR(NOT(ISNUMBER('Price History'!K100)),NOT(ISNUMBER('Price History'!K99)),'Price History'!K99=0),"",'Price History'!K100/'Price History'!K99-1),"")</f>
        <v>-7.2780203784561515E-4</v>
      </c>
      <c r="L99" s="69">
        <f>IFERROR(IF(OR(NOT(ISNUMBER('Price History'!L100)),NOT(ISNUMBER('Price History'!L99)),'Price History'!L99=0),"",'Price History'!L100/'Price History'!L99-1),"")</f>
        <v>-7.531975367124577E-3</v>
      </c>
      <c r="M99" s="69">
        <f>IFERROR(IF(OR(NOT(ISNUMBER('Price History'!M100)),NOT(ISNUMBER('Price History'!M99)),'Price History'!M99=0),"",'Price History'!M100/'Price History'!M99-1),"")</f>
        <v>6.8216635126610914E-2</v>
      </c>
      <c r="N99" s="69">
        <f>IFERROR(IF(OR(NOT(ISNUMBER('Price History'!N100)),NOT(ISNUMBER('Price History'!N99)),'Price History'!N99=0),"",'Price History'!N100/'Price History'!N99-1),"")</f>
        <v>-3.2012295531891555E-2</v>
      </c>
      <c r="O99" s="69">
        <f>IFERROR(IF(OR(NOT(ISNUMBER('Price History'!O100)),NOT(ISNUMBER('Price History'!O99)),'Price History'!O99=0),"",'Price History'!O100/'Price History'!O99-1),"")</f>
        <v>1.6812373907195699E-3</v>
      </c>
      <c r="P99" s="69" t="str">
        <f>IFERROR(IF(OR(NOT(ISNUMBER('Price History'!P100)),NOT(ISNUMBER('Price History'!P99)),'Price History'!P99=0),"",'Price History'!P100/'Price History'!P99-1),"")</f>
        <v/>
      </c>
      <c r="Q99" s="69">
        <f>IFERROR(IF(OR(NOT(ISNUMBER('Price History'!Q100)),NOT(ISNUMBER('Price History'!Q99)),'Price History'!Q99=0),"",'Price History'!Q100/'Price History'!Q99-1),"")</f>
        <v>1.1474103585657369E-2</v>
      </c>
      <c r="R99" s="69">
        <f>IFERROR(IF(OR(NOT(ISNUMBER('Price History'!R100)),NOT(ISNUMBER('Price History'!R99)),'Price History'!R99=0),"",'Price History'!R100/'Price History'!R99-1),"")</f>
        <v>3.0424034987639459E-3</v>
      </c>
      <c r="S99" s="69">
        <f>IFERROR(IF(OR(NOT(ISNUMBER('Price History'!S100)),NOT(ISNUMBER('Price History'!S99)),'Price History'!S99=0),"",'Price History'!S100/'Price History'!S99-1),"")</f>
        <v>7.0648078372268497E-3</v>
      </c>
      <c r="T99" s="69">
        <f>IFERROR(IF(OR(NOT(ISNUMBER('Price History'!T100)),NOT(ISNUMBER('Price History'!T99)),'Price History'!T99=0),"",'Price History'!T100/'Price History'!T99-1),"")</f>
        <v>-1.1405759908753588E-3</v>
      </c>
      <c r="U99" s="69" t="str">
        <f>IFERROR(IF(OR(NOT(ISNUMBER('Price History'!U100)),NOT(ISNUMBER('Price History'!U99)),'Price History'!U99=0),"",'Price History'!U100/'Price History'!U99-1),"")</f>
        <v/>
      </c>
    </row>
    <row r="100" spans="1:21" ht="15" customHeight="1" x14ac:dyDescent="0.2">
      <c r="A100" s="52">
        <f>'Price History'!A101</f>
        <v>45835</v>
      </c>
      <c r="B100" s="69">
        <f>IFERROR(IF(OR(NOT(ISNUMBER('Price History'!B101)),NOT(ISNUMBER('Price History'!B100)),'Price History'!B100=0),"",'Price History'!B101/'Price History'!B100-1),"")</f>
        <v>2.3638968481375366E-2</v>
      </c>
      <c r="C100" s="69">
        <f>IFERROR(IF(OR(NOT(ISNUMBER('Price History'!C101)),NOT(ISNUMBER('Price History'!C100)),'Price History'!C100=0),"",'Price History'!C101/'Price History'!C100-1),"")</f>
        <v>0.15234782608695663</v>
      </c>
      <c r="D100" s="69">
        <f>IFERROR(IF(OR(NOT(ISNUMBER('Price History'!D101)),NOT(ISNUMBER('Price History'!D100)),'Price History'!D100=0),"",'Price History'!D101/'Price History'!D100-1),"")</f>
        <v>5.210632757458411E-2</v>
      </c>
      <c r="E100" s="69">
        <f>IFERROR(IF(OR(NOT(ISNUMBER('Price History'!E101)),NOT(ISNUMBER('Price History'!E100)),'Price History'!E100=0),"",'Price History'!E101/'Price History'!E100-1),"")</f>
        <v>7.7443097723909116E-2</v>
      </c>
      <c r="F100" s="69">
        <f>IFERROR(IF(OR(NOT(ISNUMBER('Price History'!F101)),NOT(ISNUMBER('Price History'!F100)),'Price History'!F100=0),"",'Price History'!F101/'Price History'!F100-1),"")</f>
        <v>4.8286865972455573E-2</v>
      </c>
      <c r="G100" s="69">
        <f>IFERROR(IF(OR(NOT(ISNUMBER('Price History'!G101)),NOT(ISNUMBER('Price History'!G100)),'Price History'!G100=0),"",'Price History'!G101/'Price History'!G100-1),"")</f>
        <v>4.6941176470588264E-2</v>
      </c>
      <c r="H100" s="69">
        <f>IFERROR(IF(OR(NOT(ISNUMBER('Price History'!H101)),NOT(ISNUMBER('Price History'!H100)),'Price History'!H100=0),"",'Price History'!H101/'Price History'!H100-1),"")</f>
        <v>9.3851132686084693E-3</v>
      </c>
      <c r="I100" s="69">
        <f>IFERROR(IF(OR(NOT(ISNUMBER('Price History'!I101)),NOT(ISNUMBER('Price History'!I100)),'Price History'!I100=0),"",'Price History'!I101/'Price History'!I100-1),"")</f>
        <v>9.6628432394855857E-2</v>
      </c>
      <c r="J100" s="69">
        <f>IFERROR(IF(OR(NOT(ISNUMBER('Price History'!J101)),NOT(ISNUMBER('Price History'!J100)),'Price History'!J100=0),"",'Price History'!J101/'Price History'!J100-1),"")</f>
        <v>-6.6231431545082931E-4</v>
      </c>
      <c r="K100" s="69">
        <f>IFERROR(IF(OR(NOT(ISNUMBER('Price History'!K101)),NOT(ISNUMBER('Price History'!K100)),'Price History'!K100=0),"",'Price History'!K101/'Price History'!K100-1),"")</f>
        <v>-4.7778587035688269E-2</v>
      </c>
      <c r="L100" s="69">
        <f>IFERROR(IF(OR(NOT(ISNUMBER('Price History'!L101)),NOT(ISNUMBER('Price History'!L100)),'Price History'!L100=0),"",'Price History'!L101/'Price History'!L100-1),"")</f>
        <v>9.0974177843539783E-2</v>
      </c>
      <c r="M100" s="69">
        <f>IFERROR(IF(OR(NOT(ISNUMBER('Price History'!M101)),NOT(ISNUMBER('Price History'!M100)),'Price History'!M100=0),"",'Price History'!M101/'Price History'!M100-1),"")</f>
        <v>7.2718069849839528E-2</v>
      </c>
      <c r="N100" s="69">
        <f>IFERROR(IF(OR(NOT(ISNUMBER('Price History'!N101)),NOT(ISNUMBER('Price History'!N100)),'Price History'!N100=0),"",'Price History'!N101/'Price History'!N100-1),"")</f>
        <v>9.7534420577494174E-4</v>
      </c>
      <c r="O100" s="69">
        <f>IFERROR(IF(OR(NOT(ISNUMBER('Price History'!O101)),NOT(ISNUMBER('Price History'!O100)),'Price History'!O100=0),"",'Price History'!O101/'Price History'!O100-1),"")</f>
        <v>2.058856439521084E-2</v>
      </c>
      <c r="P100" s="69" t="str">
        <f>IFERROR(IF(OR(NOT(ISNUMBER('Price History'!P101)),NOT(ISNUMBER('Price History'!P100)),'Price History'!P100=0),"",'Price History'!P101/'Price History'!P100-1),"")</f>
        <v/>
      </c>
      <c r="Q100" s="69">
        <f>IFERROR(IF(OR(NOT(ISNUMBER('Price History'!Q101)),NOT(ISNUMBER('Price History'!Q100)),'Price History'!Q100=0),"",'Price History'!Q101/'Price History'!Q100-1),"")</f>
        <v>7.4050732629589167E-3</v>
      </c>
      <c r="R100" s="69">
        <f>IFERROR(IF(OR(NOT(ISNUMBER('Price History'!R101)),NOT(ISNUMBER('Price History'!R100)),'Price History'!R100=0),"",'Price History'!R101/'Price History'!R100-1),"")</f>
        <v>2.8815165876777238E-2</v>
      </c>
      <c r="S100" s="69">
        <f>IFERROR(IF(OR(NOT(ISNUMBER('Price History'!S101)),NOT(ISNUMBER('Price History'!S100)),'Price History'!S100=0),"",'Price History'!S101/'Price History'!S100-1),"")</f>
        <v>4.6113553456178069E-2</v>
      </c>
      <c r="T100" s="69">
        <f>IFERROR(IF(OR(NOT(ISNUMBER('Price History'!T101)),NOT(ISNUMBER('Price History'!T100)),'Price History'!T100=0),"",'Price History'!T101/'Price History'!T100-1),"")</f>
        <v>8.5640879246360324E-3</v>
      </c>
      <c r="U100" s="69" t="str">
        <f>IFERROR(IF(OR(NOT(ISNUMBER('Price History'!U101)),NOT(ISNUMBER('Price History'!U100)),'Price History'!U100=0),"",'Price History'!U101/'Price History'!U100-1),"")</f>
        <v/>
      </c>
    </row>
    <row r="101" spans="1:21" ht="15" customHeight="1" x14ac:dyDescent="0.2">
      <c r="A101" s="52">
        <f>'Price History'!A102</f>
        <v>45841</v>
      </c>
      <c r="B101" s="69">
        <f>IFERROR(IF(OR(NOT(ISNUMBER('Price History'!B102)),NOT(ISNUMBER('Price History'!B101)),'Price History'!B101=0),"",'Price History'!B102/'Price History'!B101-1),"")</f>
        <v>-1.6898634113469591E-2</v>
      </c>
      <c r="C101" s="69">
        <f>IFERROR(IF(OR(NOT(ISNUMBER('Price History'!C102)),NOT(ISNUMBER('Price History'!C101)),'Price History'!C101=0),"",'Price History'!C102/'Price History'!C101-1),"")</f>
        <v>3.1492101821108731E-2</v>
      </c>
      <c r="D101" s="69">
        <f>IFERROR(IF(OR(NOT(ISNUMBER('Price History'!D102)),NOT(ISNUMBER('Price History'!D101)),'Price History'!D101=0),"",'Price History'!D102/'Price History'!D101-1),"")</f>
        <v>-1.8217224700044499E-3</v>
      </c>
      <c r="E101" s="69">
        <f>IFERROR(IF(OR(NOT(ISNUMBER('Price History'!E102)),NOT(ISNUMBER('Price History'!E101)),'Price History'!E101=0),"",'Price History'!E102/'Price History'!E101-1),"")</f>
        <v>2.1644700204195289E-2</v>
      </c>
      <c r="F101" s="69">
        <f>IFERROR(IF(OR(NOT(ISNUMBER('Price History'!F102)),NOT(ISNUMBER('Price History'!F101)),'Price History'!F101=0),"",'Price History'!F102/'Price History'!F101-1),"")</f>
        <v>2.9640310822719007E-2</v>
      </c>
      <c r="G101" s="69">
        <f>IFERROR(IF(OR(NOT(ISNUMBER('Price History'!G102)),NOT(ISNUMBER('Price History'!G101)),'Price History'!G101=0),"",'Price History'!G102/'Price History'!G101-1),"")</f>
        <v>3.8993145297224308E-2</v>
      </c>
      <c r="H101" s="69">
        <f>IFERROR(IF(OR(NOT(ISNUMBER('Price History'!H102)),NOT(ISNUMBER('Price History'!H101)),'Price History'!H101=0),"",'Price History'!H102/'Price History'!H101-1),"")</f>
        <v>-1.9798012183392055E-2</v>
      </c>
      <c r="I101" s="69">
        <f>IFERROR(IF(OR(NOT(ISNUMBER('Price History'!I102)),NOT(ISNUMBER('Price History'!I101)),'Price History'!I101=0),"",'Price History'!I102/'Price History'!I101-1),"")</f>
        <v>1.0079239302694054E-2</v>
      </c>
      <c r="J101" s="69">
        <f>IFERROR(IF(OR(NOT(ISNUMBER('Price History'!J102)),NOT(ISNUMBER('Price History'!J101)),'Price History'!J101=0),"",'Price History'!J102/'Price History'!J101-1),"")</f>
        <v>2.2722969134633564E-2</v>
      </c>
      <c r="K101" s="69">
        <f>IFERROR(IF(OR(NOT(ISNUMBER('Price History'!K102)),NOT(ISNUMBER('Price History'!K101)),'Price History'!K101=0),"",'Price History'!K102/'Price History'!K101-1),"")</f>
        <v>2.7688542144714834E-2</v>
      </c>
      <c r="L101" s="69">
        <f>IFERROR(IF(OR(NOT(ISNUMBER('Price History'!L102)),NOT(ISNUMBER('Price History'!L101)),'Price History'!L101=0),"",'Price History'!L102/'Price History'!L101-1),"")</f>
        <v>2.725642035262732E-2</v>
      </c>
      <c r="M101" s="69">
        <f>IFERROR(IF(OR(NOT(ISNUMBER('Price History'!M102)),NOT(ISNUMBER('Price History'!M101)),'Price History'!M101=0),"",'Price History'!M102/'Price History'!M101-1),"")</f>
        <v>5.3475935828877219E-3</v>
      </c>
      <c r="N101" s="69">
        <f>IFERROR(IF(OR(NOT(ISNUMBER('Price History'!N102)),NOT(ISNUMBER('Price History'!N101)),'Price History'!N101=0),"",'Price History'!N102/'Price History'!N101-1),"")</f>
        <v>4.15137094946747E-2</v>
      </c>
      <c r="O101" s="69">
        <f>IFERROR(IF(OR(NOT(ISNUMBER('Price History'!O102)),NOT(ISNUMBER('Price History'!O101)),'Price History'!O101=0),"",'Price History'!O102/'Price History'!O101-1),"")</f>
        <v>4.1662098454116947E-2</v>
      </c>
      <c r="P101" s="69" t="str">
        <f>IFERROR(IF(OR(NOT(ISNUMBER('Price History'!P102)),NOT(ISNUMBER('Price History'!P101)),'Price History'!P101=0),"",'Price History'!P102/'Price History'!P101-1),"")</f>
        <v/>
      </c>
      <c r="Q101" s="69">
        <f>IFERROR(IF(OR(NOT(ISNUMBER('Price History'!Q102)),NOT(ISNUMBER('Price History'!Q101)),'Price History'!Q101=0),"",'Price History'!Q102/'Price History'!Q101-1),"")</f>
        <v>3.597122302158251E-3</v>
      </c>
      <c r="R101" s="69">
        <f>IFERROR(IF(OR(NOT(ISNUMBER('Price History'!R102)),NOT(ISNUMBER('Price History'!R101)),'Price History'!R101=0),"",'Price History'!R102/'Price History'!R101-1),"")</f>
        <v>-2.026902524415064E-3</v>
      </c>
      <c r="S101" s="69">
        <f>IFERROR(IF(OR(NOT(ISNUMBER('Price History'!S102)),NOT(ISNUMBER('Price History'!S101)),'Price History'!S101=0),"",'Price History'!S102/'Price History'!S101-1),"")</f>
        <v>5.9907010014306206E-3</v>
      </c>
      <c r="T101" s="69">
        <f>IFERROR(IF(OR(NOT(ISNUMBER('Price History'!T102)),NOT(ISNUMBER('Price History'!T101)),'Price History'!T101=0),"",'Price History'!T102/'Price History'!T101-1),"")</f>
        <v>1.2454005094820308E-2</v>
      </c>
      <c r="U101" s="69" t="str">
        <f>IFERROR(IF(OR(NOT(ISNUMBER('Price History'!U102)),NOT(ISNUMBER('Price History'!U101)),'Price History'!U101=0),"",'Price History'!U102/'Price History'!U101-1),"")</f>
        <v/>
      </c>
    </row>
    <row r="102" spans="1:21" ht="15" customHeight="1" x14ac:dyDescent="0.2">
      <c r="A102" s="52">
        <f>'Price History'!A103</f>
        <v>45849</v>
      </c>
      <c r="B102" s="69">
        <f>IFERROR(IF(OR(NOT(ISNUMBER('Price History'!B103)),NOT(ISNUMBER('Price History'!B102)),'Price History'!B102=0),"",'Price History'!B103/'Price History'!B102-1),"")</f>
        <v>-4.207640188763806E-2</v>
      </c>
      <c r="C102" s="69">
        <f>IFERROR(IF(OR(NOT(ISNUMBER('Price History'!C103)),NOT(ISNUMBER('Price History'!C102)),'Price History'!C102=0),"",'Price History'!C103/'Price History'!C102-1),"")</f>
        <v>5.9012875536480713E-2</v>
      </c>
      <c r="D102" s="69">
        <f>IFERROR(IF(OR(NOT(ISNUMBER('Price History'!D103)),NOT(ISNUMBER('Price History'!D102)),'Price History'!D102=0),"",'Price History'!D103/'Price History'!D102-1),"")</f>
        <v>9.3517935808684616E-3</v>
      </c>
      <c r="E102" s="69">
        <f>IFERROR(IF(OR(NOT(ISNUMBER('Price History'!E103)),NOT(ISNUMBER('Price History'!E102)),'Price History'!E102=0),"",'Price History'!E103/'Price History'!E102-1),"")</f>
        <v>-2.9071880223854318E-3</v>
      </c>
      <c r="F102" s="69">
        <f>IFERROR(IF(OR(NOT(ISNUMBER('Price History'!F103)),NOT(ISNUMBER('Price History'!F102)),'Price History'!F102=0),"",'Price History'!F103/'Price History'!F102-1),"")</f>
        <v>-6.9400140045125625E-2</v>
      </c>
      <c r="G102" s="69">
        <f>IFERROR(IF(OR(NOT(ISNUMBER('Price History'!G103)),NOT(ISNUMBER('Price History'!G102)),'Price History'!G102=0),"",'Price History'!G103/'Price History'!G102-1),"")</f>
        <v>0</v>
      </c>
      <c r="H102" s="69">
        <f>IFERROR(IF(OR(NOT(ISNUMBER('Price History'!H103)),NOT(ISNUMBER('Price History'!H102)),'Price History'!H102=0),"",'Price History'!H103/'Price History'!H102-1),"")</f>
        <v>1.831711505437883E-2</v>
      </c>
      <c r="I102" s="69">
        <f>IFERROR(IF(OR(NOT(ISNUMBER('Price History'!I103)),NOT(ISNUMBER('Price History'!I102)),'Price History'!I102=0),"",'Price History'!I103/'Price History'!I102-1),"")</f>
        <v>3.5019455252918164E-2</v>
      </c>
      <c r="J102" s="69">
        <f>IFERROR(IF(OR(NOT(ISNUMBER('Price History'!J103)),NOT(ISNUMBER('Price History'!J102)),'Price History'!J102=0),"",'Price History'!J103/'Price History'!J102-1),"")</f>
        <v>1.0646176633956728E-2</v>
      </c>
      <c r="K102" s="69">
        <f>IFERROR(IF(OR(NOT(ISNUMBER('Price History'!K103)),NOT(ISNUMBER('Price History'!K102)),'Price History'!K102=0),"",'Price History'!K103/'Price History'!K102-1),"")</f>
        <v>5.760643048526326E-2</v>
      </c>
      <c r="L102" s="69">
        <f>IFERROR(IF(OR(NOT(ISNUMBER('Price History'!L103)),NOT(ISNUMBER('Price History'!L102)),'Price History'!L102=0),"",'Price History'!L103/'Price History'!L102-1),"")</f>
        <v>-1.8739352640545159E-2</v>
      </c>
      <c r="M102" s="69">
        <f>IFERROR(IF(OR(NOT(ISNUMBER('Price History'!M103)),NOT(ISNUMBER('Price History'!M102)),'Price History'!M102=0),"",'Price History'!M103/'Price History'!M102-1),"")</f>
        <v>-3.5513141426783523E-2</v>
      </c>
      <c r="N102" s="69">
        <f>IFERROR(IF(OR(NOT(ISNUMBER('Price History'!N103)),NOT(ISNUMBER('Price History'!N102)),'Price History'!N102=0),"",'Price History'!N103/'Price History'!N102-1),"")</f>
        <v>2.0081806709890904E-2</v>
      </c>
      <c r="O102" s="69">
        <f>IFERROR(IF(OR(NOT(ISNUMBER('Price History'!O103)),NOT(ISNUMBER('Price History'!O102)),'Price History'!O102=0),"",'Price History'!O103/'Price History'!O102-1),"")</f>
        <v>-1.3682770234713093E-3</v>
      </c>
      <c r="P102" s="69" t="str">
        <f>IFERROR(IF(OR(NOT(ISNUMBER('Price History'!P103)),NOT(ISNUMBER('Price History'!P102)),'Price History'!P102=0),"",'Price History'!P103/'Price History'!P102-1),"")</f>
        <v/>
      </c>
      <c r="Q102" s="69">
        <f>IFERROR(IF(OR(NOT(ISNUMBER('Price History'!Q103)),NOT(ISNUMBER('Price History'!Q102)),'Price History'!Q102=0),"",'Price History'!Q103/'Price History'!Q102-1),"")</f>
        <v>1.5583606046454257E-4</v>
      </c>
      <c r="R102" s="69">
        <f>IFERROR(IF(OR(NOT(ISNUMBER('Price History'!R103)),NOT(ISNUMBER('Price History'!R102)),'Price History'!R102=0),"",'Price History'!R103/'Price History'!R102-1),"")</f>
        <v>3.6927621861153614E-3</v>
      </c>
      <c r="S102" s="69">
        <f>IFERROR(IF(OR(NOT(ISNUMBER('Price History'!S103)),NOT(ISNUMBER('Price History'!S102)),'Price History'!S102=0),"",'Price History'!S103/'Price History'!S102-1),"")</f>
        <v>-3.0219536041241613E-3</v>
      </c>
      <c r="T102" s="69">
        <f>IFERROR(IF(OR(NOT(ISNUMBER('Price History'!T103)),NOT(ISNUMBER('Price History'!T102)),'Price History'!T102=0),"",'Price History'!T103/'Price History'!T102-1),"")</f>
        <v>1.9569471624265589E-3</v>
      </c>
      <c r="U102" s="69" t="str">
        <f>IFERROR(IF(OR(NOT(ISNUMBER('Price History'!U103)),NOT(ISNUMBER('Price History'!U102)),'Price History'!U102=0),"",'Price History'!U103/'Price History'!U102-1),"")</f>
        <v/>
      </c>
    </row>
    <row r="103" spans="1:21" ht="15" customHeight="1" x14ac:dyDescent="0.2">
      <c r="A103" s="52">
        <f>'Price History'!A104</f>
        <v>45856</v>
      </c>
      <c r="B103" s="69">
        <f>IFERROR(IF(OR(NOT(ISNUMBER('Price History'!B104)),NOT(ISNUMBER('Price History'!B103)),'Price History'!B103=0),"",'Price History'!B104/'Price History'!B103-1),"")</f>
        <v>6.7152882895280541E-3</v>
      </c>
      <c r="C103" s="69">
        <f>IFERROR(IF(OR(NOT(ISNUMBER('Price History'!C104)),NOT(ISNUMBER('Price History'!C103)),'Price History'!C103=0),"",'Price History'!C104/'Price History'!C103-1),"")</f>
        <v>2.9566178502348883E-2</v>
      </c>
      <c r="D103" s="69">
        <f>IFERROR(IF(OR(NOT(ISNUMBER('Price History'!D104)),NOT(ISNUMBER('Price History'!D103)),'Price History'!D103=0),"",'Price History'!D104/'Price History'!D103-1),"")</f>
        <v>-8.3984886461411778E-2</v>
      </c>
      <c r="E103" s="69">
        <f>IFERROR(IF(OR(NOT(ISNUMBER('Price History'!E104)),NOT(ISNUMBER('Price History'!E103)),'Price History'!E103=0),"",'Price History'!E104/'Price History'!E103-1),"")</f>
        <v>3.2655441358699466E-2</v>
      </c>
      <c r="F103" s="69">
        <f>IFERROR(IF(OR(NOT(ISNUMBER('Price History'!F104)),NOT(ISNUMBER('Price History'!F103)),'Price History'!F103=0),"",'Price History'!F104/'Price History'!F103-1),"")</f>
        <v>-5.1835130841902943E-3</v>
      </c>
      <c r="G103" s="69">
        <f>IFERROR(IF(OR(NOT(ISNUMBER('Price History'!G104)),NOT(ISNUMBER('Price History'!G103)),'Price History'!G103=0),"",'Price History'!G104/'Price History'!G103-1),"")</f>
        <v>7.0300670560243805E-3</v>
      </c>
      <c r="H103" s="69">
        <f>IFERROR(IF(OR(NOT(ISNUMBER('Price History'!H104)),NOT(ISNUMBER('Price History'!H103)),'Price History'!H103=0),"",'Price History'!H104/'Price History'!H103-1),"")</f>
        <v>-8.1426162370513144E-2</v>
      </c>
      <c r="I103" s="69">
        <f>IFERROR(IF(OR(NOT(ISNUMBER('Price History'!I104)),NOT(ISNUMBER('Price History'!I103)),'Price History'!I103=0),"",'Price History'!I104/'Price History'!I103-1),"")</f>
        <v>4.5415959252971261E-2</v>
      </c>
      <c r="J103" s="69">
        <f>IFERROR(IF(OR(NOT(ISNUMBER('Price History'!J104)),NOT(ISNUMBER('Price History'!J103)),'Price History'!J103=0),"",'Price History'!J104/'Price History'!J103-1),"")</f>
        <v>-2.1892461298891663E-2</v>
      </c>
      <c r="K103" s="69">
        <f>IFERROR(IF(OR(NOT(ISNUMBER('Price History'!K104)),NOT(ISNUMBER('Price History'!K103)),'Price History'!K103=0),"",'Price History'!K104/'Price History'!K103-1),"")</f>
        <v>8.0365939479239978E-2</v>
      </c>
      <c r="L103" s="69">
        <f>IFERROR(IF(OR(NOT(ISNUMBER('Price History'!L104)),NOT(ISNUMBER('Price History'!L103)),'Price History'!L103=0),"",'Price History'!L104/'Price History'!L103-1),"")</f>
        <v>4.3402777777777679E-2</v>
      </c>
      <c r="M103" s="69">
        <f>IFERROR(IF(OR(NOT(ISNUMBER('Price History'!M104)),NOT(ISNUMBER('Price History'!M103)),'Price History'!M103=0),"",'Price History'!M104/'Price History'!M103-1),"")</f>
        <v>4.6715328467153316E-2</v>
      </c>
      <c r="N103" s="69">
        <f>IFERROR(IF(OR(NOT(ISNUMBER('Price History'!N104)),NOT(ISNUMBER('Price History'!N103)),'Price History'!N103=0),"",'Price History'!N104/'Price History'!N103-1),"")</f>
        <v>-1.9281220006398647E-2</v>
      </c>
      <c r="O103" s="69">
        <f>IFERROR(IF(OR(NOT(ISNUMBER('Price History'!O104)),NOT(ISNUMBER('Price History'!O103)),'Price History'!O103=0),"",'Price History'!O104/'Price History'!O103-1),"")</f>
        <v>-1.1698988195615545E-2</v>
      </c>
      <c r="P103" s="69" t="str">
        <f>IFERROR(IF(OR(NOT(ISNUMBER('Price History'!P104)),NOT(ISNUMBER('Price History'!P103)),'Price History'!P103=0),"",'Price History'!P104/'Price History'!P103-1),"")</f>
        <v/>
      </c>
      <c r="Q103" s="69">
        <f>IFERROR(IF(OR(NOT(ISNUMBER('Price History'!Q104)),NOT(ISNUMBER('Price History'!Q103)),'Price History'!Q103=0),"",'Price History'!Q104/'Price History'!Q103-1),"")</f>
        <v>2.1813649111870337E-3</v>
      </c>
      <c r="R103" s="69">
        <f>IFERROR(IF(OR(NOT(ISNUMBER('Price History'!R104)),NOT(ISNUMBER('Price History'!R103)),'Price History'!R103=0),"",'Price History'!R104/'Price History'!R103-1),"")</f>
        <v>6.070640176600417E-3</v>
      </c>
      <c r="S103" s="69">
        <f>IFERROR(IF(OR(NOT(ISNUMBER('Price History'!S104)),NOT(ISNUMBER('Price History'!S103)),'Price History'!S103=0),"",'Price History'!S104/'Price History'!S103-1),"")</f>
        <v>1.4798965855397972E-2</v>
      </c>
      <c r="T103" s="69">
        <f>IFERROR(IF(OR(NOT(ISNUMBER('Price History'!T104)),NOT(ISNUMBER('Price History'!T103)),'Price History'!T103=0),"",'Price History'!T104/'Price History'!T103-1),"")</f>
        <v>-2.1205357142857317E-2</v>
      </c>
      <c r="U103" s="69" t="str">
        <f>IFERROR(IF(OR(NOT(ISNUMBER('Price History'!U104)),NOT(ISNUMBER('Price History'!U103)),'Price History'!U103=0),"",'Price History'!U104/'Price History'!U103-1),"")</f>
        <v/>
      </c>
    </row>
    <row r="104" spans="1:21" ht="15" customHeight="1" x14ac:dyDescent="0.2">
      <c r="A104" s="52">
        <f>'Price History'!A105</f>
        <v>45863</v>
      </c>
      <c r="B104" s="69">
        <f>IFERROR(IF(OR(NOT(ISNUMBER('Price History'!B105)),NOT(ISNUMBER('Price History'!B104)),'Price History'!B104=0),"",'Price History'!B105/'Price History'!B104-1),"")</f>
        <v>1.3532354629705479E-2</v>
      </c>
      <c r="C104" s="69">
        <f>IFERROR(IF(OR(NOT(ISNUMBER('Price History'!C105)),NOT(ISNUMBER('Price History'!C104)),'Price History'!C104=0),"",'Price History'!C105/'Price History'!C104-1),"")</f>
        <v>2.2365360529611689E-2</v>
      </c>
      <c r="D104" s="69">
        <f>IFERROR(IF(OR(NOT(ISNUMBER('Price History'!D105)),NOT(ISNUMBER('Price History'!D104)),'Price History'!D104=0),"",'Price History'!D105/'Price History'!D104-1),"")</f>
        <v>-3.1759644967192191E-2</v>
      </c>
      <c r="E104" s="69">
        <f>IFERROR(IF(OR(NOT(ISNUMBER('Price History'!E105)),NOT(ISNUMBER('Price History'!E104)),'Price History'!E104=0),"",'Price History'!E105/'Price History'!E104-1),"")</f>
        <v>2.4140608456271639E-2</v>
      </c>
      <c r="F104" s="69">
        <f>IFERROR(IF(OR(NOT(ISNUMBER('Price History'!F105)),NOT(ISNUMBER('Price History'!F104)),'Price History'!F104=0),"",'Price History'!F105/'Price History'!F104-1),"")</f>
        <v>-1.6892175813093435E-2</v>
      </c>
      <c r="G104" s="69">
        <f>IFERROR(IF(OR(NOT(ISNUMBER('Price History'!G105)),NOT(ISNUMBER('Price History'!G104)),'Price History'!G104=0),"",'Price History'!G105/'Price History'!G104-1),"")</f>
        <v>-3.114595639566109E-2</v>
      </c>
      <c r="H104" s="69">
        <f>IFERROR(IF(OR(NOT(ISNUMBER('Price History'!H105)),NOT(ISNUMBER('Price History'!H104)),'Price History'!H104=0),"",'Price History'!H105/'Price History'!H104-1),"")</f>
        <v>-2.7362531689832936E-2</v>
      </c>
      <c r="I104" s="69">
        <f>IFERROR(IF(OR(NOT(ISNUMBER('Price History'!I105)),NOT(ISNUMBER('Price History'!I104)),'Price History'!I104=0),"",'Price History'!I105/'Price History'!I104-1),"")</f>
        <v>6.3221390870600302E-3</v>
      </c>
      <c r="J104" s="69">
        <f>IFERROR(IF(OR(NOT(ISNUMBER('Price History'!J105)),NOT(ISNUMBER('Price History'!J104)),'Price History'!J104=0),"",'Price History'!J105/'Price History'!J104-1),"")</f>
        <v>3.2871324218018305E-2</v>
      </c>
      <c r="K104" s="69">
        <f>IFERROR(IF(OR(NOT(ISNUMBER('Price History'!K105)),NOT(ISNUMBER('Price History'!K104)),'Price History'!K104=0),"",'Price History'!K105/'Price History'!K104-1),"")</f>
        <v>3.4392912975508061E-2</v>
      </c>
      <c r="L104" s="69">
        <f>IFERROR(IF(OR(NOT(ISNUMBER('Price History'!L105)),NOT(ISNUMBER('Price History'!L104)),'Price History'!L104=0),"",'Price History'!L105/'Price History'!L104-1),"")</f>
        <v>2.1630615640598982E-2</v>
      </c>
      <c r="M104" s="69">
        <f>IFERROR(IF(OR(NOT(ISNUMBER('Price History'!M105)),NOT(ISNUMBER('Price History'!M104)),'Price History'!M104=0),"",'Price History'!M105/'Price History'!M104-1),"")</f>
        <v>6.5163489849682232E-2</v>
      </c>
      <c r="N104" s="69">
        <f>IFERROR(IF(OR(NOT(ISNUMBER('Price History'!N105)),NOT(ISNUMBER('Price History'!N104)),'Price History'!N104=0),"",'Price History'!N105/'Price History'!N104-1),"")</f>
        <v>2.1400143537548155E-2</v>
      </c>
      <c r="O104" s="69">
        <f>IFERROR(IF(OR(NOT(ISNUMBER('Price History'!O105)),NOT(ISNUMBER('Price History'!O104)),'Price History'!O104=0),"",'Price History'!O105/'Price History'!O104-1),"")</f>
        <v>1.471686040311404E-2</v>
      </c>
      <c r="P104" s="69" t="str">
        <f>IFERROR(IF(OR(NOT(ISNUMBER('Price History'!P105)),NOT(ISNUMBER('Price History'!P104)),'Price History'!P104=0),"",'Price History'!P105/'Price History'!P104-1),"")</f>
        <v/>
      </c>
      <c r="Q104" s="69">
        <f>IFERROR(IF(OR(NOT(ISNUMBER('Price History'!Q105)),NOT(ISNUMBER('Price History'!Q104)),'Price History'!Q104=0),"",'Price History'!Q105/'Price History'!Q104-1),"")</f>
        <v>8.5509950248758848E-3</v>
      </c>
      <c r="R104" s="69">
        <f>IFERROR(IF(OR(NOT(ISNUMBER('Price History'!R105)),NOT(ISNUMBER('Price History'!R104)),'Price History'!R104=0),"",'Price History'!R105/'Price History'!R104-1),"")</f>
        <v>7.1311025781679582E-3</v>
      </c>
      <c r="S104" s="69">
        <f>IFERROR(IF(OR(NOT(ISNUMBER('Price History'!S105)),NOT(ISNUMBER('Price History'!S104)),'Price History'!S104=0),"",'Price History'!S105/'Price History'!S104-1),"")</f>
        <v>1.0542036370025487E-2</v>
      </c>
      <c r="T104" s="69">
        <f>IFERROR(IF(OR(NOT(ISNUMBER('Price History'!T105)),NOT(ISNUMBER('Price History'!T104)),'Price History'!T104=0),"",'Price History'!T105/'Price History'!T104-1),"")</f>
        <v>2.1949828962371853E-2</v>
      </c>
      <c r="U104" s="69" t="str">
        <f>IFERROR(IF(OR(NOT(ISNUMBER('Price History'!U105)),NOT(ISNUMBER('Price History'!U104)),'Price History'!U104=0),"",'Price History'!U105/'Price History'!U104-1),"")</f>
        <v/>
      </c>
    </row>
    <row r="105" spans="1:21" ht="15" customHeight="1" x14ac:dyDescent="0.2">
      <c r="A105" s="52">
        <f>'Price History'!A106</f>
        <v>45870</v>
      </c>
      <c r="B105" s="69">
        <f>IFERROR(IF(OR(NOT(ISNUMBER('Price History'!B106)),NOT(ISNUMBER('Price History'!B105)),'Price History'!B105=0),"",'Price History'!B106/'Price History'!B105-1),"")</f>
        <v>-6.187624750498999E-2</v>
      </c>
      <c r="C105" s="69">
        <f>IFERROR(IF(OR(NOT(ISNUMBER('Price History'!C106)),NOT(ISNUMBER('Price History'!C105)),'Price History'!C105=0),"",'Price History'!C106/'Price History'!C105-1),"")</f>
        <v>2.878893944697225E-2</v>
      </c>
      <c r="D105" s="69">
        <f>IFERROR(IF(OR(NOT(ISNUMBER('Price History'!D106)),NOT(ISNUMBER('Price History'!D105)),'Price History'!D105=0),"",'Price History'!D106/'Price History'!D105-1),"")</f>
        <v>-3.0130052724077205E-2</v>
      </c>
      <c r="E105" s="69">
        <f>IFERROR(IF(OR(NOT(ISNUMBER('Price History'!E106)),NOT(ISNUMBER('Price History'!E105)),'Price History'!E105=0),"",'Price History'!E106/'Price History'!E105-1),"")</f>
        <v>-5.3070507960576441E-3</v>
      </c>
      <c r="F105" s="69">
        <f>IFERROR(IF(OR(NOT(ISNUMBER('Price History'!F106)),NOT(ISNUMBER('Price History'!F105)),'Price History'!F105=0),"",'Price History'!F106/'Price History'!F105-1),"")</f>
        <v>-4.5392374764917087E-2</v>
      </c>
      <c r="G105" s="69">
        <f>IFERROR(IF(OR(NOT(ISNUMBER('Price History'!G106)),NOT(ISNUMBER('Price History'!G105)),'Price History'!G105=0),"",'Price History'!G106/'Price History'!G105-1),"")</f>
        <v>-1.7182130584192379E-2</v>
      </c>
      <c r="H105" s="69">
        <f>IFERROR(IF(OR(NOT(ISNUMBER('Price History'!H106)),NOT(ISNUMBER('Price History'!H105)),'Price History'!H105=0),"",'Price History'!H106/'Price History'!H105-1),"")</f>
        <v>-5.7343160165378437E-2</v>
      </c>
      <c r="I105" s="69">
        <f>IFERROR(IF(OR(NOT(ISNUMBER('Price History'!I106)),NOT(ISNUMBER('Price History'!I105)),'Price History'!I105=0),"",'Price History'!I106/'Price History'!I105-1),"")</f>
        <v>1.2680115273775439E-3</v>
      </c>
      <c r="J105" s="69">
        <f>IFERROR(IF(OR(NOT(ISNUMBER('Price History'!J106)),NOT(ISNUMBER('Price History'!J105)),'Price History'!J105=0),"",'Price History'!J106/'Price History'!J105-1),"")</f>
        <v>-4.8780487804878092E-2</v>
      </c>
      <c r="K105" s="69">
        <f>IFERROR(IF(OR(NOT(ISNUMBER('Price History'!K106)),NOT(ISNUMBER('Price History'!K105)),'Price History'!K105=0),"",'Price History'!K106/'Price History'!K105-1),"")</f>
        <v>-2.8526448362720447E-2</v>
      </c>
      <c r="L105" s="69">
        <f>IFERROR(IF(OR(NOT(ISNUMBER('Price History'!L106)),NOT(ISNUMBER('Price History'!L105)),'Price History'!L105=0),"",'Price History'!L106/'Price History'!L105-1),"")</f>
        <v>-4.2304560260586266E-2</v>
      </c>
      <c r="M105" s="69">
        <f>IFERROR(IF(OR(NOT(ISNUMBER('Price History'!M106)),NOT(ISNUMBER('Price History'!M105)),'Price History'!M105=0),"",'Price History'!M106/'Price History'!M105-1),"")</f>
        <v>2.9970175310976899E-2</v>
      </c>
      <c r="N105" s="69">
        <f>IFERROR(IF(OR(NOT(ISNUMBER('Price History'!N106)),NOT(ISNUMBER('Price History'!N105)),'Price History'!N105=0),"",'Price History'!N106/'Price History'!N105-1),"")</f>
        <v>-1.6011923773022407E-2</v>
      </c>
      <c r="O105" s="69">
        <f>IFERROR(IF(OR(NOT(ISNUMBER('Price History'!O106)),NOT(ISNUMBER('Price History'!O105)),'Price History'!O105=0),"",'Price History'!O106/'Price History'!O105-1),"")</f>
        <v>-5.0236468733578565E-2</v>
      </c>
      <c r="P105" s="69" t="str">
        <f>IFERROR(IF(OR(NOT(ISNUMBER('Price History'!P106)),NOT(ISNUMBER('Price History'!P105)),'Price History'!P105=0),"",'Price History'!P106/'Price History'!P105-1),"")</f>
        <v/>
      </c>
      <c r="Q105" s="69">
        <f>IFERROR(IF(OR(NOT(ISNUMBER('Price History'!Q106)),NOT(ISNUMBER('Price History'!Q105)),'Price History'!Q105=0),"",'Price History'!Q106/'Price History'!Q105-1),"")</f>
        <v>2.0040080160319551E-3</v>
      </c>
      <c r="R105" s="69">
        <f>IFERROR(IF(OR(NOT(ISNUMBER('Price History'!R106)),NOT(ISNUMBER('Price History'!R105)),'Price History'!R105=0),"",'Price History'!R106/'Price History'!R105-1),"")</f>
        <v>-2.3057371096586676E-2</v>
      </c>
      <c r="S105" s="69">
        <f>IFERROR(IF(OR(NOT(ISNUMBER('Price History'!S106)),NOT(ISNUMBER('Price History'!S105)),'Price History'!S105=0),"",'Price History'!S106/'Price History'!S105-1),"")</f>
        <v>-1.5648091802138553E-2</v>
      </c>
      <c r="T105" s="69">
        <f>IFERROR(IF(OR(NOT(ISNUMBER('Price History'!T106)),NOT(ISNUMBER('Price History'!T105)),'Price History'!T105=0),"",'Price History'!T106/'Price History'!T105-1),"")</f>
        <v>-4.1841004184100417E-2</v>
      </c>
      <c r="U105" s="69" t="str">
        <f>IFERROR(IF(OR(NOT(ISNUMBER('Price History'!U106)),NOT(ISNUMBER('Price History'!U105)),'Price History'!U105=0),"",'Price History'!U106/'Price History'!U105-1),"")</f>
        <v/>
      </c>
    </row>
    <row r="106" spans="1:21" ht="15" customHeight="1" x14ac:dyDescent="0.2">
      <c r="A106" s="52">
        <f>'Price History'!A107</f>
        <v>45877</v>
      </c>
      <c r="B106" s="69">
        <f>IFERROR(IF(OR(NOT(ISNUMBER('Price History'!B107)),NOT(ISNUMBER('Price History'!B106)),'Price History'!B106=0),"",'Price History'!B107/'Price History'!B106-1),"")</f>
        <v>-1.9407705577918377E-2</v>
      </c>
      <c r="C106" s="69">
        <f>IFERROR(IF(OR(NOT(ISNUMBER('Price History'!C107)),NOT(ISNUMBER('Price History'!C106)),'Price History'!C106=0),"",'Price History'!C107/'Price History'!C106-1),"")</f>
        <v>0.18380539253210859</v>
      </c>
      <c r="D106" s="69">
        <f>IFERROR(IF(OR(NOT(ISNUMBER('Price History'!D107)),NOT(ISNUMBER('Price History'!D106)),'Price History'!D106=0),"",'Price History'!D107/'Price History'!D106-1),"")</f>
        <v>4.7113739816183831E-2</v>
      </c>
      <c r="E106" s="69">
        <f>IFERROR(IF(OR(NOT(ISNUMBER('Price History'!E107)),NOT(ISNUMBER('Price History'!E106)),'Price History'!E106=0),"",'Price History'!E107/'Price History'!E106-1),"")</f>
        <v>5.6575665188470126E-2</v>
      </c>
      <c r="F106" s="69">
        <f>IFERROR(IF(OR(NOT(ISNUMBER('Price History'!F107)),NOT(ISNUMBER('Price History'!F106)),'Price History'!F106=0),"",'Price History'!F107/'Price History'!F106-1),"")</f>
        <v>-4.970000895495652E-2</v>
      </c>
      <c r="G106" s="69">
        <f>IFERROR(IF(OR(NOT(ISNUMBER('Price History'!G107)),NOT(ISNUMBER('Price History'!G106)),'Price History'!G106=0),"",'Price History'!G107/'Price History'!G106-1),"")</f>
        <v>3.1806902774644819E-2</v>
      </c>
      <c r="H106" s="69">
        <f>IFERROR(IF(OR(NOT(ISNUMBER('Price History'!H107)),NOT(ISNUMBER('Price History'!H106)),'Price History'!H106=0),"",'Price History'!H107/'Price History'!H106-1),"")</f>
        <v>0.13358123569794045</v>
      </c>
      <c r="I106" s="69">
        <f>IFERROR(IF(OR(NOT(ISNUMBER('Price History'!I107)),NOT(ISNUMBER('Price History'!I106)),'Price History'!I106=0),"",'Price History'!I107/'Price History'!I106-1),"")</f>
        <v>5.1692378540179496E-2</v>
      </c>
      <c r="J106" s="69">
        <f>IFERROR(IF(OR(NOT(ISNUMBER('Price History'!J107)),NOT(ISNUMBER('Price History'!J106)),'Price History'!J106=0),"",'Price History'!J107/'Price History'!J106-1),"")</f>
        <v>7.3396244399963617E-3</v>
      </c>
      <c r="K106" s="69">
        <f>IFERROR(IF(OR(NOT(ISNUMBER('Price History'!K107)),NOT(ISNUMBER('Price History'!K106)),'Price History'!K106=0),"",'Price History'!K107/'Price History'!K106-1),"")</f>
        <v>0.21190121216049773</v>
      </c>
      <c r="L106" s="69">
        <f>IFERROR(IF(OR(NOT(ISNUMBER('Price History'!L107)),NOT(ISNUMBER('Price History'!L106)),'Price History'!L106=0),"",'Price History'!L107/'Price History'!L106-1),"")</f>
        <v>2.8145061859614851E-2</v>
      </c>
      <c r="M106" s="69">
        <f>IFERROR(IF(OR(NOT(ISNUMBER('Price History'!M107)),NOT(ISNUMBER('Price History'!M106)),'Price History'!M106=0),"",'Price History'!M107/'Price History'!M106-1),"")</f>
        <v>-1.1723991807330969E-2</v>
      </c>
      <c r="N106" s="69">
        <f>IFERROR(IF(OR(NOT(ISNUMBER('Price History'!N107)),NOT(ISNUMBER('Price History'!N106)),'Price History'!N106=0),"",'Price History'!N107/'Price History'!N106-1),"")</f>
        <v>-0.20684655832774324</v>
      </c>
      <c r="O106" s="69">
        <f>IFERROR(IF(OR(NOT(ISNUMBER('Price History'!O107)),NOT(ISNUMBER('Price History'!O106)),'Price History'!O106=0),"",'Price History'!O107/'Price History'!O106-1),"")</f>
        <v>2.3237800154918498E-2</v>
      </c>
      <c r="P106" s="69" t="str">
        <f>IFERROR(IF(OR(NOT(ISNUMBER('Price History'!P107)),NOT(ISNUMBER('Price History'!P106)),'Price History'!P106=0),"",'Price History'!P107/'Price History'!P106-1),"")</f>
        <v/>
      </c>
      <c r="Q106" s="69">
        <f>IFERROR(IF(OR(NOT(ISNUMBER('Price History'!Q107)),NOT(ISNUMBER('Price History'!Q106)),'Price History'!Q106=0),"",'Price History'!Q107/'Price History'!Q106-1),"")</f>
        <v>-1.6923076923076597E-3</v>
      </c>
      <c r="R106" s="69">
        <f>IFERROR(IF(OR(NOT(ISNUMBER('Price History'!R107)),NOT(ISNUMBER('Price History'!R106)),'Price History'!R106=0),"",'Price History'!R107/'Price History'!R106-1),"")</f>
        <v>2.8061698569039173E-2</v>
      </c>
      <c r="S106" s="69">
        <f>IFERROR(IF(OR(NOT(ISNUMBER('Price History'!S107)),NOT(ISNUMBER('Price History'!S106)),'Price History'!S106=0),"",'Price History'!S107/'Price History'!S106-1),"")</f>
        <v>3.4973063675704186E-2</v>
      </c>
      <c r="T106" s="69">
        <f>IFERROR(IF(OR(NOT(ISNUMBER('Price History'!T107)),NOT(ISNUMBER('Price History'!T106)),'Price History'!T106=0),"",'Price History'!T107/'Price History'!T106-1),"")</f>
        <v>9.898107714701565E-3</v>
      </c>
      <c r="U106" s="69" t="str">
        <f>IFERROR(IF(OR(NOT(ISNUMBER('Price History'!U107)),NOT(ISNUMBER('Price History'!U106)),'Price History'!U106=0),"",'Price History'!U107/'Price History'!U106-1),"")</f>
        <v/>
      </c>
    </row>
    <row r="107" spans="1:21" ht="15" customHeight="1" x14ac:dyDescent="0.2">
      <c r="A107" s="52">
        <f>'Price History'!A108</f>
        <v>45884</v>
      </c>
      <c r="B107" s="69">
        <f>IFERROR(IF(OR(NOT(ISNUMBER('Price History'!B108)),NOT(ISNUMBER('Price History'!B107)),'Price History'!B107=0),"",'Price History'!B108/'Price History'!B107-1),"")</f>
        <v>4.0463275179592362E-2</v>
      </c>
      <c r="C107" s="69">
        <f>IFERROR(IF(OR(NOT(ISNUMBER('Price History'!C108)),NOT(ISNUMBER('Price History'!C107)),'Price History'!C107=0),"",'Price History'!C108/'Price History'!C107-1),"")</f>
        <v>-1.35076878861905E-2</v>
      </c>
      <c r="D107" s="69">
        <f>IFERROR(IF(OR(NOT(ISNUMBER('Price History'!D108)),NOT(ISNUMBER('Price History'!D107)),'Price History'!D107=0),"",'Price History'!D108/'Price History'!D107-1),"")</f>
        <v>2.7467050614685906E-2</v>
      </c>
      <c r="E107" s="69">
        <f>IFERROR(IF(OR(NOT(ISNUMBER('Price History'!E108)),NOT(ISNUMBER('Price History'!E107)),'Price History'!E107=0),"",'Price History'!E108/'Price History'!E107-1),"")</f>
        <v>4.4922451388660356E-3</v>
      </c>
      <c r="F107" s="69">
        <f>IFERROR(IF(OR(NOT(ISNUMBER('Price History'!F108)),NOT(ISNUMBER('Price History'!F107)),'Price History'!F107=0),"",'Price History'!F108/'Price History'!F107-1),"")</f>
        <v>8.1040331699961943E-3</v>
      </c>
      <c r="G107" s="69">
        <f>IFERROR(IF(OR(NOT(ISNUMBER('Price History'!G108)),NOT(ISNUMBER('Price History'!G107)),'Price History'!G107=0),"",'Price History'!G108/'Price History'!G107-1),"")</f>
        <v>-4.3616090948841335E-2</v>
      </c>
      <c r="H107" s="69">
        <f>IFERROR(IF(OR(NOT(ISNUMBER('Price History'!H108)),NOT(ISNUMBER('Price History'!H107)),'Price History'!H107=0),"",'Price History'!H108/'Price History'!H107-1),"")</f>
        <v>1.6654049962149919E-2</v>
      </c>
      <c r="I107" s="69">
        <f>IFERROR(IF(OR(NOT(ISNUMBER('Price History'!I108)),NOT(ISNUMBER('Price History'!I107)),'Price History'!I107=0),"",'Price History'!I108/'Price History'!I107-1),"")</f>
        <v>-1.2315270935960632E-2</v>
      </c>
      <c r="J107" s="69">
        <f>IFERROR(IF(OR(NOT(ISNUMBER('Price History'!J108)),NOT(ISNUMBER('Price History'!J107)),'Price History'!J107=0),"",'Price History'!J108/'Price History'!J107-1),"")</f>
        <v>8.6109008327024394E-3</v>
      </c>
      <c r="K107" s="69">
        <f>IFERROR(IF(OR(NOT(ISNUMBER('Price History'!K108)),NOT(ISNUMBER('Price History'!K107)),'Price History'!K107=0),"",'Price History'!K108/'Price History'!K107-1),"")</f>
        <v>-5.2364142062473418E-2</v>
      </c>
      <c r="L107" s="69">
        <f>IFERROR(IF(OR(NOT(ISNUMBER('Price History'!L108)),NOT(ISNUMBER('Price History'!L107)),'Price History'!L107=0),"",'Price History'!L108/'Price History'!L107-1),"")</f>
        <v>-1.2198651945581673E-2</v>
      </c>
      <c r="M107" s="69">
        <f>IFERROR(IF(OR(NOT(ISNUMBER('Price History'!M108)),NOT(ISNUMBER('Price History'!M107)),'Price History'!M107=0),"",'Price History'!M108/'Price History'!M107-1),"")</f>
        <v>-4.9024512256128139E-2</v>
      </c>
      <c r="N107" s="69">
        <f>IFERROR(IF(OR(NOT(ISNUMBER('Price History'!N108)),NOT(ISNUMBER('Price History'!N107)),'Price History'!N107=0),"",'Price History'!N108/'Price History'!N107-1),"")</f>
        <v>7.1615649042396479E-2</v>
      </c>
      <c r="O107" s="69">
        <f>IFERROR(IF(OR(NOT(ISNUMBER('Price History'!O108)),NOT(ISNUMBER('Price History'!O107)),'Price History'!O107=0),"",'Price History'!O108/'Price History'!O107-1),"")</f>
        <v>2.9847518113983007E-2</v>
      </c>
      <c r="P107" s="69" t="str">
        <f>IFERROR(IF(OR(NOT(ISNUMBER('Price History'!P108)),NOT(ISNUMBER('Price History'!P107)),'Price History'!P107=0),"",'Price History'!P108/'Price History'!P107-1),"")</f>
        <v/>
      </c>
      <c r="Q107" s="69">
        <f>IFERROR(IF(OR(NOT(ISNUMBER('Price History'!Q108)),NOT(ISNUMBER('Price History'!Q107)),'Price History'!Q107=0),"",'Price History'!Q108/'Price History'!Q107-1),"")</f>
        <v>3.2362459546924072E-3</v>
      </c>
      <c r="R107" s="69">
        <f>IFERROR(IF(OR(NOT(ISNUMBER('Price History'!R108)),NOT(ISNUMBER('Price History'!R107)),'Price History'!R107=0),"",'Price History'!R108/'Price History'!R107-1),"")</f>
        <v>8.6767895878523404E-3</v>
      </c>
      <c r="S107" s="69">
        <f>IFERROR(IF(OR(NOT(ISNUMBER('Price History'!S108)),NOT(ISNUMBER('Price History'!S107)),'Price History'!S107=0),"",'Price History'!S108/'Price History'!S107-1),"")</f>
        <v>1.0239781551326654E-3</v>
      </c>
      <c r="T107" s="69">
        <f>IFERROR(IF(OR(NOT(ISNUMBER('Price History'!T108)),NOT(ISNUMBER('Price History'!T107)),'Price History'!T107=0),"",'Price History'!T108/'Price History'!T107-1),"")</f>
        <v>3.9492649178437755E-2</v>
      </c>
      <c r="U107" s="69" t="str">
        <f>IFERROR(IF(OR(NOT(ISNUMBER('Price History'!U108)),NOT(ISNUMBER('Price History'!U107)),'Price History'!U107=0),"",'Price History'!U108/'Price History'!U107-1),"")</f>
        <v/>
      </c>
    </row>
    <row r="108" spans="1:21" ht="15" customHeight="1" x14ac:dyDescent="0.2">
      <c r="A108" s="52">
        <f>'Price History'!A109</f>
        <v>45891</v>
      </c>
      <c r="B108" s="69">
        <f>IFERROR(IF(OR(NOT(ISNUMBER('Price History'!B109)),NOT(ISNUMBER('Price History'!B108)),'Price History'!B108=0),"",'Price History'!B109/'Price History'!B108-1),"")</f>
        <v>2.0402987177680521E-2</v>
      </c>
      <c r="C108" s="69">
        <f>IFERROR(IF(OR(NOT(ISNUMBER('Price History'!C109)),NOT(ISNUMBER('Price History'!C108)),'Price History'!C108=0),"",'Price History'!C109/'Price History'!C108-1),"")</f>
        <v>-2.949745083758204E-2</v>
      </c>
      <c r="D108" s="69">
        <f>IFERROR(IF(OR(NOT(ISNUMBER('Price History'!D109)),NOT(ISNUMBER('Price History'!D108)),'Price History'!D108=0),"",'Price History'!D109/'Price History'!D108-1),"")</f>
        <v>1.7152635550285789E-2</v>
      </c>
      <c r="E108" s="69">
        <f>IFERROR(IF(OR(NOT(ISNUMBER('Price History'!E109)),NOT(ISNUMBER('Price History'!E108)),'Price History'!E108=0),"",'Price History'!E109/'Price History'!E108-1),"")</f>
        <v>-4.028203956388321E-2</v>
      </c>
      <c r="F108" s="69">
        <f>IFERROR(IF(OR(NOT(ISNUMBER('Price History'!F109)),NOT(ISNUMBER('Price History'!F108)),'Price History'!F108=0),"",'Price History'!F109/'Price History'!F108-1),"")</f>
        <v>-1.7199476537670622E-2</v>
      </c>
      <c r="G108" s="69">
        <f>IFERROR(IF(OR(NOT(ISNUMBER('Price History'!G109)),NOT(ISNUMBER('Price History'!G108)),'Price History'!G108=0),"",'Price History'!G109/'Price History'!G108-1),"")</f>
        <v>-5.2577437421419404E-3</v>
      </c>
      <c r="H108" s="69">
        <f>IFERROR(IF(OR(NOT(ISNUMBER('Price History'!H109)),NOT(ISNUMBER('Price History'!H108)),'Price History'!H108=0),"",'Price History'!H109/'Price History'!H108-1),"")</f>
        <v>-2.6391991395714354E-2</v>
      </c>
      <c r="I108" s="69">
        <f>IFERROR(IF(OR(NOT(ISNUMBER('Price History'!I109)),NOT(ISNUMBER('Price History'!I108)),'Price History'!I108=0),"",'Price History'!I109/'Price History'!I108-1),"")</f>
        <v>-1.3632585203657399E-2</v>
      </c>
      <c r="J108" s="69">
        <f>IFERROR(IF(OR(NOT(ISNUMBER('Price History'!J109)),NOT(ISNUMBER('Price History'!J108)),'Price History'!J108=0),"",'Price History'!J109/'Price History'!J108-1),"")</f>
        <v>5.3382118397598211E-2</v>
      </c>
      <c r="K108" s="69">
        <f>IFERROR(IF(OR(NOT(ISNUMBER('Price History'!K109)),NOT(ISNUMBER('Price History'!K108)),'Price History'!K108=0),"",'Price History'!K109/'Price History'!K108-1),"")</f>
        <v>-0.10402438336061404</v>
      </c>
      <c r="L108" s="69">
        <f>IFERROR(IF(OR(NOT(ISNUMBER('Price History'!L109)),NOT(ISNUMBER('Price History'!L108)),'Price History'!L108=0),"",'Price History'!L109/'Price History'!L108-1),"")</f>
        <v>-2.4656731413261856E-2</v>
      </c>
      <c r="M108" s="69">
        <f>IFERROR(IF(OR(NOT(ISNUMBER('Price History'!M109)),NOT(ISNUMBER('Price History'!M108)),'Price History'!M108=0),"",'Price History'!M109/'Price History'!M108-1),"")</f>
        <v>-5.3355376869316906E-2</v>
      </c>
      <c r="N108" s="69">
        <f>IFERROR(IF(OR(NOT(ISNUMBER('Price History'!N109)),NOT(ISNUMBER('Price History'!N108)),'Price History'!N108=0),"",'Price History'!N109/'Price History'!N108-1),"")</f>
        <v>5.9319229104610738E-3</v>
      </c>
      <c r="O108" s="69">
        <f>IFERROR(IF(OR(NOT(ISNUMBER('Price History'!O109)),NOT(ISNUMBER('Price History'!O108)),'Price History'!O108=0),"",'Price History'!O109/'Price History'!O108-1),"")</f>
        <v>3.9798382862543225E-2</v>
      </c>
      <c r="P108" s="69" t="str">
        <f>IFERROR(IF(OR(NOT(ISNUMBER('Price History'!P109)),NOT(ISNUMBER('Price History'!P108)),'Price History'!P108=0),"",'Price History'!P109/'Price History'!P108-1),"")</f>
        <v/>
      </c>
      <c r="Q108" s="69">
        <f>IFERROR(IF(OR(NOT(ISNUMBER('Price History'!Q109)),NOT(ISNUMBER('Price History'!Q108)),'Price History'!Q108=0),"",'Price History'!Q109/'Price History'!Q108-1),"")</f>
        <v>-1.2596006144393157E-2</v>
      </c>
      <c r="R108" s="69">
        <f>IFERROR(IF(OR(NOT(ISNUMBER('Price History'!R109)),NOT(ISNUMBER('Price History'!R108)),'Price History'!R108=0),"",'Price History'!R109/'Price History'!R108-1),"")</f>
        <v>-2.3297491039425688E-3</v>
      </c>
      <c r="S108" s="69">
        <f>IFERROR(IF(OR(NOT(ISNUMBER('Price History'!S109)),NOT(ISNUMBER('Price History'!S108)),'Price History'!S108=0),"",'Price History'!S109/'Price History'!S108-1),"")</f>
        <v>-6.8195379763020814E-3</v>
      </c>
      <c r="T108" s="69">
        <f>IFERROR(IF(OR(NOT(ISNUMBER('Price History'!T109)),NOT(ISNUMBER('Price History'!T108)),'Price History'!T108=0),"",'Price History'!T109/'Price History'!T108-1),"")</f>
        <v>2.5790349417637248E-2</v>
      </c>
      <c r="U108" s="69" t="str">
        <f>IFERROR(IF(OR(NOT(ISNUMBER('Price History'!U109)),NOT(ISNUMBER('Price History'!U108)),'Price History'!U108=0),"",'Price History'!U109/'Price History'!U108-1),"")</f>
        <v/>
      </c>
    </row>
    <row r="109" spans="1:21" ht="15" customHeight="1" x14ac:dyDescent="0.2">
      <c r="A109" s="52">
        <f>'Price History'!A110</f>
        <v>45898</v>
      </c>
      <c r="B109" s="69">
        <f>IFERROR(IF(OR(NOT(ISNUMBER('Price History'!B110)),NOT(ISNUMBER('Price History'!B109)),'Price History'!B109=0),"",'Price History'!B110/'Price History'!B109-1),"")</f>
        <v>-1.4885801872462578E-2</v>
      </c>
      <c r="C109" s="69">
        <f>IFERROR(IF(OR(NOT(ISNUMBER('Price History'!C110)),NOT(ISNUMBER('Price History'!C109)),'Price History'!C109=0),"",'Price History'!C110/'Price History'!C109-1),"")</f>
        <v>2.4765478424014997E-2</v>
      </c>
      <c r="D109" s="69">
        <f>IFERROR(IF(OR(NOT(ISNUMBER('Price History'!D110)),NOT(ISNUMBER('Price History'!D109)),'Price History'!D109=0),"",'Price History'!D110/'Price History'!D109-1),"")</f>
        <v>-1.6254023765051806E-2</v>
      </c>
      <c r="E109" s="69">
        <f>IFERROR(IF(OR(NOT(ISNUMBER('Price History'!E110)),NOT(ISNUMBER('Price History'!E109)),'Price History'!E109=0),"",'Price History'!E110/'Price History'!E109-1),"")</f>
        <v>1.1530612244897931E-2</v>
      </c>
      <c r="F109" s="69">
        <f>IFERROR(IF(OR(NOT(ISNUMBER('Price History'!F110)),NOT(ISNUMBER('Price History'!F109)),'Price History'!F109=0),"",'Price History'!F110/'Price History'!F109-1),"")</f>
        <v>7.5137911356286669E-3</v>
      </c>
      <c r="G109" s="69">
        <f>IFERROR(IF(OR(NOT(ISNUMBER('Price History'!G110)),NOT(ISNUMBER('Price History'!G109)),'Price History'!G109=0),"",'Price History'!G110/'Price History'!G109-1),"")</f>
        <v>1.9533494197403467E-3</v>
      </c>
      <c r="H109" s="69">
        <f>IFERROR(IF(OR(NOT(ISNUMBER('Price History'!H110)),NOT(ISNUMBER('Price History'!H109)),'Price History'!H109=0),"",'Price History'!H110/'Price History'!H109-1),"")</f>
        <v>1.1301835486063894E-2</v>
      </c>
      <c r="I109" s="69">
        <f>IFERROR(IF(OR(NOT(ISNUMBER('Price History'!I110)),NOT(ISNUMBER('Price History'!I109)),'Price History'!I109=0),"",'Price History'!I110/'Price History'!I109-1),"")</f>
        <v>-2.1405696949266861E-2</v>
      </c>
      <c r="J109" s="69">
        <f>IFERROR(IF(OR(NOT(ISNUMBER('Price History'!J110)),NOT(ISNUMBER('Price History'!J109)),'Price History'!J109=0),"",'Price History'!J110/'Price History'!J109-1),"")</f>
        <v>1.3359458496615684E-2</v>
      </c>
      <c r="K109" s="69">
        <f>IFERROR(IF(OR(NOT(ISNUMBER('Price History'!K110)),NOT(ISNUMBER('Price History'!K109)),'Price History'!K109=0),"",'Price History'!K110/'Price History'!K109-1),"")</f>
        <v>-1.2788207131157914E-2</v>
      </c>
      <c r="L109" s="69">
        <f>IFERROR(IF(OR(NOT(ISNUMBER('Price History'!L110)),NOT(ISNUMBER('Price History'!L109)),'Price History'!L109=0),"",'Price History'!L110/'Price History'!L109-1),"")</f>
        <v>-9.0991029657925271E-3</v>
      </c>
      <c r="M109" s="69">
        <f>IFERROR(IF(OR(NOT(ISNUMBER('Price History'!M110)),NOT(ISNUMBER('Price History'!M109)),'Price History'!M109=0),"",'Price History'!M110/'Price History'!M109-1),"")</f>
        <v>1.2542668889418129E-2</v>
      </c>
      <c r="N109" s="69">
        <f>IFERROR(IF(OR(NOT(ISNUMBER('Price History'!N110)),NOT(ISNUMBER('Price History'!N109)),'Price History'!N109=0),"",'Price History'!N110/'Price History'!N109-1),"")</f>
        <v>-1.0376594452318311E-2</v>
      </c>
      <c r="O109" s="69">
        <f>IFERROR(IF(OR(NOT(ISNUMBER('Price History'!O110)),NOT(ISNUMBER('Price History'!O109)),'Price History'!O109=0),"",'Price History'!O110/'Price History'!O109-1),"")</f>
        <v>8.3821450212078208E-3</v>
      </c>
      <c r="P109" s="69" t="str">
        <f>IFERROR(IF(OR(NOT(ISNUMBER('Price History'!P110)),NOT(ISNUMBER('Price History'!P109)),'Price History'!P109=0),"",'Price History'!P110/'Price History'!P109-1),"")</f>
        <v/>
      </c>
      <c r="Q109" s="69">
        <f>IFERROR(IF(OR(NOT(ISNUMBER('Price History'!Q110)),NOT(ISNUMBER('Price History'!Q109)),'Price History'!Q109=0),"",'Price History'!Q110/'Price History'!Q109-1),"")</f>
        <v>9.8008711885499977E-3</v>
      </c>
      <c r="R109" s="69">
        <f>IFERROR(IF(OR(NOT(ISNUMBER('Price History'!R110)),NOT(ISNUMBER('Price History'!R109)),'Price History'!R109=0),"",'Price History'!R110/'Price History'!R109-1),"")</f>
        <v>1.7962996227760542E-4</v>
      </c>
      <c r="S109" s="69">
        <f>IFERROR(IF(OR(NOT(ISNUMBER('Price History'!S110)),NOT(ISNUMBER('Price History'!S109)),'Price History'!S109=0),"",'Price History'!S110/'Price History'!S109-1),"")</f>
        <v>-2.5748862758567803E-4</v>
      </c>
      <c r="T109" s="69">
        <f>IFERROR(IF(OR(NOT(ISNUMBER('Price History'!T110)),NOT(ISNUMBER('Price History'!T109)),'Price History'!T109=0),"",'Price History'!T110/'Price History'!T109-1),"")</f>
        <v>9.1916734252499577E-3</v>
      </c>
      <c r="U109" s="69" t="str">
        <f>IFERROR(IF(OR(NOT(ISNUMBER('Price History'!U110)),NOT(ISNUMBER('Price History'!U109)),'Price History'!U109=0),"",'Price History'!U110/'Price History'!U109-1),"")</f>
        <v/>
      </c>
    </row>
    <row r="110" spans="1:21" ht="15" customHeight="1" x14ac:dyDescent="0.2">
      <c r="A110" s="52">
        <f>'Price History'!A111</f>
        <v>45905</v>
      </c>
      <c r="B110" s="69">
        <f>IFERROR(IF(OR(NOT(ISNUMBER('Price History'!B111)),NOT(ISNUMBER('Price History'!B110)),'Price History'!B110=0),"",'Price History'!B111/'Price History'!B110-1),"")</f>
        <v>-2.1670871881132481E-2</v>
      </c>
      <c r="C110" s="69">
        <f>IFERROR(IF(OR(NOT(ISNUMBER('Price History'!C111)),NOT(ISNUMBER('Price History'!C110)),'Price History'!C110=0),"",'Price History'!C111/'Price History'!C110-1),"")</f>
        <v>4.6136946173562565E-2</v>
      </c>
      <c r="D110" s="69">
        <f>IFERROR(IF(OR(NOT(ISNUMBER('Price History'!D111)),NOT(ISNUMBER('Price History'!D110)),'Price History'!D110=0),"",'Price History'!D111/'Price History'!D110-1),"")</f>
        <v>5.2624491664646778E-2</v>
      </c>
      <c r="E110" s="69">
        <f>IFERROR(IF(OR(NOT(ISNUMBER('Price History'!E111)),NOT(ISNUMBER('Price History'!E110)),'Price History'!E110=0),"",'Price History'!E111/'Price History'!E110-1),"")</f>
        <v>0.12609704428528201</v>
      </c>
      <c r="F110" s="69">
        <f>IFERROR(IF(OR(NOT(ISNUMBER('Price History'!F111)),NOT(ISNUMBER('Price History'!F110)),'Price History'!F110=0),"",'Price History'!F111/'Price History'!F110-1),"")</f>
        <v>-1.43490984612481E-2</v>
      </c>
      <c r="G110" s="69">
        <f>IFERROR(IF(OR(NOT(ISNUMBER('Price History'!G111)),NOT(ISNUMBER('Price History'!G110)),'Price History'!G110=0),"",'Price History'!G111/'Price History'!G110-1),"")</f>
        <v>3.795871559633035E-2</v>
      </c>
      <c r="H110" s="69">
        <f>IFERROR(IF(OR(NOT(ISNUMBER('Price History'!H111)),NOT(ISNUMBER('Price History'!H110)),'Price History'!H110=0),"",'Price History'!H111/'Price History'!H110-1),"")</f>
        <v>0.10385681875472641</v>
      </c>
      <c r="I110" s="69">
        <f>IFERROR(IF(OR(NOT(ISNUMBER('Price History'!I111)),NOT(ISNUMBER('Price History'!I110)),'Price History'!I110=0),"",'Price History'!I111/'Price History'!I110-1),"")</f>
        <v>-4.1106900907107558E-2</v>
      </c>
      <c r="J110" s="69">
        <f>IFERROR(IF(OR(NOT(ISNUMBER('Price History'!J111)),NOT(ISNUMBER('Price History'!J110)),'Price History'!J110=0),"",'Price History'!J111/'Price History'!J110-1),"")</f>
        <v>-1.1425558094567689E-3</v>
      </c>
      <c r="K110" s="69">
        <f>IFERROR(IF(OR(NOT(ISNUMBER('Price History'!K111)),NOT(ISNUMBER('Price History'!K110)),'Price History'!K110=0),"",'Price History'!K111/'Price History'!K110-1),"")</f>
        <v>-2.2972369344649302E-2</v>
      </c>
      <c r="L110" s="69">
        <f>IFERROR(IF(OR(NOT(ISNUMBER('Price History'!L111)),NOT(ISNUMBER('Price History'!L110)),'Price History'!L110=0),"",'Price History'!L111/'Price History'!L110-1),"")</f>
        <v>5.431628189024118E-2</v>
      </c>
      <c r="M110" s="69">
        <f>IFERROR(IF(OR(NOT(ISNUMBER('Price History'!M111)),NOT(ISNUMBER('Price History'!M110)),'Price History'!M110=0),"",'Price History'!M111/'Price History'!M110-1),"")</f>
        <v>-2.7832222657781291E-2</v>
      </c>
      <c r="N110" s="69">
        <f>IFERROR(IF(OR(NOT(ISNUMBER('Price History'!N111)),NOT(ISNUMBER('Price History'!N110)),'Price History'!N110=0),"",'Price History'!N111/'Price History'!N110-1),"")</f>
        <v>1.3042811109406305E-2</v>
      </c>
      <c r="O110" s="69">
        <f>IFERROR(IF(OR(NOT(ISNUMBER('Price History'!O111)),NOT(ISNUMBER('Price History'!O110)),'Price History'!O110=0),"",'Price History'!O111/'Price History'!O110-1),"")</f>
        <v>1.0916374561842801E-2</v>
      </c>
      <c r="P110" s="69" t="str">
        <f>IFERROR(IF(OR(NOT(ISNUMBER('Price History'!P111)),NOT(ISNUMBER('Price History'!P110)),'Price History'!P110=0),"",'Price History'!P111/'Price History'!P110-1),"")</f>
        <v/>
      </c>
      <c r="Q110" s="69">
        <f>IFERROR(IF(OR(NOT(ISNUMBER('Price History'!Q111)),NOT(ISNUMBER('Price History'!Q110)),'Price History'!Q110=0),"",'Price History'!Q111/'Price History'!Q110-1),"")</f>
        <v>1.0013865352025864E-2</v>
      </c>
      <c r="R110" s="69">
        <f>IFERROR(IF(OR(NOT(ISNUMBER('Price History'!R111)),NOT(ISNUMBER('Price History'!R110)),'Price History'!R110=0),"",'Price History'!R111/'Price History'!R110-1),"")</f>
        <v>1.7959770114943652E-3</v>
      </c>
      <c r="S110" s="69">
        <f>IFERROR(IF(OR(NOT(ISNUMBER('Price History'!S111)),NOT(ISNUMBER('Price History'!S110)),'Price History'!S110=0),"",'Price History'!S111/'Price History'!S110-1),"")</f>
        <v>4.8935439560437999E-3</v>
      </c>
      <c r="T110" s="69">
        <f>IFERROR(IF(OR(NOT(ISNUMBER('Price History'!T111)),NOT(ISNUMBER('Price History'!T110)),'Price History'!T110=0),"",'Price History'!T111/'Price History'!T110-1),"")</f>
        <v>7.500669702652063E-3</v>
      </c>
      <c r="U110" s="69" t="str">
        <f>IFERROR(IF(OR(NOT(ISNUMBER('Price History'!U111)),NOT(ISNUMBER('Price History'!U110)),'Price History'!U110=0),"",'Price History'!U111/'Price History'!U110-1),"")</f>
        <v/>
      </c>
    </row>
    <row r="111" spans="1:21" ht="15" customHeight="1" x14ac:dyDescent="0.2">
      <c r="A111" s="52">
        <f>'Price History'!A112</f>
        <v>45912</v>
      </c>
      <c r="B111" s="69">
        <f>IFERROR(IF(OR(NOT(ISNUMBER('Price History'!B112)),NOT(ISNUMBER('Price History'!B111)),'Price History'!B111=0),"",'Price History'!B112/'Price History'!B111-1),"")</f>
        <v>1.1175745766112133E-3</v>
      </c>
      <c r="C111" s="69">
        <f>IFERROR(IF(OR(NOT(ISNUMBER('Price History'!C112)),NOT(ISNUMBER('Price History'!C111)),'Price History'!C111=0),"",'Price History'!C112/'Price History'!C111-1),"")</f>
        <v>-2.4221211060553083E-2</v>
      </c>
      <c r="D111" s="69">
        <f>IFERROR(IF(OR(NOT(ISNUMBER('Price History'!D112)),NOT(ISNUMBER('Price History'!D111)),'Price History'!D111=0),"",'Price History'!D112/'Price History'!D111-1),"")</f>
        <v>4.1153895356274672E-2</v>
      </c>
      <c r="E111" s="69">
        <f>IFERROR(IF(OR(NOT(ISNUMBER('Price History'!E112)),NOT(ISNUMBER('Price History'!E111)),'Price History'!E111=0),"",'Price History'!E112/'Price History'!E111-1),"")</f>
        <v>7.4591656961987551E-2</v>
      </c>
      <c r="F111" s="69">
        <f>IFERROR(IF(OR(NOT(ISNUMBER('Price History'!F112)),NOT(ISNUMBER('Price History'!F111)),'Price History'!F111=0),"",'Price History'!F112/'Price History'!F111-1),"")</f>
        <v>4.4248635188200325E-2</v>
      </c>
      <c r="G111" s="69">
        <f>IFERROR(IF(OR(NOT(ISNUMBER('Price History'!G112)),NOT(ISNUMBER('Price History'!G111)),'Price History'!G111=0),"",'Price History'!G112/'Price History'!G111-1),"")</f>
        <v>6.5075682245055777E-2</v>
      </c>
      <c r="H111" s="69">
        <f>IFERROR(IF(OR(NOT(ISNUMBER('Price History'!H112)),NOT(ISNUMBER('Price History'!H111)),'Price History'!H111=0),"",'Price History'!H112/'Price History'!H111-1),"")</f>
        <v>0.19684859556976475</v>
      </c>
      <c r="I111" s="69">
        <f>IFERROR(IF(OR(NOT(ISNUMBER('Price History'!I112)),NOT(ISNUMBER('Price History'!I111)),'Price History'!I111=0),"",'Price History'!I112/'Price History'!I111-1),"")</f>
        <v>6.4662914621003376E-2</v>
      </c>
      <c r="J111" s="69">
        <f>IFERROR(IF(OR(NOT(ISNUMBER('Price History'!J112)),NOT(ISNUMBER('Price History'!J111)),'Price History'!J111=0),"",'Price History'!J112/'Price History'!J111-1),"")</f>
        <v>1.4958205015398018E-2</v>
      </c>
      <c r="K111" s="69">
        <f>IFERROR(IF(OR(NOT(ISNUMBER('Price History'!K112)),NOT(ISNUMBER('Price History'!K111)),'Price History'!K111=0),"",'Price History'!K112/'Price History'!K111-1),"")</f>
        <v>0.1196525373914179</v>
      </c>
      <c r="L111" s="69">
        <f>IFERROR(IF(OR(NOT(ISNUMBER('Price History'!L112)),NOT(ISNUMBER('Price History'!L111)),'Price History'!L111=0),"",'Price History'!L112/'Price History'!L111-1),"")</f>
        <v>6.5404050778521849E-2</v>
      </c>
      <c r="M111" s="69">
        <f>IFERROR(IF(OR(NOT(ISNUMBER('Price History'!M112)),NOT(ISNUMBER('Price History'!M111)),'Price History'!M111=0),"",'Price History'!M112/'Price History'!M111-1),"")</f>
        <v>8.7419354838709662E-2</v>
      </c>
      <c r="N111" s="69">
        <f>IFERROR(IF(OR(NOT(ISNUMBER('Price History'!N112)),NOT(ISNUMBER('Price History'!N111)),'Price History'!N111=0),"",'Price History'!N112/'Price History'!N111-1),"")</f>
        <v>-4.0139351711603322E-3</v>
      </c>
      <c r="O111" s="69">
        <f>IFERROR(IF(OR(NOT(ISNUMBER('Price History'!O112)),NOT(ISNUMBER('Price History'!O111)),'Price History'!O111=0),"",'Price History'!O112/'Price History'!O111-1),"")</f>
        <v>-7.9255002972061783E-3</v>
      </c>
      <c r="P111" s="69" t="str">
        <f>IFERROR(IF(OR(NOT(ISNUMBER('Price History'!P112)),NOT(ISNUMBER('Price History'!P111)),'Price History'!P111=0),"",'Price History'!P112/'Price History'!P111-1),"")</f>
        <v/>
      </c>
      <c r="Q111" s="69">
        <f>IFERROR(IF(OR(NOT(ISNUMBER('Price History'!Q112)),NOT(ISNUMBER('Price History'!Q111)),'Price History'!Q111=0),"",'Price History'!Q112/'Price History'!Q111-1),"")</f>
        <v>6.1012812690663942E-4</v>
      </c>
      <c r="R111" s="69">
        <f>IFERROR(IF(OR(NOT(ISNUMBER('Price History'!R112)),NOT(ISNUMBER('Price History'!R111)),'Price History'!R111=0),"",'Price History'!R112/'Price History'!R111-1),"")</f>
        <v>1.3624955181068543E-2</v>
      </c>
      <c r="S111" s="69">
        <f>IFERROR(IF(OR(NOT(ISNUMBER('Price History'!S112)),NOT(ISNUMBER('Price History'!S111)),'Price History'!S111=0),"",'Price History'!S112/'Price History'!S111-1),"")</f>
        <v>2.9303716360529641E-2</v>
      </c>
      <c r="T111" s="69">
        <f>IFERROR(IF(OR(NOT(ISNUMBER('Price History'!T112)),NOT(ISNUMBER('Price History'!T111)),'Price History'!T111=0),"",'Price History'!T112/'Price History'!T111-1),"")</f>
        <v>-2.9247540547726603E-3</v>
      </c>
      <c r="U111" s="69" t="str">
        <f>IFERROR(IF(OR(NOT(ISNUMBER('Price History'!U112)),NOT(ISNUMBER('Price History'!U111)),'Price History'!U111=0),"",'Price History'!U112/'Price History'!U111-1),"")</f>
        <v/>
      </c>
    </row>
    <row r="112" spans="1:21" ht="15" customHeight="1" x14ac:dyDescent="0.2">
      <c r="A112" s="52">
        <f>'Price History'!A113</f>
        <v>45919</v>
      </c>
      <c r="B112" s="69">
        <f>IFERROR(IF(OR(NOT(ISNUMBER('Price History'!B113)),NOT(ISNUMBER('Price History'!B112)),'Price History'!B112=0),"",'Price History'!B113/'Price History'!B112-1),"")</f>
        <v>4.734371422028838E-2</v>
      </c>
      <c r="C112" s="69">
        <f>IFERROR(IF(OR(NOT(ISNUMBER('Price History'!C113)),NOT(ISNUMBER('Price History'!C112)),'Price History'!C112=0),"",'Price History'!C113/'Price History'!C112-1),"")</f>
        <v>7.3319463376139149E-2</v>
      </c>
      <c r="D112" s="69">
        <f>IFERROR(IF(OR(NOT(ISNUMBER('Price History'!D113)),NOT(ISNUMBER('Price History'!D112)),'Price History'!D112=0),"",'Price History'!D113/'Price History'!D112-1),"")</f>
        <v>0.14533033531153627</v>
      </c>
      <c r="E112" s="69">
        <f>IFERROR(IF(OR(NOT(ISNUMBER('Price History'!E113)),NOT(ISNUMBER('Price History'!E112)),'Price History'!E112=0),"",'Price History'!E113/'Price History'!E112-1),"")</f>
        <v>-4.1487203712451737E-2</v>
      </c>
      <c r="F112" s="69">
        <f>IFERROR(IF(OR(NOT(ISNUMBER('Price History'!F113)),NOT(ISNUMBER('Price History'!F112)),'Price History'!F112=0),"",'Price History'!F113/'Price History'!F112-1),"")</f>
        <v>0.15234339172704758</v>
      </c>
      <c r="G112" s="69">
        <f>IFERROR(IF(OR(NOT(ISNUMBER('Price History'!G113)),NOT(ISNUMBER('Price History'!G112)),'Price History'!G112=0),"",'Price History'!G113/'Price History'!G112-1),"")</f>
        <v>8.381742738589204E-2</v>
      </c>
      <c r="H112" s="69">
        <f>IFERROR(IF(OR(NOT(ISNUMBER('Price History'!H113)),NOT(ISNUMBER('Price History'!H112)),'Price History'!H112=0),"",'Price History'!H113/'Price History'!H112-1),"")</f>
        <v>3.4980601666348754E-2</v>
      </c>
      <c r="I112" s="69">
        <f>IFERROR(IF(OR(NOT(ISNUMBER('Price History'!I113)),NOT(ISNUMBER('Price History'!I112)),'Price History'!I112=0),"",'Price History'!I113/'Price History'!I112-1),"")</f>
        <v>-6.46721403666628E-3</v>
      </c>
      <c r="J112" s="69">
        <f>IFERROR(IF(OR(NOT(ISNUMBER('Price History'!J113)),NOT(ISNUMBER('Price History'!J112)),'Price History'!J112=0),"",'Price History'!J113/'Price History'!J112-1),"")</f>
        <v>-1.5951452102297314E-2</v>
      </c>
      <c r="K112" s="69">
        <f>IFERROR(IF(OR(NOT(ISNUMBER('Price History'!K113)),NOT(ISNUMBER('Price History'!K112)),'Price History'!K112=0),"",'Price History'!K113/'Price History'!K112-1),"")</f>
        <v>6.3932800559995284E-2</v>
      </c>
      <c r="L112" s="69">
        <f>IFERROR(IF(OR(NOT(ISNUMBER('Price History'!L113)),NOT(ISNUMBER('Price History'!L112)),'Price History'!L112=0),"",'Price History'!L113/'Price History'!L112-1),"")</f>
        <v>2.1362742451702443E-2</v>
      </c>
      <c r="M112" s="69">
        <f>IFERROR(IF(OR(NOT(ISNUMBER('Price History'!M113)),NOT(ISNUMBER('Price History'!M112)),'Price History'!M112=0),"",'Price History'!M113/'Price History'!M112-1),"")</f>
        <v>6.4965885493918574E-2</v>
      </c>
      <c r="N112" s="69">
        <f>IFERROR(IF(OR(NOT(ISNUMBER('Price History'!N113)),NOT(ISNUMBER('Price History'!N112)),'Price History'!N112=0),"",'Price History'!N113/'Price History'!N112-1),"")</f>
        <v>-2.8920487668871786E-2</v>
      </c>
      <c r="O112" s="69">
        <f>IFERROR(IF(OR(NOT(ISNUMBER('Price History'!O113)),NOT(ISNUMBER('Price History'!O112)),'Price History'!O112=0),"",'Price History'!O113/'Price History'!O112-1),"")</f>
        <v>5.6920311563810611E-3</v>
      </c>
      <c r="P112" s="69" t="str">
        <f>IFERROR(IF(OR(NOT(ISNUMBER('Price History'!P113)),NOT(ISNUMBER('Price History'!P112)),'Price History'!P112=0),"",'Price History'!P113/'Price History'!P112-1),"")</f>
        <v/>
      </c>
      <c r="Q112" s="69">
        <f>IFERROR(IF(OR(NOT(ISNUMBER('Price History'!Q113)),NOT(ISNUMBER('Price History'!Q112)),'Price History'!Q112=0),"",'Price History'!Q113/'Price History'!Q112-1),"")</f>
        <v>-5.0304878048780255E-3</v>
      </c>
      <c r="R112" s="69">
        <f>IFERROR(IF(OR(NOT(ISNUMBER('Price History'!R113)),NOT(ISNUMBER('Price History'!R112)),'Price History'!R112=0),"",'Price History'!R113/'Price History'!R112-1),"")</f>
        <v>1.0965688008489627E-2</v>
      </c>
      <c r="S112" s="69">
        <f>IFERROR(IF(OR(NOT(ISNUMBER('Price History'!S113)),NOT(ISNUMBER('Price History'!S112)),'Price History'!S112=0),"",'Price History'!S113/'Price History'!S112-1),"")</f>
        <v>1.2035192563081054E-2</v>
      </c>
      <c r="T112" s="69">
        <f>IFERROR(IF(OR(NOT(ISNUMBER('Price History'!T113)),NOT(ISNUMBER('Price History'!T112)),'Price History'!T112=0),"",'Price History'!T113/'Price History'!T112-1),"")</f>
        <v>-1.3333333333332975E-3</v>
      </c>
      <c r="U112" s="69" t="str">
        <f>IFERROR(IF(OR(NOT(ISNUMBER('Price History'!U113)),NOT(ISNUMBER('Price History'!U112)),'Price History'!U112=0),"",'Price History'!U113/'Price History'!U112-1),"")</f>
        <v/>
      </c>
    </row>
    <row r="113" spans="1:21" ht="15" customHeight="1" x14ac:dyDescent="0.2">
      <c r="A113" s="52">
        <f>'Price History'!A114</f>
        <v>45926</v>
      </c>
      <c r="B113" s="69">
        <f>IFERROR(IF(OR(NOT(ISNUMBER('Price History'!B114)),NOT(ISNUMBER('Price History'!B113)),'Price History'!B113=0),"",'Price History'!B114/'Price History'!B113-1),"")</f>
        <v>-1.5113418966930747E-2</v>
      </c>
      <c r="C113" s="69">
        <f>IFERROR(IF(OR(NOT(ISNUMBER('Price History'!C114)),NOT(ISNUMBER('Price History'!C113)),'Price History'!C113=0),"",'Price History'!C114/'Price History'!C113-1),"")</f>
        <v>-4.752356125927415E-2</v>
      </c>
      <c r="D113" s="69">
        <f>IFERROR(IF(OR(NOT(ISNUMBER('Price History'!D114)),NOT(ISNUMBER('Price History'!D113)),'Price History'!D113=0),"",'Price History'!D114/'Price History'!D113-1),"")</f>
        <v>2.0779917395268965E-2</v>
      </c>
      <c r="E113" s="69">
        <f>IFERROR(IF(OR(NOT(ISNUMBER('Price History'!E114)),NOT(ISNUMBER('Price History'!E113)),'Price History'!E113=0),"",'Price History'!E114/'Price History'!E113-1),"")</f>
        <v>-3.017916159332068E-2</v>
      </c>
      <c r="F113" s="69">
        <f>IFERROR(IF(OR(NOT(ISNUMBER('Price History'!F114)),NOT(ISNUMBER('Price History'!F113)),'Price History'!F113=0),"",'Price History'!F114/'Price History'!F113-1),"")</f>
        <v>-4.2024832855778405E-2</v>
      </c>
      <c r="G113" s="69">
        <f>IFERROR(IF(OR(NOT(ISNUMBER('Price History'!G114)),NOT(ISNUMBER('Price History'!G113)),'Price History'!G113=0),"",'Price History'!G114/'Price History'!G113-1),"")</f>
        <v>1.8663859111791803E-2</v>
      </c>
      <c r="H113" s="69">
        <f>IFERROR(IF(OR(NOT(ISNUMBER('Price History'!H114)),NOT(ISNUMBER('Price History'!H113)),'Price History'!H113=0),"",'Price History'!H114/'Price History'!H113-1),"")</f>
        <v>-3.355251029312345E-2</v>
      </c>
      <c r="I113" s="69">
        <f>IFERROR(IF(OR(NOT(ISNUMBER('Price History'!I114)),NOT(ISNUMBER('Price History'!I113)),'Price History'!I113=0),"",'Price History'!I114/'Price History'!I113-1),"")</f>
        <v>8.6036112526179931E-3</v>
      </c>
      <c r="J113" s="69">
        <f>IFERROR(IF(OR(NOT(ISNUMBER('Price History'!J114)),NOT(ISNUMBER('Price History'!J113)),'Price History'!J113=0),"",'Price History'!J114/'Price History'!J113-1),"")</f>
        <v>5.9906616157165971E-3</v>
      </c>
      <c r="K113" s="69">
        <f>IFERROR(IF(OR(NOT(ISNUMBER('Price History'!K114)),NOT(ISNUMBER('Price History'!K113)),'Price History'!K113=0),"",'Price History'!K114/'Price History'!K113-1),"")</f>
        <v>-2.6426887439004343E-2</v>
      </c>
      <c r="L113" s="69">
        <f>IFERROR(IF(OR(NOT(ISNUMBER('Price History'!L114)),NOT(ISNUMBER('Price History'!L113)),'Price History'!L113=0),"",'Price History'!L114/'Price History'!L113-1),"")</f>
        <v>3.2053460188016691E-2</v>
      </c>
      <c r="M113" s="69">
        <f>IFERROR(IF(OR(NOT(ISNUMBER('Price History'!M114)),NOT(ISNUMBER('Price History'!M113)),'Price History'!M113=0),"",'Price History'!M114/'Price History'!M113-1),"")</f>
        <v>-3.4679665738161503E-2</v>
      </c>
      <c r="N113" s="69">
        <f>IFERROR(IF(OR(NOT(ISNUMBER('Price History'!N114)),NOT(ISNUMBER('Price History'!N113)),'Price History'!N113=0),"",'Price History'!N114/'Price History'!N113-1),"")</f>
        <v>6.8385884318229451E-3</v>
      </c>
      <c r="O113" s="69">
        <f>IFERROR(IF(OR(NOT(ISNUMBER('Price History'!O114)),NOT(ISNUMBER('Price History'!O113)),'Price History'!O113=0),"",'Price History'!O114/'Price History'!O113-1),"")</f>
        <v>-1.588720087379536E-3</v>
      </c>
      <c r="P113" s="69" t="str">
        <f>IFERROR(IF(OR(NOT(ISNUMBER('Price History'!P114)),NOT(ISNUMBER('Price History'!P113)),'Price History'!P113=0),"",'Price History'!P114/'Price History'!P113-1),"")</f>
        <v/>
      </c>
      <c r="Q113" s="69">
        <f>IFERROR(IF(OR(NOT(ISNUMBER('Price History'!Q114)),NOT(ISNUMBER('Price History'!Q113)),'Price History'!Q113=0),"",'Price History'!Q114/'Price History'!Q113-1),"")</f>
        <v>1.5320974413974842E-3</v>
      </c>
      <c r="R113" s="69">
        <f>IFERROR(IF(OR(NOT(ISNUMBER('Price History'!R114)),NOT(ISNUMBER('Price History'!R113)),'Price History'!R113=0),"",'Price History'!R114/'Price History'!R113-1),"")</f>
        <v>1.5745276417076237E-3</v>
      </c>
      <c r="S113" s="69">
        <f>IFERROR(IF(OR(NOT(ISNUMBER('Price History'!S114)),NOT(ISNUMBER('Price History'!S113)),'Price History'!S113=0),"",'Price History'!S114/'Price History'!S113-1),"")</f>
        <v>-1.1071926515213715E-2</v>
      </c>
      <c r="T113" s="69">
        <f>IFERROR(IF(OR(NOT(ISNUMBER('Price History'!T114)),NOT(ISNUMBER('Price History'!T113)),'Price History'!T113=0),"",'Price History'!T114/'Price History'!T113-1),"")</f>
        <v>7.7436582109478014E-3</v>
      </c>
      <c r="U113" s="69" t="str">
        <f>IFERROR(IF(OR(NOT(ISNUMBER('Price History'!U114)),NOT(ISNUMBER('Price History'!U113)),'Price History'!U113=0),"",'Price History'!U114/'Price History'!U113-1),"")</f>
        <v/>
      </c>
    </row>
    <row r="114" spans="1:21" ht="15" customHeight="1" x14ac:dyDescent="0.2">
      <c r="A114" s="52">
        <f>'Price History'!A115</f>
        <v>45933</v>
      </c>
      <c r="B114" s="69">
        <f>IFERROR(IF(OR(NOT(ISNUMBER('Price History'!B115)),NOT(ISNUMBER('Price History'!B114)),'Price History'!B114=0),"",'Price History'!B115/'Price History'!B114-1),"")</f>
        <v>-3.782223825512665E-2</v>
      </c>
      <c r="C114" s="69">
        <f>IFERROR(IF(OR(NOT(ISNUMBER('Price History'!C115)),NOT(ISNUMBER('Price History'!C114)),'Price History'!C114=0),"",'Price History'!C115/'Price History'!C114-1),"")</f>
        <v>2.1052631578947434E-2</v>
      </c>
      <c r="D114" s="69">
        <f>IFERROR(IF(OR(NOT(ISNUMBER('Price History'!D115)),NOT(ISNUMBER('Price History'!D114)),'Price History'!D114=0),"",'Price History'!D115/'Price History'!D114-1),"")</f>
        <v>8.4811669749453644E-2</v>
      </c>
      <c r="E114" s="69">
        <f>IFERROR(IF(OR(NOT(ISNUMBER('Price History'!E115)),NOT(ISNUMBER('Price History'!E114)),'Price History'!E114=0),"",'Price History'!E115/'Price History'!E114-1),"")</f>
        <v>1.1478791139808209E-2</v>
      </c>
      <c r="F114" s="69">
        <f>IFERROR(IF(OR(NOT(ISNUMBER('Price History'!F115)),NOT(ISNUMBER('Price History'!F114)),'Price History'!F114=0),"",'Price History'!F115/'Price History'!F114-1),"")</f>
        <v>1.7530741110003412E-2</v>
      </c>
      <c r="G114" s="69">
        <f>IFERROR(IF(OR(NOT(ISNUMBER('Price History'!G115)),NOT(ISNUMBER('Price History'!G114)),'Price History'!G114=0),"",'Price History'!G115/'Price History'!G114-1),"")</f>
        <v>3.5046509442826279E-2</v>
      </c>
      <c r="H114" s="69">
        <f>IFERROR(IF(OR(NOT(ISNUMBER('Price History'!H115)),NOT(ISNUMBER('Price History'!H114)),'Price History'!H114=0),"",'Price History'!H115/'Price History'!H114-1),"")</f>
        <v>0.19431550836141676</v>
      </c>
      <c r="I114" s="69">
        <f>IFERROR(IF(OR(NOT(ISNUMBER('Price History'!I115)),NOT(ISNUMBER('Price History'!I114)),'Price History'!I114=0),"",'Price History'!I115/'Price History'!I114-1),"")</f>
        <v>5.292103934003034E-2</v>
      </c>
      <c r="J114" s="69">
        <f>IFERROR(IF(OR(NOT(ISNUMBER('Price History'!J115)),NOT(ISNUMBER('Price History'!J114)),'Price History'!J114=0),"",'Price History'!J115/'Price History'!J114-1),"")</f>
        <v>2.513354934757861E-2</v>
      </c>
      <c r="K114" s="69">
        <f>IFERROR(IF(OR(NOT(ISNUMBER('Price History'!K115)),NOT(ISNUMBER('Price History'!K114)),'Price History'!K114=0),"",'Price History'!K115/'Price History'!K114-1),"")</f>
        <v>-2.5342118601115016E-2</v>
      </c>
      <c r="L114" s="69">
        <f>IFERROR(IF(OR(NOT(ISNUMBER('Price History'!L115)),NOT(ISNUMBER('Price History'!L114)),'Price History'!L114=0),"",'Price History'!L115/'Price History'!L114-1),"")</f>
        <v>6.8883523558677107E-2</v>
      </c>
      <c r="M114" s="69">
        <f>IFERROR(IF(OR(NOT(ISNUMBER('Price History'!M115)),NOT(ISNUMBER('Price History'!M114)),'Price History'!M114=0),"",'Price History'!M115/'Price History'!M114-1),"")</f>
        <v>0.15567739142980797</v>
      </c>
      <c r="N114" s="69">
        <f>IFERROR(IF(OR(NOT(ISNUMBER('Price History'!N115)),NOT(ISNUMBER('Price History'!N114)),'Price History'!N114=0),"",'Price History'!N115/'Price History'!N114-1),"")</f>
        <v>4.552289106652152E-2</v>
      </c>
      <c r="O114" s="69">
        <f>IFERROR(IF(OR(NOT(ISNUMBER('Price History'!O115)),NOT(ISNUMBER('Price History'!O114)),'Price History'!O114=0),"",'Price History'!O115/'Price History'!O114-1),"")</f>
        <v>1.0939830929885819E-3</v>
      </c>
      <c r="P114" s="69" t="str">
        <f>IFERROR(IF(OR(NOT(ISNUMBER('Price History'!P115)),NOT(ISNUMBER('Price History'!P114)),'Price History'!P114=0),"",'Price History'!P115/'Price History'!P114-1),"")</f>
        <v/>
      </c>
      <c r="Q114" s="69">
        <f>IFERROR(IF(OR(NOT(ISNUMBER('Price History'!Q115)),NOT(ISNUMBER('Price History'!Q114)),'Price History'!Q114=0),"",'Price History'!Q115/'Price History'!Q114-1),"")</f>
        <v>-8.8725715159858609E-3</v>
      </c>
      <c r="R114" s="69">
        <f>IFERROR(IF(OR(NOT(ISNUMBER('Price History'!R115)),NOT(ISNUMBER('Price History'!R114)),'Price History'!R114=0),"",'Price History'!R115/'Price History'!R114-1),"")</f>
        <v>5.2401746724894949E-4</v>
      </c>
      <c r="S114" s="69">
        <f>IFERROR(IF(OR(NOT(ISNUMBER('Price History'!S115)),NOT(ISNUMBER('Price History'!S114)),'Price History'!S114=0),"",'Price History'!S115/'Price History'!S114-1),"")</f>
        <v>-4.0636921545861293E-3</v>
      </c>
      <c r="T114" s="69">
        <f>IFERROR(IF(OR(NOT(ISNUMBER('Price History'!T115)),NOT(ISNUMBER('Price History'!T114)),'Price History'!T114=0),"",'Price History'!T115/'Price History'!T114-1),"")</f>
        <v>3.444621091679867E-3</v>
      </c>
      <c r="U114" s="69" t="str">
        <f>IFERROR(IF(OR(NOT(ISNUMBER('Price History'!U115)),NOT(ISNUMBER('Price History'!U114)),'Price History'!U114=0),"",'Price History'!U115/'Price History'!U114-1),"")</f>
        <v/>
      </c>
    </row>
    <row r="115" spans="1:21" ht="15" customHeight="1" x14ac:dyDescent="0.2">
      <c r="A115" s="52">
        <f>'Price History'!A116</f>
        <v>45940</v>
      </c>
      <c r="B115" s="69">
        <f>IFERROR(IF(OR(NOT(ISNUMBER('Price History'!B116)),NOT(ISNUMBER('Price History'!B115)),'Price History'!B115=0),"",'Price History'!B116/'Price History'!B115-1),"")</f>
        <v>-2.6619368979639013E-2</v>
      </c>
      <c r="C115" s="69">
        <f>IFERROR(IF(OR(NOT(ISNUMBER('Price History'!C116)),NOT(ISNUMBER('Price History'!C115)),'Price History'!C115=0),"",'Price History'!C116/'Price History'!C115-1),"")</f>
        <v>5.9106529209622005E-2</v>
      </c>
      <c r="D115" s="69">
        <f>IFERROR(IF(OR(NOT(ISNUMBER('Price History'!D116)),NOT(ISNUMBER('Price History'!D115)),'Price History'!D115=0),"",'Price History'!D116/'Price History'!D115-1),"")</f>
        <v>-9.3032493073182065E-2</v>
      </c>
      <c r="E115" s="69">
        <f>IFERROR(IF(OR(NOT(ISNUMBER('Price History'!E116)),NOT(ISNUMBER('Price History'!E115)),'Price History'!E115=0),"",'Price History'!E116/'Price History'!E115-1),"")</f>
        <v>-4.0606436740845853E-2</v>
      </c>
      <c r="F115" s="69">
        <f>IFERROR(IF(OR(NOT(ISNUMBER('Price History'!F116)),NOT(ISNUMBER('Price History'!F115)),'Price History'!F115=0),"",'Price History'!F116/'Price History'!F115-1),"")</f>
        <v>7.7570017147057246E-3</v>
      </c>
      <c r="G115" s="69">
        <f>IFERROR(IF(OR(NOT(ISNUMBER('Price History'!G116)),NOT(ISNUMBER('Price History'!G115)),'Price History'!G115=0),"",'Price History'!G116/'Price History'!G115-1),"")</f>
        <v>-0.10784313725490191</v>
      </c>
      <c r="H115" s="69">
        <f>IFERROR(IF(OR(NOT(ISNUMBER('Price History'!H116)),NOT(ISNUMBER('Price History'!H115)),'Price History'!H115=0),"",'Price History'!H116/'Price History'!H115-1),"")</f>
        <v>-3.3168290475430018E-2</v>
      </c>
      <c r="I115" s="69">
        <f>IFERROR(IF(OR(NOT(ISNUMBER('Price History'!I116)),NOT(ISNUMBER('Price History'!I115)),'Price History'!I115=0),"",'Price History'!I116/'Price History'!I115-1),"")</f>
        <v>-2.3771452936787174E-2</v>
      </c>
      <c r="J115" s="69">
        <f>IFERROR(IF(OR(NOT(ISNUMBER('Price History'!J116)),NOT(ISNUMBER('Price History'!J115)),'Price History'!J115=0),"",'Price History'!J116/'Price History'!J115-1),"")</f>
        <v>-4.9803519562617415E-2</v>
      </c>
      <c r="K115" s="69">
        <f>IFERROR(IF(OR(NOT(ISNUMBER('Price History'!K116)),NOT(ISNUMBER('Price History'!K115)),'Price History'!K115=0),"",'Price History'!K116/'Price History'!K115-1),"")</f>
        <v>1.3693881088576942E-2</v>
      </c>
      <c r="L115" s="69">
        <f>IFERROR(IF(OR(NOT(ISNUMBER('Price History'!L116)),NOT(ISNUMBER('Price History'!L115)),'Price History'!L115=0),"",'Price History'!L116/'Price History'!L115-1),"")</f>
        <v>-3.9460624935829358E-2</v>
      </c>
      <c r="M115" s="69">
        <f>IFERROR(IF(OR(NOT(ISNUMBER('Price History'!M116)),NOT(ISNUMBER('Price History'!M115)),'Price History'!M115=0),"",'Price History'!M116/'Price History'!M115-1),"")</f>
        <v>5.4993757802746623E-2</v>
      </c>
      <c r="N115" s="69">
        <f>IFERROR(IF(OR(NOT(ISNUMBER('Price History'!N116)),NOT(ISNUMBER('Price History'!N115)),'Price History'!N115=0),"",'Price History'!N116/'Price History'!N115-1),"")</f>
        <v>1.1133151500124061E-2</v>
      </c>
      <c r="O115" s="69">
        <f>IFERROR(IF(OR(NOT(ISNUMBER('Price History'!O116)),NOT(ISNUMBER('Price History'!O115)),'Price History'!O115=0),"",'Price History'!O116/'Price History'!O115-1),"")</f>
        <v>-5.4341347109080007E-2</v>
      </c>
      <c r="P115" s="69" t="str">
        <f>IFERROR(IF(OR(NOT(ISNUMBER('Price History'!P116)),NOT(ISNUMBER('Price History'!P115)),'Price History'!P115=0),"",'Price History'!P116/'Price History'!P115-1),"")</f>
        <v/>
      </c>
      <c r="Q115" s="69">
        <f>IFERROR(IF(OR(NOT(ISNUMBER('Price History'!Q116)),NOT(ISNUMBER('Price History'!Q115)),'Price History'!Q115=0),"",'Price History'!Q116/'Price History'!Q115-1),"")</f>
        <v>2.1762617687914654E-2</v>
      </c>
      <c r="R115" s="69">
        <f>IFERROR(IF(OR(NOT(ISNUMBER('Price History'!R116)),NOT(ISNUMBER('Price History'!R115)),'Price History'!R115=0),"",'Price History'!R116/'Price History'!R115-1),"")</f>
        <v>-1.6585195530726349E-2</v>
      </c>
      <c r="S115" s="69">
        <f>IFERROR(IF(OR(NOT(ISNUMBER('Price History'!S116)),NOT(ISNUMBER('Price History'!S115)),'Price History'!S115=0),"",'Price History'!S116/'Price History'!S115-1),"")</f>
        <v>-1.3240069947539346E-2</v>
      </c>
      <c r="T115" s="69">
        <f>IFERROR(IF(OR(NOT(ISNUMBER('Price History'!T116)),NOT(ISNUMBER('Price History'!T115)),'Price History'!T115=0),"",'Price History'!T116/'Price History'!T115-1),"")</f>
        <v>-3.4063902825455461E-2</v>
      </c>
      <c r="U115" s="69" t="str">
        <f>IFERROR(IF(OR(NOT(ISNUMBER('Price History'!U116)),NOT(ISNUMBER('Price History'!U115)),'Price History'!U115=0),"",'Price History'!U116/'Price History'!U115-1),"")</f>
        <v/>
      </c>
    </row>
    <row r="116" spans="1:21" ht="15" customHeight="1" x14ac:dyDescent="0.2">
      <c r="A116" s="52">
        <f>'Price History'!A117</f>
        <v>45947</v>
      </c>
      <c r="B116" s="69">
        <f>IFERROR(IF(OR(NOT(ISNUMBER('Price History'!B117)),NOT(ISNUMBER('Price History'!B116)),'Price History'!B116=0),"",'Price History'!B117/'Price History'!B116-1),"")</f>
        <v>-1.2592219489792944E-2</v>
      </c>
      <c r="C116" s="69">
        <f>IFERROR(IF(OR(NOT(ISNUMBER('Price History'!C117)),NOT(ISNUMBER('Price History'!C116)),'Price History'!C116=0),"",'Price History'!C117/'Price History'!C116-1),"")</f>
        <v>-7.138221933809219E-2</v>
      </c>
      <c r="D116" s="69">
        <f>IFERROR(IF(OR(NOT(ISNUMBER('Price History'!D117)),NOT(ISNUMBER('Price History'!D116)),'Price History'!D116=0),"",'Price History'!D117/'Price History'!D116-1),"")</f>
        <v>9.9424262169004018E-2</v>
      </c>
      <c r="E116" s="69">
        <f>IFERROR(IF(OR(NOT(ISNUMBER('Price History'!E117)),NOT(ISNUMBER('Price History'!E116)),'Price History'!E116=0),"",'Price History'!E117/'Price History'!E116-1),"")</f>
        <v>7.6086621692388334E-2</v>
      </c>
      <c r="F116" s="69">
        <f>IFERROR(IF(OR(NOT(ISNUMBER('Price History'!F117)),NOT(ISNUMBER('Price History'!F116)),'Price History'!F116=0),"",'Price History'!F117/'Price History'!F116-1),"")</f>
        <v>-1.83114568141306E-2</v>
      </c>
      <c r="G116" s="69">
        <f>IFERROR(IF(OR(NOT(ISNUMBER('Price History'!G117)),NOT(ISNUMBER('Price History'!G116)),'Price History'!G116=0),"",'Price History'!G117/'Price History'!G116-1),"")</f>
        <v>0.12606837606837606</v>
      </c>
      <c r="H116" s="69">
        <f>IFERROR(IF(OR(NOT(ISNUMBER('Price History'!H117)),NOT(ISNUMBER('Price History'!H116)),'Price History'!H116=0),"",'Price History'!H117/'Price History'!H116-1),"")</f>
        <v>0.11442731277533036</v>
      </c>
      <c r="I116" s="69">
        <f>IFERROR(IF(OR(NOT(ISNUMBER('Price History'!I117)),NOT(ISNUMBER('Price History'!I116)),'Price History'!I116=0),"",'Price History'!I117/'Price History'!I116-1),"")</f>
        <v>3.2758244158115346E-4</v>
      </c>
      <c r="J116" s="69">
        <f>IFERROR(IF(OR(NOT(ISNUMBER('Price History'!J117)),NOT(ISNUMBER('Price History'!J116)),'Price History'!J116=0),"",'Price History'!J117/'Price History'!J116-1),"")</f>
        <v>0.11552638676616023</v>
      </c>
      <c r="K116" s="69">
        <f>IFERROR(IF(OR(NOT(ISNUMBER('Price History'!K117)),NOT(ISNUMBER('Price History'!K116)),'Price History'!K116=0),"",'Price History'!K117/'Price History'!K116-1),"")</f>
        <v>1.5446876424988654E-2</v>
      </c>
      <c r="L116" s="69">
        <f>IFERROR(IF(OR(NOT(ISNUMBER('Price History'!L117)),NOT(ISNUMBER('Price History'!L116)),'Price History'!L116=0),"",'Price History'!L117/'Price History'!L116-1),"")</f>
        <v>5.1378892610275617E-2</v>
      </c>
      <c r="M116" s="69">
        <f>IFERROR(IF(OR(NOT(ISNUMBER('Price History'!M117)),NOT(ISNUMBER('Price History'!M116)),'Price History'!M116=0),"",'Price History'!M117/'Price History'!M116-1),"")</f>
        <v>2.9524880184604418E-2</v>
      </c>
      <c r="N116" s="69">
        <f>IFERROR(IF(OR(NOT(ISNUMBER('Price History'!N117)),NOT(ISNUMBER('Price History'!N116)),'Price History'!N116=0),"",'Price History'!N117/'Price History'!N116-1),"")</f>
        <v>2.2119228034036986E-2</v>
      </c>
      <c r="O116" s="69">
        <f>IFERROR(IF(OR(NOT(ISNUMBER('Price History'!O117)),NOT(ISNUMBER('Price History'!O116)),'Price History'!O116=0),"",'Price History'!O117/'Price History'!O116-1),"")</f>
        <v>1.9644920684946054E-2</v>
      </c>
      <c r="P116" s="69" t="str">
        <f>IFERROR(IF(OR(NOT(ISNUMBER('Price History'!P117)),NOT(ISNUMBER('Price History'!P116)),'Price History'!P116=0),"",'Price History'!P117/'Price History'!P116-1),"")</f>
        <v/>
      </c>
      <c r="Q116" s="69">
        <f>IFERROR(IF(OR(NOT(ISNUMBER('Price History'!Q117)),NOT(ISNUMBER('Price History'!Q116)),'Price History'!Q116=0),"",'Price History'!Q117/'Price History'!Q116-1),"")</f>
        <v>2.2658610271901747E-3</v>
      </c>
      <c r="R116" s="69">
        <f>IFERROR(IF(OR(NOT(ISNUMBER('Price History'!R117)),NOT(ISNUMBER('Price History'!R116)),'Price History'!R116=0),"",'Price History'!R117/'Price History'!R116-1),"")</f>
        <v>2.0415409195810419E-2</v>
      </c>
      <c r="S116" s="69">
        <f>IFERROR(IF(OR(NOT(ISNUMBER('Price History'!S117)),NOT(ISNUMBER('Price History'!S116)),'Price History'!S116=0),"",'Price History'!S117/'Price History'!S116-1),"")</f>
        <v>1.6202531645569618E-2</v>
      </c>
      <c r="T116" s="69">
        <f>IFERROR(IF(OR(NOT(ISNUMBER('Price History'!T117)),NOT(ISNUMBER('Price History'!T116)),'Price History'!T116=0),"",'Price History'!T117/'Price History'!T116-1),"")</f>
        <v>1.3942044833242351E-2</v>
      </c>
      <c r="U116" s="69" t="str">
        <f>IFERROR(IF(OR(NOT(ISNUMBER('Price History'!U117)),NOT(ISNUMBER('Price History'!U116)),'Price History'!U116=0),"",'Price History'!U117/'Price History'!U116-1),"")</f>
        <v/>
      </c>
    </row>
    <row r="117" spans="1:21" ht="15" customHeight="1" x14ac:dyDescent="0.2">
      <c r="A117" s="52">
        <f>'Price History'!A118</f>
        <v>45954</v>
      </c>
      <c r="B117" s="69">
        <f>IFERROR(IF(OR(NOT(ISNUMBER('Price History'!B118)),NOT(ISNUMBER('Price History'!B117)),'Price History'!B117=0),"",'Price History'!B118/'Price History'!B117-1),"")</f>
        <v>6.0793374542399192E-2</v>
      </c>
      <c r="C117" s="69">
        <f>IFERROR(IF(OR(NOT(ISNUMBER('Price History'!C118)),NOT(ISNUMBER('Price History'!C117)),'Price History'!C117=0),"",'Price History'!C118/'Price History'!C117-1),"")</f>
        <v>7.4912648497554191E-2</v>
      </c>
      <c r="D117" s="69">
        <f>IFERROR(IF(OR(NOT(ISNUMBER('Price History'!D118)),NOT(ISNUMBER('Price History'!D117)),'Price History'!D117=0),"",'Price History'!D118/'Price History'!D117-1),"")</f>
        <v>3.7210838749792696E-3</v>
      </c>
      <c r="E117" s="69">
        <f>IFERROR(IF(OR(NOT(ISNUMBER('Price History'!E118)),NOT(ISNUMBER('Price History'!E117)),'Price History'!E117=0),"",'Price History'!E118/'Price History'!E117-1),"")</f>
        <v>1.3740589127758884E-2</v>
      </c>
      <c r="F117" s="69">
        <f>IFERROR(IF(OR(NOT(ISNUMBER('Price History'!F118)),NOT(ISNUMBER('Price History'!F117)),'Price History'!F117=0),"",'Price History'!F118/'Price History'!F117-1),"")</f>
        <v>8.8065368108286801E-2</v>
      </c>
      <c r="G117" s="69">
        <f>IFERROR(IF(OR(NOT(ISNUMBER('Price History'!G118)),NOT(ISNUMBER('Price History'!G117)),'Price History'!G117=0),"",'Price History'!G118/'Price History'!G117-1),"")</f>
        <v>6.8762989066594393E-2</v>
      </c>
      <c r="H117" s="69">
        <f>IFERROR(IF(OR(NOT(ISNUMBER('Price History'!H118)),NOT(ISNUMBER('Price History'!H117)),'Price History'!H117=0),"",'Price History'!H118/'Price History'!H117-1),"")</f>
        <v>8.2221563395592501E-2</v>
      </c>
      <c r="I117" s="69">
        <f>IFERROR(IF(OR(NOT(ISNUMBER('Price History'!I118)),NOT(ISNUMBER('Price History'!I117)),'Price History'!I117=0),"",'Price History'!I118/'Price History'!I117-1),"")</f>
        <v>1.6592075100971382E-2</v>
      </c>
      <c r="J117" s="69">
        <f>IFERROR(IF(OR(NOT(ISNUMBER('Price History'!J118)),NOT(ISNUMBER('Price History'!J117)),'Price History'!J117=0),"",'Price History'!J118/'Price History'!J117-1),"")</f>
        <v>1.8939393939394034E-2</v>
      </c>
      <c r="K117" s="69">
        <f>IFERROR(IF(OR(NOT(ISNUMBER('Price History'!K118)),NOT(ISNUMBER('Price History'!K117)),'Price History'!K117=0),"",'Price History'!K118/'Price History'!K117-1),"")</f>
        <v>3.6373842267751755E-2</v>
      </c>
      <c r="L117" s="69">
        <f>IFERROR(IF(OR(NOT(ISNUMBER('Price History'!L118)),NOT(ISNUMBER('Price History'!L117)),'Price History'!L117=0),"",'Price History'!L118/'Price History'!L117-1),"")</f>
        <v>-4.0666937779587631E-4</v>
      </c>
      <c r="M117" s="69">
        <f>IFERROR(IF(OR(NOT(ISNUMBER('Price History'!M118)),NOT(ISNUMBER('Price History'!M117)),'Price History'!M117=0),"",'Price History'!M118/'Price History'!M117-1),"")</f>
        <v>6.9310344827586245E-2</v>
      </c>
      <c r="N117" s="69">
        <f>IFERROR(IF(OR(NOT(ISNUMBER('Price History'!N118)),NOT(ISNUMBER('Price History'!N117)),'Price History'!N117=0),"",'Price History'!N118/'Price History'!N117-1),"")</f>
        <v>1.0988220052301934E-2</v>
      </c>
      <c r="O117" s="69">
        <f>IFERROR(IF(OR(NOT(ISNUMBER('Price History'!O118)),NOT(ISNUMBER('Price History'!O117)),'Price History'!O117=0),"",'Price History'!O118/'Price History'!O117-1),"")</f>
        <v>2.9363280445085405E-2</v>
      </c>
      <c r="P117" s="69" t="str">
        <f>IFERROR(IF(OR(NOT(ISNUMBER('Price History'!P118)),NOT(ISNUMBER('Price History'!P117)),'Price History'!P117=0),"",'Price History'!P118/'Price History'!P117-1),"")</f>
        <v/>
      </c>
      <c r="Q117" s="69">
        <f>IFERROR(IF(OR(NOT(ISNUMBER('Price History'!Q118)),NOT(ISNUMBER('Price History'!Q117)),'Price History'!Q117=0),"",'Price History'!Q118/'Price History'!Q117-1),"")</f>
        <v>-1.2057272042200751E-3</v>
      </c>
      <c r="R117" s="69">
        <f>IFERROR(IF(OR(NOT(ISNUMBER('Price History'!R118)),NOT(ISNUMBER('Price History'!R117)),'Price History'!R117=0),"",'Price History'!R118/'Price History'!R117-1),"")</f>
        <v>1.8615170494084898E-2</v>
      </c>
      <c r="S117" s="69">
        <f>IFERROR(IF(OR(NOT(ISNUMBER('Price History'!S118)),NOT(ISNUMBER('Price History'!S117)),'Price History'!S117=0),"",'Price History'!S118/'Price History'!S117-1),"")</f>
        <v>1.0712506228201191E-2</v>
      </c>
      <c r="T117" s="69">
        <f>IFERROR(IF(OR(NOT(ISNUMBER('Price History'!T118)),NOT(ISNUMBER('Price History'!T117)),'Price History'!T117=0),"",'Price History'!T118/'Price History'!T117-1),"")</f>
        <v>2.6152601779455331E-2</v>
      </c>
      <c r="U117" s="69" t="str">
        <f>IFERROR(IF(OR(NOT(ISNUMBER('Price History'!U118)),NOT(ISNUMBER('Price History'!U117)),'Price History'!U117=0),"",'Price History'!U118/'Price History'!U117-1),"")</f>
        <v/>
      </c>
    </row>
    <row r="118" spans="1:21" ht="15" customHeight="1" x14ac:dyDescent="0.2">
      <c r="A118" s="52">
        <f>'Price History'!A119</f>
        <v>45961</v>
      </c>
      <c r="B118" s="69">
        <f>IFERROR(IF(OR(NOT(ISNUMBER('Price History'!B119)),NOT(ISNUMBER('Price History'!B118)),'Price History'!B118=0),"",'Price History'!B119/'Price History'!B118-1),"")</f>
        <v>-3.7367051369088022E-2</v>
      </c>
      <c r="C118" s="69">
        <f>IFERROR(IF(OR(NOT(ISNUMBER('Price History'!C119)),NOT(ISNUMBER('Price History'!C118)),'Price History'!C118=0),"",'Price History'!C119/'Price History'!C118-1),"")</f>
        <v>2.5159277077103193E-2</v>
      </c>
      <c r="D118" s="69">
        <f>IFERROR(IF(OR(NOT(ISNUMBER('Price History'!D119)),NOT(ISNUMBER('Price History'!D118)),'Price History'!D118=0),"",'Price History'!D119/'Price History'!D118-1),"")</f>
        <v>2.5292808053431592E-2</v>
      </c>
      <c r="E118" s="69">
        <f>IFERROR(IF(OR(NOT(ISNUMBER('Price History'!E119)),NOT(ISNUMBER('Price History'!E118)),'Price History'!E118=0),"",'Price History'!E119/'Price History'!E118-1),"")</f>
        <v>4.3769237285742557E-2</v>
      </c>
      <c r="F118" s="69">
        <f>IFERROR(IF(OR(NOT(ISNUMBER('Price History'!F119)),NOT(ISNUMBER('Price History'!F118)),'Price History'!F118=0),"",'Price History'!F119/'Price History'!F118-1),"")</f>
        <v>2.9735265114162024E-2</v>
      </c>
      <c r="G118" s="69">
        <f>IFERROR(IF(OR(NOT(ISNUMBER('Price History'!G119)),NOT(ISNUMBER('Price History'!G118)),'Price History'!G118=0),"",'Price History'!G119/'Price History'!G118-1),"")</f>
        <v>2.1897193101116041E-2</v>
      </c>
      <c r="H118" s="69">
        <f>IFERROR(IF(OR(NOT(ISNUMBER('Price History'!H119)),NOT(ISNUMBER('Price History'!H118)),'Price History'!H118=0),"",'Price History'!H119/'Price History'!H118-1),"")</f>
        <v>2.168751712172412E-2</v>
      </c>
      <c r="I118" s="69">
        <f>IFERROR(IF(OR(NOT(ISNUMBER('Price History'!I119)),NOT(ISNUMBER('Price History'!I118)),'Price History'!I118=0),"",'Price History'!I119/'Price History'!I118-1),"")</f>
        <v>8.7136261140341453E-2</v>
      </c>
      <c r="J118" s="69">
        <f>IFERROR(IF(OR(NOT(ISNUMBER('Price History'!J119)),NOT(ISNUMBER('Price History'!J118)),'Price History'!J118=0),"",'Price History'!J119/'Price History'!J118-1),"")</f>
        <v>-1.8508265443328398E-2</v>
      </c>
      <c r="K118" s="69">
        <f>IFERROR(IF(OR(NOT(ISNUMBER('Price History'!K119)),NOT(ISNUMBER('Price History'!K118)),'Price History'!K118=0),"",'Price History'!K119/'Price History'!K118-1),"")</f>
        <v>8.5793208037697077E-2</v>
      </c>
      <c r="L118" s="69">
        <f>IFERROR(IF(OR(NOT(ISNUMBER('Price History'!L119)),NOT(ISNUMBER('Price History'!L118)),'Price History'!L118=0),"",'Price History'!L119/'Price History'!L118-1),"")</f>
        <v>1.8544887442365265E-2</v>
      </c>
      <c r="M118" s="69">
        <f>IFERROR(IF(OR(NOT(ISNUMBER('Price History'!M119)),NOT(ISNUMBER('Price History'!M118)),'Price History'!M118=0),"",'Price History'!M119/'Price History'!M118-1),"")</f>
        <v>3.6547350317102101E-2</v>
      </c>
      <c r="N118" s="69">
        <f>IFERROR(IF(OR(NOT(ISNUMBER('Price History'!N119)),NOT(ISNUMBER('Price History'!N118)),'Price History'!N118=0),"",'Price History'!N119/'Price History'!N118-1),"")</f>
        <v>9.919551958992967E-3</v>
      </c>
      <c r="O118" s="69">
        <f>IFERROR(IF(OR(NOT(ISNUMBER('Price History'!O119)),NOT(ISNUMBER('Price History'!O118)),'Price History'!O118=0),"",'Price History'!O119/'Price History'!O118-1),"")</f>
        <v>-2.1119007106395804E-2</v>
      </c>
      <c r="P118" s="69" t="str">
        <f>IFERROR(IF(OR(NOT(ISNUMBER('Price History'!P119)),NOT(ISNUMBER('Price History'!P118)),'Price History'!P118=0),"",'Price History'!P119/'Price History'!P118-1),"")</f>
        <v/>
      </c>
      <c r="Q118" s="69">
        <f>IFERROR(IF(OR(NOT(ISNUMBER('Price History'!Q119)),NOT(ISNUMBER('Price History'!Q118)),'Price History'!Q118=0),"",'Price History'!Q119/'Price History'!Q118-1),"")</f>
        <v>3.0179568432187054E-4</v>
      </c>
      <c r="R118" s="69">
        <f>IFERROR(IF(OR(NOT(ISNUMBER('Price History'!R119)),NOT(ISNUMBER('Price History'!R118)),'Price History'!R118=0),"",'Price History'!R119/'Price History'!R118-1),"")</f>
        <v>9.3936806148591234E-3</v>
      </c>
      <c r="S118" s="69">
        <f>IFERROR(IF(OR(NOT(ISNUMBER('Price History'!S119)),NOT(ISNUMBER('Price History'!S118)),'Price History'!S118=0),"",'Price History'!S119/'Price History'!S118-1),"")</f>
        <v>-8.2162517459405393E-5</v>
      </c>
      <c r="T118" s="69">
        <f>IFERROR(IF(OR(NOT(ISNUMBER('Price History'!T119)),NOT(ISNUMBER('Price History'!T118)),'Price History'!T118=0),"",'Price History'!T119/'Price History'!T118-1),"")</f>
        <v>-6.3058328954282983E-3</v>
      </c>
      <c r="U118" s="69" t="str">
        <f>IFERROR(IF(OR(NOT(ISNUMBER('Price History'!U119)),NOT(ISNUMBER('Price History'!U118)),'Price History'!U118=0),"",'Price History'!U119/'Price History'!U118-1),"")</f>
        <v/>
      </c>
    </row>
    <row r="119" spans="1:21" ht="15" customHeight="1" x14ac:dyDescent="0.2">
      <c r="A119" s="52">
        <f>'Price History'!A120</f>
        <v>45968</v>
      </c>
      <c r="B119" s="69">
        <f>IFERROR(IF(OR(NOT(ISNUMBER('Price History'!B120)),NOT(ISNUMBER('Price History'!B119)),'Price History'!B119=0),"",'Price History'!B120/'Price History'!B119-1),"")</f>
        <v>-3.9258323293467789E-2</v>
      </c>
      <c r="C119" s="69">
        <f>IFERROR(IF(OR(NOT(ISNUMBER('Price History'!C120)),NOT(ISNUMBER('Price History'!C119)),'Price History'!C119=0),"",'Price History'!C120/'Price History'!C119-1),"")</f>
        <v>-0.14610945526032082</v>
      </c>
      <c r="D119" s="69">
        <f>IFERROR(IF(OR(NOT(ISNUMBER('Price History'!D120)),NOT(ISNUMBER('Price History'!D119)),'Price History'!D119=0),"",'Price History'!D120/'Price History'!D119-1),"")</f>
        <v>-3.9906347063432879E-2</v>
      </c>
      <c r="E119" s="69">
        <f>IFERROR(IF(OR(NOT(ISNUMBER('Price History'!E120)),NOT(ISNUMBER('Price History'!E119)),'Price History'!E119=0),"",'Price History'!E120/'Price History'!E119-1),"")</f>
        <v>-5.4649243838432948E-2</v>
      </c>
      <c r="F119" s="69">
        <f>IFERROR(IF(OR(NOT(ISNUMBER('Price History'!F120)),NOT(ISNUMBER('Price History'!F119)),'Price History'!F119=0),"",'Price History'!F120/'Price History'!F119-1),"")</f>
        <v>-5.8931860036832706E-3</v>
      </c>
      <c r="G119" s="69">
        <f>IFERROR(IF(OR(NOT(ISNUMBER('Price History'!G120)),NOT(ISNUMBER('Price History'!G119)),'Price History'!G119=0),"",'Price History'!G120/'Price History'!G119-1),"")</f>
        <v>-1.2658227848101222E-2</v>
      </c>
      <c r="H119" s="69">
        <f>IFERROR(IF(OR(NOT(ISNUMBER('Price History'!H120)),NOT(ISNUMBER('Price History'!H119)),'Price History'!H119=0),"",'Price History'!H120/'Price History'!H119-1),"")</f>
        <v>6.3234571211511659E-2</v>
      </c>
      <c r="I119" s="69">
        <f>IFERROR(IF(OR(NOT(ISNUMBER('Price History'!I120)),NOT(ISNUMBER('Price History'!I119)),'Price History'!I119=0),"",'Price History'!I120/'Price History'!I119-1),"")</f>
        <v>-7.0818312015408225E-2</v>
      </c>
      <c r="J119" s="69">
        <f>IFERROR(IF(OR(NOT(ISNUMBER('Price History'!J120)),NOT(ISNUMBER('Price History'!J119)),'Price History'!J119=0),"",'Price History'!J120/'Price History'!J119-1),"")</f>
        <v>1.2168587315657842E-2</v>
      </c>
      <c r="K119" s="69">
        <f>IFERROR(IF(OR(NOT(ISNUMBER('Price History'!K120)),NOT(ISNUMBER('Price History'!K119)),'Price History'!K119=0),"",'Price History'!K120/'Price History'!K119-1),"")</f>
        <v>-0.1124357759265725</v>
      </c>
      <c r="L119" s="69">
        <f>IFERROR(IF(OR(NOT(ISNUMBER('Price History'!L120)),NOT(ISNUMBER('Price History'!L119)),'Price History'!L119=0),"",'Price History'!L120/'Price History'!L119-1),"")</f>
        <v>-4.636687414705587E-2</v>
      </c>
      <c r="M119" s="69">
        <f>IFERROR(IF(OR(NOT(ISNUMBER('Price History'!M120)),NOT(ISNUMBER('Price History'!M119)),'Price History'!M119=0),"",'Price History'!M120/'Price History'!M119-1),"")</f>
        <v>-6.771751529606973E-2</v>
      </c>
      <c r="N119" s="69">
        <f>IFERROR(IF(OR(NOT(ISNUMBER('Price History'!N120)),NOT(ISNUMBER('Price History'!N119)),'Price History'!N119=0),"",'Price History'!N120/'Price History'!N119-1),"")</f>
        <v>-3.7831614070540587E-2</v>
      </c>
      <c r="O119" s="69">
        <f>IFERROR(IF(OR(NOT(ISNUMBER('Price History'!O120)),NOT(ISNUMBER('Price History'!O119)),'Price History'!O119=0),"",'Price History'!O120/'Price History'!O119-1),"")</f>
        <v>-6.1349693251533388E-4</v>
      </c>
      <c r="P119" s="69" t="str">
        <f>IFERROR(IF(OR(NOT(ISNUMBER('Price History'!P120)),NOT(ISNUMBER('Price History'!P119)),'Price History'!P119=0),"",'Price History'!P120/'Price History'!P119-1),"")</f>
        <v/>
      </c>
      <c r="Q119" s="69">
        <f>IFERROR(IF(OR(NOT(ISNUMBER('Price History'!Q120)),NOT(ISNUMBER('Price History'!Q119)),'Price History'!Q119=0),"",'Price History'!Q120/'Price History'!Q119-1),"")</f>
        <v>1.0710514406396143E-2</v>
      </c>
      <c r="R119" s="69">
        <f>IFERROR(IF(OR(NOT(ISNUMBER('Price History'!R120)),NOT(ISNUMBER('Price History'!R119)),'Price History'!R119=0),"",'Price History'!R120/'Price History'!R119-1),"")</f>
        <v>-2.3519458544839278E-2</v>
      </c>
      <c r="S119" s="69">
        <f>IFERROR(IF(OR(NOT(ISNUMBER('Price History'!S120)),NOT(ISNUMBER('Price History'!S119)),'Price History'!S119=0),"",'Price History'!S120/'Price History'!S119-1),"")</f>
        <v>-2.6047658175842203E-2</v>
      </c>
      <c r="T119" s="69">
        <f>IFERROR(IF(OR(NOT(ISNUMBER('Price History'!T120)),NOT(ISNUMBER('Price History'!T119)),'Price History'!T119=0),"",'Price History'!T120/'Price History'!T119-1),"")</f>
        <v>1.5864621893177944E-3</v>
      </c>
      <c r="U119" s="69" t="str">
        <f>IFERROR(IF(OR(NOT(ISNUMBER('Price History'!U120)),NOT(ISNUMBER('Price History'!U119)),'Price History'!U119=0),"",'Price History'!U120/'Price History'!U119-1),"")</f>
        <v/>
      </c>
    </row>
    <row r="120" spans="1:21" ht="15" customHeight="1" x14ac:dyDescent="0.2">
      <c r="A120" s="52">
        <f>'Price History'!A121</f>
        <v>45975</v>
      </c>
      <c r="B120" s="69">
        <f>IFERROR(IF(OR(NOT(ISNUMBER('Price History'!B121)),NOT(ISNUMBER('Price History'!B120)),'Price History'!B120=0),"",'Price History'!B121/'Price History'!B120-1),"")</f>
        <v>1.2723658051689846E-2</v>
      </c>
      <c r="C120" s="69">
        <f>IFERROR(IF(OR(NOT(ISNUMBER('Price History'!C121)),NOT(ISNUMBER('Price History'!C120)),'Price History'!C120=0),"",'Price History'!C121/'Price History'!C120-1),"")</f>
        <v>-2.4359450427033025E-2</v>
      </c>
      <c r="D120" s="69">
        <f>IFERROR(IF(OR(NOT(ISNUMBER('Price History'!D121)),NOT(ISNUMBER('Price History'!D120)),'Price History'!D120=0),"",'Price History'!D121/'Price History'!D120-1),"")</f>
        <v>-9.8135619886721148E-3</v>
      </c>
      <c r="E120" s="69">
        <f>IFERROR(IF(OR(NOT(ISNUMBER('Price History'!E121)),NOT(ISNUMBER('Price History'!E120)),'Price History'!E120=0),"",'Price History'!E121/'Price History'!E120-1),"")</f>
        <v>-1.9946770454740692E-2</v>
      </c>
      <c r="F120" s="69">
        <f>IFERROR(IF(OR(NOT(ISNUMBER('Price History'!F121)),NOT(ISNUMBER('Price History'!F120)),'Price History'!F120=0),"",'Price History'!F121/'Price History'!F120-1),"")</f>
        <v>-4.1496850685439624E-3</v>
      </c>
      <c r="G120" s="69">
        <f>IFERROR(IF(OR(NOT(ISNUMBER('Price History'!G121)),NOT(ISNUMBER('Price History'!G120)),'Price History'!G120=0),"",'Price History'!G121/'Price History'!G120-1),"")</f>
        <v>-4.9522373051784752E-2</v>
      </c>
      <c r="H120" s="69">
        <f>IFERROR(IF(OR(NOT(ISNUMBER('Price History'!H121)),NOT(ISNUMBER('Price History'!H120)),'Price History'!H120=0),"",'Price History'!H121/'Price History'!H120-1),"")</f>
        <v>3.7449562878278497E-2</v>
      </c>
      <c r="I120" s="69">
        <f>IFERROR(IF(OR(NOT(ISNUMBER('Price History'!I121)),NOT(ISNUMBER('Price History'!I120)),'Price History'!I120=0),"",'Price History'!I121/'Price History'!I120-1),"")</f>
        <v>1.0736114802019525E-2</v>
      </c>
      <c r="J120" s="69">
        <f>IFERROR(IF(OR(NOT(ISNUMBER('Price History'!J121)),NOT(ISNUMBER('Price History'!J120)),'Price History'!J120=0),"",'Price History'!J121/'Price History'!J120-1),"")</f>
        <v>-2.2054140127388489E-2</v>
      </c>
      <c r="K120" s="69">
        <f>IFERROR(IF(OR(NOT(ISNUMBER('Price History'!K121)),NOT(ISNUMBER('Price History'!K120)),'Price History'!K120=0),"",'Price History'!K121/'Price History'!K120-1),"")</f>
        <v>-2.2031135839937099E-2</v>
      </c>
      <c r="L120" s="69">
        <f>IFERROR(IF(OR(NOT(ISNUMBER('Price History'!L121)),NOT(ISNUMBER('Price History'!L120)),'Price History'!L120=0),"",'Price History'!L121/'Price History'!L120-1),"")</f>
        <v>-5.8638743455498021E-3</v>
      </c>
      <c r="M120" s="69">
        <f>IFERROR(IF(OR(NOT(ISNUMBER('Price History'!M121)),NOT(ISNUMBER('Price History'!M120)),'Price History'!M120=0),"",'Price History'!M121/'Price History'!M120-1),"")</f>
        <v>-4.9110122358175801E-2</v>
      </c>
      <c r="N120" s="69">
        <f>IFERROR(IF(OR(NOT(ISNUMBER('Price History'!N121)),NOT(ISNUMBER('Price History'!N120)),'Price History'!N120=0),"",'Price History'!N121/'Price History'!N120-1),"")</f>
        <v>6.7599579944806587E-2</v>
      </c>
      <c r="O120" s="69">
        <f>IFERROR(IF(OR(NOT(ISNUMBER('Price History'!O121)),NOT(ISNUMBER('Price History'!O120)),'Price History'!O120=0),"",'Price History'!O121/'Price History'!O120-1),"")</f>
        <v>-1.5346838551257846E-3</v>
      </c>
      <c r="P120" s="69" t="str">
        <f>IFERROR(IF(OR(NOT(ISNUMBER('Price History'!P121)),NOT(ISNUMBER('Price History'!P120)),'Price History'!P120=0),"",'Price History'!P121/'Price History'!P120-1),"")</f>
        <v/>
      </c>
      <c r="Q120" s="69">
        <f>IFERROR(IF(OR(NOT(ISNUMBER('Price History'!Q121)),NOT(ISNUMBER('Price History'!Q120)),'Price History'!Q120=0),"",'Price History'!Q121/'Price History'!Q120-1),"")</f>
        <v>-8.3582089552238781E-3</v>
      </c>
      <c r="R120" s="69">
        <f>IFERROR(IF(OR(NOT(ISNUMBER('Price History'!R121)),NOT(ISNUMBER('Price History'!R120)),'Price History'!R120=0),"",'Price History'!R121/'Price History'!R120-1),"")</f>
        <v>1.906082134812026E-3</v>
      </c>
      <c r="S120" s="69">
        <f>IFERROR(IF(OR(NOT(ISNUMBER('Price History'!S121)),NOT(ISNUMBER('Price History'!S120)),'Price History'!S120=0),"",'Price History'!S121/'Price History'!S120-1),"")</f>
        <v>-5.9056778874546634E-3</v>
      </c>
      <c r="T120" s="69">
        <f>IFERROR(IF(OR(NOT(ISNUMBER('Price History'!T121)),NOT(ISNUMBER('Price History'!T120)),'Price History'!T120=0),"",'Price History'!T121/'Price History'!T120-1),"")</f>
        <v>1.1087645195353657E-2</v>
      </c>
      <c r="U120" s="69" t="str">
        <f>IFERROR(IF(OR(NOT(ISNUMBER('Price History'!U121)),NOT(ISNUMBER('Price History'!U120)),'Price History'!U120=0),"",'Price History'!U121/'Price History'!U120-1),"")</f>
        <v/>
      </c>
    </row>
    <row r="121" spans="1:21" ht="15" customHeight="1" x14ac:dyDescent="0.2">
      <c r="A121" s="52">
        <f>'Price History'!A122</f>
        <v>45982</v>
      </c>
      <c r="B121" s="69">
        <f>IFERROR(IF(OR(NOT(ISNUMBER('Price History'!B122)),NOT(ISNUMBER('Price History'!B121)),'Price History'!B121=0),"",'Price History'!B122/'Price History'!B121-1),"")</f>
        <v>-2.08993989912718E-2</v>
      </c>
      <c r="C121" s="69">
        <f>IFERROR(IF(OR(NOT(ISNUMBER('Price History'!C122)),NOT(ISNUMBER('Price History'!C121)),'Price History'!C121=0),"",'Price History'!C122/'Price History'!C121-1),"")</f>
        <v>-0.10611250666057692</v>
      </c>
      <c r="D121" s="69">
        <f>IFERROR(IF(OR(NOT(ISNUMBER('Price History'!D122)),NOT(ISNUMBER('Price History'!D121)),'Price History'!D121=0),"",'Price History'!D122/'Price History'!D121-1),"")</f>
        <v>-4.0129893344455714E-2</v>
      </c>
      <c r="E121" s="69">
        <f>IFERROR(IF(OR(NOT(ISNUMBER('Price History'!E122)),NOT(ISNUMBER('Price History'!E121)),'Price History'!E121=0),"",'Price History'!E122/'Price History'!E121-1),"")</f>
        <v>-6.599310868422581E-3</v>
      </c>
      <c r="F121" s="69">
        <f>IFERROR(IF(OR(NOT(ISNUMBER('Price History'!F122)),NOT(ISNUMBER('Price History'!F121)),'Price History'!F121=0),"",'Price History'!F122/'Price History'!F121-1),"")</f>
        <v>-8.7208869707567471E-2</v>
      </c>
      <c r="G121" s="69">
        <f>IFERROR(IF(OR(NOT(ISNUMBER('Price History'!G122)),NOT(ISNUMBER('Price History'!G121)),'Price History'!G121=0),"",'Price History'!G122/'Price History'!G121-1),"")</f>
        <v>-3.2795556731023634E-2</v>
      </c>
      <c r="H121" s="69">
        <f>IFERROR(IF(OR(NOT(ISNUMBER('Price History'!H122)),NOT(ISNUMBER('Price History'!H121)),'Price History'!H121=0),"",'Price History'!H122/'Price History'!H121-1),"")</f>
        <v>-0.15986711501843376</v>
      </c>
      <c r="I121" s="69">
        <f>IFERROR(IF(OR(NOT(ISNUMBER('Price History'!I122)),NOT(ISNUMBER('Price History'!I121)),'Price History'!I121=0),"",'Price History'!I122/'Price History'!I121-1),"")</f>
        <v>-5.9367933953830776E-2</v>
      </c>
      <c r="J121" s="69">
        <f>IFERROR(IF(OR(NOT(ISNUMBER('Price History'!J122)),NOT(ISNUMBER('Price History'!J121)),'Price History'!J121=0),"",'Price History'!J122/'Price History'!J121-1),"")</f>
        <v>2.4098347309289281E-2</v>
      </c>
      <c r="K121" s="69">
        <f>IFERROR(IF(OR(NOT(ISNUMBER('Price History'!K122)),NOT(ISNUMBER('Price History'!K121)),'Price History'!K121=0),"",'Price History'!K122/'Price History'!K121-1),"")</f>
        <v>-0.11010861444744557</v>
      </c>
      <c r="L121" s="69">
        <f>IFERROR(IF(OR(NOT(ISNUMBER('Price History'!L122)),NOT(ISNUMBER('Price History'!L121)),'Price History'!L121=0),"",'Price History'!L122/'Price History'!L121-1),"")</f>
        <v>-3.4267256512885313E-2</v>
      </c>
      <c r="M121" s="69">
        <f>IFERROR(IF(OR(NOT(ISNUMBER('Price History'!M122)),NOT(ISNUMBER('Price History'!M121)),'Price History'!M121=0),"",'Price History'!M122/'Price History'!M121-1),"")</f>
        <v>-6.5157629993566002E-2</v>
      </c>
      <c r="N121" s="69">
        <f>IFERROR(IF(OR(NOT(ISNUMBER('Price History'!N122)),NOT(ISNUMBER('Price History'!N121)),'Price History'!N121=0),"",'Price History'!N122/'Price History'!N121-1),"")</f>
        <v>-2.3767585496969001E-2</v>
      </c>
      <c r="O121" s="69">
        <f>IFERROR(IF(OR(NOT(ISNUMBER('Price History'!O122)),NOT(ISNUMBER('Price History'!O121)),'Price History'!O121=0),"",'Price History'!O122/'Price History'!O121-1),"")</f>
        <v>-7.7876831642587074E-3</v>
      </c>
      <c r="P121" s="69" t="str">
        <f>IFERROR(IF(OR(NOT(ISNUMBER('Price History'!P122)),NOT(ISNUMBER('Price History'!P121)),'Price History'!P121=0),"",'Price History'!P122/'Price History'!P121-1),"")</f>
        <v/>
      </c>
      <c r="Q121" s="69">
        <f>IFERROR(IF(OR(NOT(ISNUMBER('Price History'!Q122)),NOT(ISNUMBER('Price History'!Q121)),'Price History'!Q121=0),"",'Price History'!Q122/'Price History'!Q121-1),"")</f>
        <v>9.1812161348585608E-3</v>
      </c>
      <c r="R121" s="69">
        <f>IFERROR(IF(OR(NOT(ISNUMBER('Price History'!R122)),NOT(ISNUMBER('Price History'!R121)),'Price History'!R121=0),"",'Price History'!R122/'Price History'!R121-1),"")</f>
        <v>-2.7326184711172541E-2</v>
      </c>
      <c r="S121" s="69">
        <f>IFERROR(IF(OR(NOT(ISNUMBER('Price History'!S122)),NOT(ISNUMBER('Price History'!S121)),'Price History'!S121=0),"",'Price History'!S122/'Price History'!S121-1),"")</f>
        <v>-2.9958414665195665E-2</v>
      </c>
      <c r="T121" s="69">
        <f>IFERROR(IF(OR(NOT(ISNUMBER('Price History'!T122)),NOT(ISNUMBER('Price History'!T121)),'Price History'!T121=0),"",'Price History'!T122/'Price History'!T121-1),"")</f>
        <v>-2.0104438642297495E-2</v>
      </c>
      <c r="U121" s="69" t="str">
        <f>IFERROR(IF(OR(NOT(ISNUMBER('Price History'!U122)),NOT(ISNUMBER('Price History'!U121)),'Price History'!U121=0),"",'Price History'!U122/'Price History'!U121-1),"")</f>
        <v/>
      </c>
    </row>
    <row r="122" spans="1:21" ht="15" customHeight="1" x14ac:dyDescent="0.2">
      <c r="A122" s="52">
        <f>'Price History'!A123</f>
        <v>45989</v>
      </c>
      <c r="B122" s="69">
        <f>IFERROR(IF(OR(NOT(ISNUMBER('Price History'!B123)),NOT(ISNUMBER('Price History'!B122)),'Price History'!B122=0),"",'Price History'!B123/'Price History'!B122-1),"")</f>
        <v>-1.2523520157932122E-2</v>
      </c>
      <c r="C122" s="69">
        <f>IFERROR(IF(OR(NOT(ISNUMBER('Price History'!C123)),NOT(ISNUMBER('Price History'!C122)),'Price History'!C122=0),"",'Price History'!C123/'Price History'!C122-1),"")</f>
        <v>0.11283317721195596</v>
      </c>
      <c r="D122" s="69">
        <f>IFERROR(IF(OR(NOT(ISNUMBER('Price History'!D123)),NOT(ISNUMBER('Price History'!D122)),'Price History'!D122=0),"",'Price History'!D123/'Price History'!D122-1),"")</f>
        <v>9.6661390276958636E-2</v>
      </c>
      <c r="E122" s="69">
        <f>IFERROR(IF(OR(NOT(ISNUMBER('Price History'!E123)),NOT(ISNUMBER('Price History'!E122)),'Price History'!E122=0),"",'Price History'!E123/'Price History'!E122-1),"")</f>
        <v>0.18447971781305106</v>
      </c>
      <c r="F122" s="69">
        <f>IFERROR(IF(OR(NOT(ISNUMBER('Price History'!F123)),NOT(ISNUMBER('Price History'!F122)),'Price History'!F122=0),"",'Price History'!F123/'Price History'!F122-1),"")</f>
        <v>3.7662020053802925E-2</v>
      </c>
      <c r="G122" s="69">
        <f>IFERROR(IF(OR(NOT(ISNUMBER('Price History'!G123)),NOT(ISNUMBER('Price History'!G122)),'Price History'!G122=0),"",'Price History'!G123/'Price History'!G122-1),"")</f>
        <v>7.146112478352018E-2</v>
      </c>
      <c r="H122" s="69">
        <f>IFERROR(IF(OR(NOT(ISNUMBER('Price History'!H123)),NOT(ISNUMBER('Price History'!H122)),'Price History'!H122=0),"",'Price History'!H123/'Price History'!H122-1),"")</f>
        <v>0.14037710372763645</v>
      </c>
      <c r="I122" s="69">
        <f>IFERROR(IF(OR(NOT(ISNUMBER('Price History'!I123)),NOT(ISNUMBER('Price History'!I122)),'Price History'!I122=0),"",'Price History'!I123/'Price History'!I122-1),"")</f>
        <v>-1.0509838998211118E-2</v>
      </c>
      <c r="J122" s="69">
        <f>IFERROR(IF(OR(NOT(ISNUMBER('Price History'!J123)),NOT(ISNUMBER('Price History'!J122)),'Price History'!J122=0),"",'Price History'!J123/'Price History'!J122-1),"")</f>
        <v>2.1782335638762973E-2</v>
      </c>
      <c r="K122" s="69">
        <f>IFERROR(IF(OR(NOT(ISNUMBER('Price History'!K123)),NOT(ISNUMBER('Price History'!K122)),'Price History'!K122=0),"",'Price History'!K123/'Price History'!K122-1),"")</f>
        <v>8.782692928640623E-2</v>
      </c>
      <c r="L122" s="69">
        <f>IFERROR(IF(OR(NOT(ISNUMBER('Price History'!L123)),NOT(ISNUMBER('Price History'!L122)),'Price History'!L122=0),"",'Price History'!L123/'Price History'!L122-1),"")</f>
        <v>5.9805133425434365E-2</v>
      </c>
      <c r="M122" s="69">
        <f>IFERROR(IF(OR(NOT(ISNUMBER('Price History'!M123)),NOT(ISNUMBER('Price History'!M122)),'Price History'!M122=0),"",'Price History'!M123/'Price History'!M122-1),"")</f>
        <v>0.12450728899455665</v>
      </c>
      <c r="N122" s="69">
        <f>IFERROR(IF(OR(NOT(ISNUMBER('Price History'!N123)),NOT(ISNUMBER('Price History'!N122)),'Price History'!N122=0),"",'Price History'!N123/'Price History'!N122-1),"")</f>
        <v>1.6051176305183379E-2</v>
      </c>
      <c r="O122" s="69">
        <f>IFERROR(IF(OR(NOT(ISNUMBER('Price History'!O123)),NOT(ISNUMBER('Price History'!O122)),'Price History'!O122=0),"",'Price History'!O123/'Price History'!O122-1),"")</f>
        <v>4.4407724878653188E-2</v>
      </c>
      <c r="P122" s="69" t="str">
        <f>IFERROR(IF(OR(NOT(ISNUMBER('Price History'!P123)),NOT(ISNUMBER('Price History'!P122)),'Price History'!P122=0),"",'Price History'!P123/'Price History'!P122-1),"")</f>
        <v/>
      </c>
      <c r="Q122" s="69">
        <f>IFERROR(IF(OR(NOT(ISNUMBER('Price History'!Q123)),NOT(ISNUMBER('Price History'!Q122)),'Price History'!Q122=0),"",'Price History'!Q123/'Price History'!Q122-1),"")</f>
        <v>-4.6234153616704354E-3</v>
      </c>
      <c r="R122" s="69">
        <f>IFERROR(IF(OR(NOT(ISNUMBER('Price History'!R123)),NOT(ISNUMBER('Price History'!R122)),'Price History'!R122=0),"",'Price History'!R123/'Price History'!R122-1),"")</f>
        <v>4.5697012802276005E-2</v>
      </c>
      <c r="S122" s="69">
        <f>IFERROR(IF(OR(NOT(ISNUMBER('Price History'!S123)),NOT(ISNUMBER('Price History'!S122)),'Price History'!S122=0),"",'Price History'!S123/'Price History'!S122-1),"")</f>
        <v>5.0918635170603688E-2</v>
      </c>
      <c r="T122" s="69">
        <f>IFERROR(IF(OR(NOT(ISNUMBER('Price History'!T123)),NOT(ISNUMBER('Price History'!T122)),'Price History'!T122=0),"",'Price History'!T123/'Price History'!T122-1),"")</f>
        <v>3.4372501998401361E-2</v>
      </c>
      <c r="U122" s="69" t="str">
        <f>IFERROR(IF(OR(NOT(ISNUMBER('Price History'!U123)),NOT(ISNUMBER('Price History'!U122)),'Price History'!U122=0),"",'Price History'!U123/'Price History'!U122-1),"")</f>
        <v/>
      </c>
    </row>
    <row r="123" spans="1:21" ht="15" customHeight="1" x14ac:dyDescent="0.2">
      <c r="A123" s="52">
        <f>'Price History'!A124</f>
        <v>45996</v>
      </c>
      <c r="B123" s="69">
        <f>IFERROR(IF(OR(NOT(ISNUMBER('Price History'!B124)),NOT(ISNUMBER('Price History'!B123)),'Price History'!B123=0),"",'Price History'!B124/'Price History'!B123-1),"")</f>
        <v>8.1623090619435734E-2</v>
      </c>
      <c r="C123" s="69">
        <f>IFERROR(IF(OR(NOT(ISNUMBER('Price History'!C124)),NOT(ISNUMBER('Price History'!C123)),'Price History'!C123=0),"",'Price History'!C124/'Price History'!C123-1),"")</f>
        <v>-1.5993265993266004E-2</v>
      </c>
      <c r="D123" s="69">
        <f>IFERROR(IF(OR(NOT(ISNUMBER('Price History'!D124)),NOT(ISNUMBER('Price History'!D123)),'Price History'!D123=0),"",'Price History'!D124/'Price History'!D123-1),"")</f>
        <v>3.723584905660382E-2</v>
      </c>
      <c r="E123" s="69">
        <f>IFERROR(IF(OR(NOT(ISNUMBER('Price History'!E124)),NOT(ISNUMBER('Price History'!E123)),'Price History'!E123=0),"",'Price History'!E124/'Price History'!E123-1),"")</f>
        <v>-3.1566408576533589E-2</v>
      </c>
      <c r="F123" s="69">
        <f>IFERROR(IF(OR(NOT(ISNUMBER('Price History'!F124)),NOT(ISNUMBER('Price History'!F123)),'Price History'!F123=0),"",'Price History'!F124/'Price History'!F123-1),"")</f>
        <v>5.6563752062219752E-3</v>
      </c>
      <c r="G123" s="69">
        <f>IFERROR(IF(OR(NOT(ISNUMBER('Price History'!G124)),NOT(ISNUMBER('Price History'!G123)),'Price History'!G123=0),"",'Price History'!G124/'Price History'!G123-1),"")</f>
        <v>3.3177371331348349E-2</v>
      </c>
      <c r="H123" s="69">
        <f>IFERROR(IF(OR(NOT(ISNUMBER('Price History'!H124)),NOT(ISNUMBER('Price History'!H123)),'Price History'!H123=0),"",'Price History'!H124/'Price History'!H123-1),"")</f>
        <v>3.1292286874153863E-3</v>
      </c>
      <c r="I123" s="69">
        <f>IFERROR(IF(OR(NOT(ISNUMBER('Price History'!I124)),NOT(ISNUMBER('Price History'!I123)),'Price History'!I123=0),"",'Price History'!I124/'Price History'!I123-1),"")</f>
        <v>3.0564971751412484E-2</v>
      </c>
      <c r="J123" s="69">
        <f>IFERROR(IF(OR(NOT(ISNUMBER('Price History'!J124)),NOT(ISNUMBER('Price History'!J123)),'Price History'!J123=0),"",'Price History'!J124/'Price History'!J123-1),"")</f>
        <v>-4.2791566171321849E-3</v>
      </c>
      <c r="K123" s="69">
        <f>IFERROR(IF(OR(NOT(ISNUMBER('Price History'!K124)),NOT(ISNUMBER('Price History'!K123)),'Price History'!K123=0),"",'Price History'!K124/'Price History'!K123-1),"")</f>
        <v>7.9014544375185514E-2</v>
      </c>
      <c r="L123" s="69">
        <f>IFERROR(IF(OR(NOT(ISNUMBER('Price History'!L124)),NOT(ISNUMBER('Price History'!L123)),'Price History'!L123=0),"",'Price History'!L124/'Price History'!L123-1),"")</f>
        <v>1.1011629103632847E-2</v>
      </c>
      <c r="M123" s="69">
        <f>IFERROR(IF(OR(NOT(ISNUMBER('Price History'!M124)),NOT(ISNUMBER('Price History'!M123)),'Price History'!M123=0),"",'Price History'!M124/'Price History'!M123-1),"")</f>
        <v>5.1688644077227064E-2</v>
      </c>
      <c r="N123" s="69">
        <f>IFERROR(IF(OR(NOT(ISNUMBER('Price History'!N124)),NOT(ISNUMBER('Price History'!N123)),'Price History'!N123=0),"",'Price History'!N124/'Price History'!N123-1),"")</f>
        <v>5.0437028666313166E-2</v>
      </c>
      <c r="O123" s="69">
        <f>IFERROR(IF(OR(NOT(ISNUMBER('Price History'!O124)),NOT(ISNUMBER('Price History'!O123)),'Price History'!O123=0),"",'Price History'!O124/'Price History'!O123-1),"")</f>
        <v>1.7502224859092363E-2</v>
      </c>
      <c r="P123" s="69" t="str">
        <f>IFERROR(IF(OR(NOT(ISNUMBER('Price History'!P124)),NOT(ISNUMBER('Price History'!P123)),'Price History'!P123=0),"",'Price History'!P124/'Price History'!P123-1),"")</f>
        <v/>
      </c>
      <c r="Q123" s="69">
        <f>IFERROR(IF(OR(NOT(ISNUMBER('Price History'!Q124)),NOT(ISNUMBER('Price History'!Q123)),'Price History'!Q123=0),"",'Price History'!Q124/'Price History'!Q123-1),"")</f>
        <v>-2.9967036260103441E-4</v>
      </c>
      <c r="R123" s="69">
        <f>IFERROR(IF(OR(NOT(ISNUMBER('Price History'!R124)),NOT(ISNUMBER('Price History'!R123)),'Price History'!R123=0),"",'Price History'!R124/'Price History'!R123-1),"")</f>
        <v>1.7003910899493491E-4</v>
      </c>
      <c r="S123" s="69">
        <f>IFERROR(IF(OR(NOT(ISNUMBER('Price History'!S124)),NOT(ISNUMBER('Price History'!S123)),'Price History'!S123=0),"",'Price History'!S124/'Price History'!S123-1),"")</f>
        <v>6.0772560772559547E-3</v>
      </c>
      <c r="T123" s="69">
        <f>IFERROR(IF(OR(NOT(ISNUMBER('Price History'!T124)),NOT(ISNUMBER('Price History'!T123)),'Price History'!T123=0),"",'Price History'!T124/'Price History'!T123-1),"")</f>
        <v>1.5455950540958385E-2</v>
      </c>
      <c r="U123" s="69" t="str">
        <f>IFERROR(IF(OR(NOT(ISNUMBER('Price History'!U124)),NOT(ISNUMBER('Price History'!U123)),'Price History'!U123=0),"",'Price History'!U124/'Price History'!U123-1),"")</f>
        <v/>
      </c>
    </row>
    <row r="124" spans="1:21" ht="15" customHeight="1" x14ac:dyDescent="0.2">
      <c r="A124" s="52">
        <f>'Price History'!A125</f>
        <v>46003</v>
      </c>
      <c r="B124" s="69">
        <f>IFERROR(IF(OR(NOT(ISNUMBER('Price History'!B125)),NOT(ISNUMBER('Price History'!B124)),'Price History'!B124=0),"",'Price History'!B125/'Price History'!B124-1),"")</f>
        <v>2.9370992895512149E-2</v>
      </c>
      <c r="C124" s="69">
        <f>IFERROR(IF(OR(NOT(ISNUMBER('Price History'!C125)),NOT(ISNUMBER('Price History'!C124)),'Price History'!C124=0),"",'Price History'!C125/'Price History'!C124-1),"")</f>
        <v>-2.9784586670814184E-2</v>
      </c>
      <c r="D124" s="69">
        <f>IFERROR(IF(OR(NOT(ISNUMBER('Price History'!D125)),NOT(ISNUMBER('Price History'!D124)),'Price History'!D124=0),"",'Price History'!D125/'Price History'!D124-1),"")</f>
        <v>-1.693543252658114E-2</v>
      </c>
      <c r="E124" s="69">
        <f>IFERROR(IF(OR(NOT(ISNUMBER('Price History'!E125)),NOT(ISNUMBER('Price History'!E124)),'Price History'!E124=0),"",'Price History'!E125/'Price History'!E124-1),"")</f>
        <v>-7.7670151701517032E-2</v>
      </c>
      <c r="F124" s="69">
        <f>IFERROR(IF(OR(NOT(ISNUMBER('Price History'!F125)),NOT(ISNUMBER('Price History'!F124)),'Price History'!F124=0),"",'Price History'!F125/'Price History'!F124-1),"")</f>
        <v>-1.4139520349972567E-2</v>
      </c>
      <c r="G124" s="69">
        <f>IFERROR(IF(OR(NOT(ISNUMBER('Price History'!G125)),NOT(ISNUMBER('Price History'!G124)),'Price History'!G124=0),"",'Price History'!G125/'Price History'!G124-1),"")</f>
        <v>-1.696171263894608E-2</v>
      </c>
      <c r="H124" s="69">
        <f>IFERROR(IF(OR(NOT(ISNUMBER('Price History'!H125)),NOT(ISNUMBER('Price History'!H124)),'Price History'!H124=0),"",'Price History'!H125/'Price History'!H124-1),"")</f>
        <v>1.652474496248213E-2</v>
      </c>
      <c r="I124" s="69">
        <f>IFERROR(IF(OR(NOT(ISNUMBER('Price History'!I125)),NOT(ISNUMBER('Price History'!I124)),'Price History'!I124=0),"",'Price History'!I125/'Price History'!I124-1),"")</f>
        <v>-4.0513129762622557E-2</v>
      </c>
      <c r="J124" s="69">
        <f>IFERROR(IF(OR(NOT(ISNUMBER('Price History'!J125)),NOT(ISNUMBER('Price History'!J124)),'Price History'!J124=0),"",'Price History'!J125/'Price History'!J124-1),"")</f>
        <v>1.7190185966557303E-2</v>
      </c>
      <c r="K124" s="69">
        <f>IFERROR(IF(OR(NOT(ISNUMBER('Price History'!K125)),NOT(ISNUMBER('Price History'!K124)),'Price History'!K124=0),"",'Price History'!K125/'Price History'!K124-1),"")</f>
        <v>9.9581866197182567E-3</v>
      </c>
      <c r="L124" s="69">
        <f>IFERROR(IF(OR(NOT(ISNUMBER('Price History'!L125)),NOT(ISNUMBER('Price History'!L124)),'Price History'!L124=0),"",'Price History'!L125/'Price History'!L124-1),"")</f>
        <v>-9.0933767643865959E-3</v>
      </c>
      <c r="M124" s="69">
        <f>IFERROR(IF(OR(NOT(ISNUMBER('Price History'!M125)),NOT(ISNUMBER('Price History'!M124)),'Price History'!M124=0),"",'Price History'!M125/'Price History'!M124-1),"")</f>
        <v>-0.14680986139032903</v>
      </c>
      <c r="N124" s="69">
        <f>IFERROR(IF(OR(NOT(ISNUMBER('Price History'!N125)),NOT(ISNUMBER('Price History'!N124)),'Price History'!N124=0),"",'Price History'!N125/'Price History'!N124-1),"")</f>
        <v>-7.5524721173267917E-3</v>
      </c>
      <c r="O124" s="69">
        <f>IFERROR(IF(OR(NOT(ISNUMBER('Price History'!O125)),NOT(ISNUMBER('Price History'!O124)),'Price History'!O124=0),"",'Price History'!O125/'Price History'!O124-1),"")</f>
        <v>2.1477162293488838E-2</v>
      </c>
      <c r="P124" s="69" t="str">
        <f>IFERROR(IF(OR(NOT(ISNUMBER('Price History'!P125)),NOT(ISNUMBER('Price History'!P124)),'Price History'!P124=0),"",'Price History'!P125/'Price History'!P124-1),"")</f>
        <v/>
      </c>
      <c r="Q124" s="69">
        <f>IFERROR(IF(OR(NOT(ISNUMBER('Price History'!Q125)),NOT(ISNUMBER('Price History'!Q124)),'Price History'!Q124=0),"",'Price History'!Q125/'Price History'!Q124-1),"")</f>
        <v>3.747002398081456E-3</v>
      </c>
      <c r="R124" s="69">
        <f>IFERROR(IF(OR(NOT(ISNUMBER('Price History'!R125)),NOT(ISNUMBER('Price History'!R124)),'Price History'!R124=0),"",'Price History'!R125/'Price History'!R124-1),"")</f>
        <v>-1.0880652839170391E-2</v>
      </c>
      <c r="S124" s="69">
        <f>IFERROR(IF(OR(NOT(ISNUMBER('Price History'!S125)),NOT(ISNUMBER('Price History'!S124)),'Price History'!S124=0),"",'Price History'!S125/'Price History'!S124-1),"")</f>
        <v>-1.4480761274306975E-2</v>
      </c>
      <c r="T124" s="69">
        <f>IFERROR(IF(OR(NOT(ISNUMBER('Price History'!T125)),NOT(ISNUMBER('Price History'!T124)),'Price History'!T124=0),"",'Price History'!T125/'Price History'!T124-1),"")</f>
        <v>7.102993404363378E-3</v>
      </c>
      <c r="U124" s="69" t="str">
        <f>IFERROR(IF(OR(NOT(ISNUMBER('Price History'!U125)),NOT(ISNUMBER('Price History'!U124)),'Price History'!U124=0),"",'Price History'!U125/'Price History'!U124-1),"")</f>
        <v/>
      </c>
    </row>
    <row r="125" spans="1:21" ht="15" customHeight="1" x14ac:dyDescent="0.2">
      <c r="A125" s="52">
        <f>'Price History'!A126</f>
        <v>46010</v>
      </c>
      <c r="B125" s="69">
        <f>IFERROR(IF(OR(NOT(ISNUMBER('Price History'!B126)),NOT(ISNUMBER('Price History'!B125)),'Price History'!B125=0),"",'Price History'!B126/'Price History'!B125-1),"")</f>
        <v>-1.599191987206483E-3</v>
      </c>
      <c r="C125" s="69">
        <f>IFERROR(IF(OR(NOT(ISNUMBER('Price History'!C126)),NOT(ISNUMBER('Price History'!C125)),'Price History'!C125=0),"",'Price History'!C126/'Price History'!C125-1),"")</f>
        <v>5.0977877524847726E-2</v>
      </c>
      <c r="D125" s="69">
        <f>IFERROR(IF(OR(NOT(ISNUMBER('Price History'!D126)),NOT(ISNUMBER('Price History'!D125)),'Price History'!D125=0),"",'Price History'!D126/'Price History'!D125-1),"")</f>
        <v>-2.2972660406161749E-2</v>
      </c>
      <c r="E125" s="69">
        <f>IFERROR(IF(OR(NOT(ISNUMBER('Price History'!E126)),NOT(ISNUMBER('Price History'!E125)),'Price History'!E125=0),"",'Price History'!E126/'Price History'!E125-1),"")</f>
        <v>-5.4371683382880009E-2</v>
      </c>
      <c r="F125" s="69">
        <f>IFERROR(IF(OR(NOT(ISNUMBER('Price History'!F126)),NOT(ISNUMBER('Price History'!F125)),'Price History'!F125=0),"",'Price History'!F126/'Price History'!F125-1),"")</f>
        <v>-4.6592709984152214E-2</v>
      </c>
      <c r="G125" s="69">
        <f>IFERROR(IF(OR(NOT(ISNUMBER('Price History'!G126)),NOT(ISNUMBER('Price History'!G125)),'Price History'!G125=0),"",'Price History'!G126/'Price History'!G125-1),"")</f>
        <v>4.3387218359996593E-2</v>
      </c>
      <c r="H125" s="69">
        <f>IFERROR(IF(OR(NOT(ISNUMBER('Price History'!H126)),NOT(ISNUMBER('Price History'!H125)),'Price History'!H125=0),"",'Price History'!H126/'Price History'!H125-1),"")</f>
        <v>0.10276188106494155</v>
      </c>
      <c r="I125" s="69">
        <f>IFERROR(IF(OR(NOT(ISNUMBER('Price History'!I126)),NOT(ISNUMBER('Price History'!I125)),'Price History'!I125=0),"",'Price History'!I126/'Price History'!I125-1),"")</f>
        <v>3.4110387384298946E-2</v>
      </c>
      <c r="J125" s="69">
        <f>IFERROR(IF(OR(NOT(ISNUMBER('Price History'!J126)),NOT(ISNUMBER('Price History'!J125)),'Price History'!J125=0),"",'Price History'!J126/'Price History'!J125-1),"")</f>
        <v>-2.2660931018589681E-2</v>
      </c>
      <c r="K125" s="69">
        <f>IFERROR(IF(OR(NOT(ISNUMBER('Price History'!K126)),NOT(ISNUMBER('Price History'!K125)),'Price History'!K125=0),"",'Price History'!K126/'Price History'!K125-1),"")</f>
        <v>5.3440104592253679E-2</v>
      </c>
      <c r="L125" s="69">
        <f>IFERROR(IF(OR(NOT(ISNUMBER('Price History'!L126)),NOT(ISNUMBER('Price History'!L125)),'Price History'!L125=0),"",'Price History'!L126/'Price History'!L125-1),"")</f>
        <v>-1.0580742364059814E-2</v>
      </c>
      <c r="M125" s="69">
        <f>IFERROR(IF(OR(NOT(ISNUMBER('Price History'!M126)),NOT(ISNUMBER('Price History'!M125)),'Price History'!M125=0),"",'Price History'!M126/'Price History'!M125-1),"")</f>
        <v>-8.9911328827433357E-3</v>
      </c>
      <c r="N125" s="69">
        <f>IFERROR(IF(OR(NOT(ISNUMBER('Price History'!N126)),NOT(ISNUMBER('Price History'!N125)),'Price History'!N125=0),"",'Price History'!N126/'Price History'!N125-1),"")</f>
        <v>9.2027254225288679E-3</v>
      </c>
      <c r="O125" s="69">
        <f>IFERROR(IF(OR(NOT(ISNUMBER('Price History'!O126)),NOT(ISNUMBER('Price History'!O125)),'Price History'!O125=0),"",'Price History'!O126/'Price History'!O125-1),"")</f>
        <v>-1.2653410712586743E-2</v>
      </c>
      <c r="P125" s="69" t="str">
        <f>IFERROR(IF(OR(NOT(ISNUMBER('Price History'!P126)),NOT(ISNUMBER('Price History'!P125)),'Price History'!P125=0),"",'Price History'!P126/'Price History'!P125-1),"")</f>
        <v/>
      </c>
      <c r="Q125" s="69">
        <f>IFERROR(IF(OR(NOT(ISNUMBER('Price History'!Q126)),NOT(ISNUMBER('Price History'!Q125)),'Price History'!Q125=0),"",'Price History'!Q126/'Price History'!Q125-1),"")</f>
        <v>2.8370912348811839E-3</v>
      </c>
      <c r="R125" s="69">
        <f>IFERROR(IF(OR(NOT(ISNUMBER('Price History'!R126)),NOT(ISNUMBER('Price History'!R125)),'Price History'!R125=0),"",'Price History'!R126/'Price History'!R125-1),"")</f>
        <v>7.5627363355104116E-3</v>
      </c>
      <c r="S125" s="69">
        <f>IFERROR(IF(OR(NOT(ISNUMBER('Price History'!S126)),NOT(ISNUMBER('Price History'!S125)),'Price History'!S125=0),"",'Price History'!S126/'Price History'!S125-1),"")</f>
        <v>3.6104114189756675E-3</v>
      </c>
      <c r="T125" s="69">
        <f>IFERROR(IF(OR(NOT(ISNUMBER('Price History'!T126)),NOT(ISNUMBER('Price History'!T125)),'Price History'!T125=0),"",'Price History'!T126/'Price History'!T125-1),"")</f>
        <v>-4.2821158690177219E-3</v>
      </c>
      <c r="U125" s="69" t="str">
        <f>IFERROR(IF(OR(NOT(ISNUMBER('Price History'!U126)),NOT(ISNUMBER('Price History'!U125)),'Price History'!U125=0),"",'Price History'!U126/'Price History'!U125-1),"")</f>
        <v/>
      </c>
    </row>
    <row r="126" spans="1:21" ht="15" customHeight="1" x14ac:dyDescent="0.2">
      <c r="A126" s="52">
        <f>'Price History'!A127</f>
        <v>46017</v>
      </c>
      <c r="B126" s="69">
        <f>IFERROR(IF(OR(NOT(ISNUMBER('Price History'!B127)),NOT(ISNUMBER('Price History'!B126)),'Price History'!B126=0),"",'Price History'!B127/'Price History'!B126-1),"")</f>
        <v>-5.788793345697707E-3</v>
      </c>
      <c r="C126" s="69">
        <f>IFERROR(IF(OR(NOT(ISNUMBER('Price History'!C127)),NOT(ISNUMBER('Price History'!C126)),'Price History'!C126=0),"",'Price History'!C127/'Price History'!C126-1),"")</f>
        <v>5.4911531421597548E-3</v>
      </c>
      <c r="D126" s="69">
        <f>IFERROR(IF(OR(NOT(ISNUMBER('Price History'!D127)),NOT(ISNUMBER('Price History'!D126)),'Price History'!D126=0),"",'Price History'!D127/'Price History'!D126-1),"")</f>
        <v>1.5842502982898132E-2</v>
      </c>
      <c r="E126" s="69">
        <f>IFERROR(IF(OR(NOT(ISNUMBER('Price History'!E127)),NOT(ISNUMBER('Price History'!E126)),'Price History'!E126=0),"",'Price History'!E127/'Price History'!E126-1),"")</f>
        <v>3.4581031848630817E-2</v>
      </c>
      <c r="F126" s="69">
        <f>IFERROR(IF(OR(NOT(ISNUMBER('Price History'!F127)),NOT(ISNUMBER('Price History'!F126)),'Price History'!F126=0),"",'Price History'!F127/'Price History'!F126-1),"")</f>
        <v>-1.6622340425531679E-4</v>
      </c>
      <c r="G126" s="69">
        <f>IFERROR(IF(OR(NOT(ISNUMBER('Price History'!G127)),NOT(ISNUMBER('Price History'!G126)),'Price History'!G126=0),"",'Price History'!G127/'Price History'!G126-1),"")</f>
        <v>2.7213614835032596E-2</v>
      </c>
      <c r="H126" s="69">
        <f>IFERROR(IF(OR(NOT(ISNUMBER('Price History'!H127)),NOT(ISNUMBER('Price History'!H126)),'Price History'!H126=0),"",'Price History'!H127/'Price History'!H126-1),"")</f>
        <v>7.0961191335740192E-2</v>
      </c>
      <c r="I126" s="69">
        <f>IFERROR(IF(OR(NOT(ISNUMBER('Price History'!I127)),NOT(ISNUMBER('Price History'!I126)),'Price History'!I126=0),"",'Price History'!I127/'Price History'!I126-1),"")</f>
        <v>5.2710094480358016E-2</v>
      </c>
      <c r="J126" s="69">
        <f>IFERROR(IF(OR(NOT(ISNUMBER('Price History'!J127)),NOT(ISNUMBER('Price History'!J126)),'Price History'!J126=0),"",'Price History'!J127/'Price History'!J126-1),"")</f>
        <v>1.1632476617150056E-2</v>
      </c>
      <c r="K126" s="69">
        <f>IFERROR(IF(OR(NOT(ISNUMBER('Price History'!K127)),NOT(ISNUMBER('Price History'!K126)),'Price History'!K126=0),"",'Price History'!K127/'Price History'!K126-1),"")</f>
        <v>-2.4149343261971157E-2</v>
      </c>
      <c r="L126" s="69">
        <f>IFERROR(IF(OR(NOT(ISNUMBER('Price History'!L127)),NOT(ISNUMBER('Price History'!L126)),'Price History'!L126=0),"",'Price History'!L127/'Price History'!L126-1),"")</f>
        <v>4.8070600449904743E-2</v>
      </c>
      <c r="M126" s="69">
        <f>IFERROR(IF(OR(NOT(ISNUMBER('Price History'!M127)),NOT(ISNUMBER('Price History'!M126)),'Price History'!M126=0),"",'Price History'!M127/'Price History'!M126-1),"")</f>
        <v>4.8554623951946096E-2</v>
      </c>
      <c r="N126" s="69">
        <f>IFERROR(IF(OR(NOT(ISNUMBER('Price History'!N127)),NOT(ISNUMBER('Price History'!N126)),'Price History'!N126=0),"",'Price History'!N127/'Price History'!N126-1),"")</f>
        <v>1.4686540990793473E-2</v>
      </c>
      <c r="O126" s="69">
        <f>IFERROR(IF(OR(NOT(ISNUMBER('Price History'!O127)),NOT(ISNUMBER('Price History'!O126)),'Price History'!O126=0),"",'Price History'!O127/'Price History'!O126-1),"")</f>
        <v>-8.6721911736364898E-4</v>
      </c>
      <c r="P126" s="69" t="str">
        <f>IFERROR(IF(OR(NOT(ISNUMBER('Price History'!P127)),NOT(ISNUMBER('Price History'!P126)),'Price History'!P126=0),"",'Price History'!P127/'Price History'!P126-1),"")</f>
        <v/>
      </c>
      <c r="Q126" s="69">
        <f>IFERROR(IF(OR(NOT(ISNUMBER('Price History'!Q127)),NOT(ISNUMBER('Price History'!Q126)),'Price History'!Q126=0),"",'Price History'!Q127/'Price History'!Q126-1),"")</f>
        <v>-8.7849910661108588E-3</v>
      </c>
      <c r="R126" s="69">
        <f>IFERROR(IF(OR(NOT(ISNUMBER('Price History'!R127)),NOT(ISNUMBER('Price History'!R126)),'Price History'!R126=0),"",'Price History'!R127/'Price History'!R126-1),"")</f>
        <v>1.2282497441146401E-2</v>
      </c>
      <c r="S126" s="69">
        <f>IFERROR(IF(OR(NOT(ISNUMBER('Price History'!S127)),NOT(ISNUMBER('Price History'!S126)),'Price History'!S126=0),"",'Price History'!S127/'Price History'!S126-1),"")</f>
        <v>1.5477286036978066E-2</v>
      </c>
      <c r="T126" s="69">
        <f>IFERROR(IF(OR(NOT(ISNUMBER('Price History'!T127)),NOT(ISNUMBER('Price History'!T126)),'Price History'!T126=0),"",'Price History'!T127/'Price History'!T126-1),"")</f>
        <v>6.57728307614458E-3</v>
      </c>
      <c r="U126" s="69" t="str">
        <f>IFERROR(IF(OR(NOT(ISNUMBER('Price History'!U127)),NOT(ISNUMBER('Price History'!U126)),'Price History'!U126=0),"",'Price History'!U127/'Price History'!U126-1),"")</f>
        <v/>
      </c>
    </row>
    <row r="127" spans="1:21" ht="15" customHeight="1" x14ac:dyDescent="0.2">
      <c r="A127" s="52">
        <f>'Price History'!A128</f>
        <v>46024</v>
      </c>
      <c r="B127" s="69">
        <f>IFERROR(IF(OR(NOT(ISNUMBER('Price History'!B128)),NOT(ISNUMBER('Price History'!B127)),'Price History'!B127=0),"",'Price History'!B128/'Price History'!B127-1),"")</f>
        <v>-5.7942340305257245E-2</v>
      </c>
      <c r="C127" s="69">
        <f>IFERROR(IF(OR(NOT(ISNUMBER('Price History'!C128)),NOT(ISNUMBER('Price History'!C127)),'Price History'!C127=0),"",'Price History'!C128/'Price History'!C127-1),"")</f>
        <v>1.3349514563106624E-2</v>
      </c>
      <c r="D127" s="69">
        <f>IFERROR(IF(OR(NOT(ISNUMBER('Price History'!D128)),NOT(ISNUMBER('Price History'!D127)),'Price History'!D127=0),"",'Price History'!D128/'Price History'!D127-1),"")</f>
        <v>8.4856676765322714E-2</v>
      </c>
      <c r="E127" s="69">
        <f>IFERROR(IF(OR(NOT(ISNUMBER('Price History'!E128)),NOT(ISNUMBER('Price History'!E127)),'Price History'!E127=0),"",'Price History'!E128/'Price History'!E127-1),"")</f>
        <v>-1.2807769857723028E-2</v>
      </c>
      <c r="F127" s="69">
        <f>IFERROR(IF(OR(NOT(ISNUMBER('Price History'!F128)),NOT(ISNUMBER('Price History'!F127)),'Price History'!F127=0),"",'Price History'!F128/'Price History'!F127-1),"")</f>
        <v>-5.7356608478802973E-2</v>
      </c>
      <c r="G127" s="69">
        <f>IFERROR(IF(OR(NOT(ISNUMBER('Price History'!G128)),NOT(ISNUMBER('Price History'!G127)),'Price History'!G127=0),"",'Price History'!G128/'Price History'!G127-1),"")</f>
        <v>-3.9856205064081607E-3</v>
      </c>
      <c r="H127" s="69">
        <f>IFERROR(IF(OR(NOT(ISNUMBER('Price History'!H128)),NOT(ISNUMBER('Price History'!H127)),'Price History'!H127=0),"",'Price History'!H128/'Price History'!H127-1),"")</f>
        <v>0.10755293374065089</v>
      </c>
      <c r="I127" s="69">
        <f>IFERROR(IF(OR(NOT(ISNUMBER('Price History'!I128)),NOT(ISNUMBER('Price History'!I127)),'Price History'!I127=0),"",'Price History'!I128/'Price History'!I127-1),"")</f>
        <v>-8.817509053692385E-3</v>
      </c>
      <c r="J127" s="69">
        <f>IFERROR(IF(OR(NOT(ISNUMBER('Price History'!J128)),NOT(ISNUMBER('Price History'!J127)),'Price History'!J127=0),"",'Price History'!J128/'Price History'!J127-1),"")</f>
        <v>2.6415973894802214E-3</v>
      </c>
      <c r="K127" s="69">
        <f>IFERROR(IF(OR(NOT(ISNUMBER('Price History'!K128)),NOT(ISNUMBER('Price History'!K127)),'Price History'!K127=0),"",'Price History'!K128/'Price History'!K127-1),"")</f>
        <v>-0.1104869906205288</v>
      </c>
      <c r="L127" s="69">
        <f>IFERROR(IF(OR(NOT(ISNUMBER('Price History'!L128)),NOT(ISNUMBER('Price History'!L127)),'Price History'!L127=0),"",'Price History'!L128/'Price History'!L127-1),"")</f>
        <v>5.5375775987320131E-2</v>
      </c>
      <c r="M127" s="69">
        <f>IFERROR(IF(OR(NOT(ISNUMBER('Price History'!M128)),NOT(ISNUMBER('Price History'!M127)),'Price History'!M127=0),"",'Price History'!M128/'Price History'!M127-1),"")</f>
        <v>4.7917412579066676E-2</v>
      </c>
      <c r="N127" s="69">
        <f>IFERROR(IF(OR(NOT(ISNUMBER('Price History'!N128)),NOT(ISNUMBER('Price History'!N127)),'Price History'!N127=0),"",'Price History'!N128/'Price History'!N127-1),"")</f>
        <v>-2.326636422553463E-2</v>
      </c>
      <c r="O127" s="69">
        <f>IFERROR(IF(OR(NOT(ISNUMBER('Price History'!O128)),NOT(ISNUMBER('Price History'!O127)),'Price History'!O127=0),"",'Price History'!O128/'Price History'!O127-1),"")</f>
        <v>-5.4971549811938525E-3</v>
      </c>
      <c r="P127" s="69" t="str">
        <f>IFERROR(IF(OR(NOT(ISNUMBER('Price History'!P128)),NOT(ISNUMBER('Price History'!P127)),'Price History'!P127=0),"",'Price History'!P128/'Price History'!P127-1),"")</f>
        <v/>
      </c>
      <c r="Q127" s="69">
        <f>IFERROR(IF(OR(NOT(ISNUMBER('Price History'!Q128)),NOT(ISNUMBER('Price History'!Q127)),'Price History'!Q127=0),"",'Price History'!Q128/'Price History'!Q127-1),"")</f>
        <v>6.9100195283162691E-3</v>
      </c>
      <c r="R127" s="69">
        <f>IFERROR(IF(OR(NOT(ISNUMBER('Price History'!R128)),NOT(ISNUMBER('Price History'!R127)),'Price History'!R127=0),"",'Price History'!R128/'Price History'!R127-1),"")</f>
        <v>-2.1065048870913428E-2</v>
      </c>
      <c r="S127" s="69">
        <f>IFERROR(IF(OR(NOT(ISNUMBER('Price History'!S128)),NOT(ISNUMBER('Price History'!S127)),'Price History'!S127=0),"",'Price History'!S128/'Price History'!S127-1),"")</f>
        <v>-1.4087988136430973E-2</v>
      </c>
      <c r="T127" s="69">
        <f>IFERROR(IF(OR(NOT(ISNUMBER('Price History'!T128)),NOT(ISNUMBER('Price History'!T127)),'Price History'!T127=0),"",'Price History'!T128/'Price History'!T127-1),"")</f>
        <v>-9.2988187986930981E-3</v>
      </c>
      <c r="U127" s="69" t="str">
        <f>IFERROR(IF(OR(NOT(ISNUMBER('Price History'!U128)),NOT(ISNUMBER('Price History'!U127)),'Price History'!U127=0),"",'Price History'!U128/'Price History'!U127-1),"")</f>
        <v/>
      </c>
    </row>
    <row r="128" spans="1:21" ht="15" customHeight="1" x14ac:dyDescent="0.2">
      <c r="A128" s="52">
        <f>'Price History'!A129</f>
        <v>46031</v>
      </c>
      <c r="B128" s="69">
        <f>IFERROR(IF(OR(NOT(ISNUMBER('Price History'!B129)),NOT(ISNUMBER('Price History'!B128)),'Price History'!B128=0),"",'Price History'!B129/'Price History'!B128-1),"")</f>
        <v>1.950195019501777E-3</v>
      </c>
      <c r="C128" s="69">
        <f>IFERROR(IF(OR(NOT(ISNUMBER('Price History'!C129)),NOT(ISNUMBER('Price History'!C128)),'Price History'!C128=0),"",'Price History'!C129/'Price History'!C128-1),"")</f>
        <v>-8.0164670658682602E-2</v>
      </c>
      <c r="D128" s="69">
        <f>IFERROR(IF(OR(NOT(ISNUMBER('Price History'!D129)),NOT(ISNUMBER('Price History'!D128)),'Price History'!D128=0),"",'Price History'!D129/'Price History'!D128-1),"")</f>
        <v>9.4605509632404772E-2</v>
      </c>
      <c r="E128" s="69">
        <f>IFERROR(IF(OR(NOT(ISNUMBER('Price History'!E129)),NOT(ISNUMBER('Price History'!E128)),'Price History'!E128=0),"",'Price History'!E129/'Price History'!E128-1),"")</f>
        <v>-7.6232667855703484E-3</v>
      </c>
      <c r="F128" s="69">
        <f>IFERROR(IF(OR(NOT(ISNUMBER('Price History'!F129)),NOT(ISNUMBER('Price History'!F128)),'Price History'!F128=0),"",'Price History'!F129/'Price History'!F128-1),"")</f>
        <v>3.7477954144620851E-2</v>
      </c>
      <c r="G128" s="69">
        <f>IFERROR(IF(OR(NOT(ISNUMBER('Price History'!G129)),NOT(ISNUMBER('Price History'!G128)),'Price History'!G128=0),"",'Price History'!G129/'Price History'!G128-1),"")</f>
        <v>9.8469988230678762E-2</v>
      </c>
      <c r="H128" s="69">
        <f>IFERROR(IF(OR(NOT(ISNUMBER('Price History'!H129)),NOT(ISNUMBER('Price History'!H128)),'Price History'!H128=0),"",'Price History'!H129/'Price History'!H128-1),"")</f>
        <v>9.4065056115655077E-2</v>
      </c>
      <c r="I128" s="69">
        <f>IFERROR(IF(OR(NOT(ISNUMBER('Price History'!I129)),NOT(ISNUMBER('Price History'!I128)),'Price History'!I128=0),"",'Price History'!I129/'Price History'!I128-1),"")</f>
        <v>-2.1127879269261185E-2</v>
      </c>
      <c r="J128" s="69">
        <f>IFERROR(IF(OR(NOT(ISNUMBER('Price History'!J129)),NOT(ISNUMBER('Price History'!J128)),'Price History'!J128=0),"",'Price History'!J129/'Price History'!J128-1),"")</f>
        <v>2.7121270825261057E-3</v>
      </c>
      <c r="K128" s="69">
        <f>IFERROR(IF(OR(NOT(ISNUMBER('Price History'!K129)),NOT(ISNUMBER('Price History'!K128)),'Price History'!K128=0),"",'Price History'!K129/'Price History'!K128-1),"")</f>
        <v>5.7369236268318913E-2</v>
      </c>
      <c r="L128" s="69">
        <f>IFERROR(IF(OR(NOT(ISNUMBER('Price History'!L129)),NOT(ISNUMBER('Price History'!L128)),'Price History'!L128=0),"",'Price History'!L129/'Price History'!L128-1),"")</f>
        <v>1.2577829229373227E-2</v>
      </c>
      <c r="M128" s="69">
        <f>IFERROR(IF(OR(NOT(ISNUMBER('Price History'!M129)),NOT(ISNUMBER('Price History'!M128)),'Price History'!M128=0),"",'Price History'!M129/'Price History'!M128-1),"")</f>
        <v>-6.85040715221229E-2</v>
      </c>
      <c r="N128" s="69">
        <f>IFERROR(IF(OR(NOT(ISNUMBER('Price History'!N129)),NOT(ISNUMBER('Price History'!N128)),'Price History'!N128=0),"",'Price History'!N129/'Price History'!N128-1),"")</f>
        <v>2.5943865702342306E-2</v>
      </c>
      <c r="O128" s="69">
        <f>IFERROR(IF(OR(NOT(ISNUMBER('Price History'!O129)),NOT(ISNUMBER('Price History'!O128)),'Price History'!O128=0),"",'Price History'!O129/'Price History'!O128-1),"")</f>
        <v>4.082622187742424E-2</v>
      </c>
      <c r="P128" s="69" t="str">
        <f>IFERROR(IF(OR(NOT(ISNUMBER('Price History'!P129)),NOT(ISNUMBER('Price History'!P128)),'Price History'!P128=0),"",'Price History'!P129/'Price History'!P128-1),"")</f>
        <v/>
      </c>
      <c r="Q128" s="69">
        <f>IFERROR(IF(OR(NOT(ISNUMBER('Price History'!Q129)),NOT(ISNUMBER('Price History'!Q128)),'Price History'!Q128=0),"",'Price History'!Q129/'Price History'!Q128-1),"")</f>
        <v>-5.8182903177681489E-3</v>
      </c>
      <c r="R128" s="69">
        <f>IFERROR(IF(OR(NOT(ISNUMBER('Price History'!R129)),NOT(ISNUMBER('Price History'!R128)),'Price History'!R128=0),"",'Price History'!R129/'Price History'!R128-1),"")</f>
        <v>1.8419693578929142E-2</v>
      </c>
      <c r="S128" s="69">
        <f>IFERROR(IF(OR(NOT(ISNUMBER('Price History'!S129)),NOT(ISNUMBER('Price History'!S128)),'Price History'!S128=0),"",'Price History'!S129/'Price History'!S128-1),"")</f>
        <v>3.0082727500626572E-3</v>
      </c>
      <c r="T128" s="69">
        <f>IFERROR(IF(OR(NOT(ISNUMBER('Price History'!T129)),NOT(ISNUMBER('Price History'!T128)),'Price History'!T128=0),"",'Price History'!T129/'Price History'!T128-1),"")</f>
        <v>2.5621511922881757E-2</v>
      </c>
      <c r="U128" s="69" t="str">
        <f>IFERROR(IF(OR(NOT(ISNUMBER('Price History'!U129)),NOT(ISNUMBER('Price History'!U128)),'Price History'!U128=0),"",'Price History'!U129/'Price History'!U128-1),"")</f>
        <v/>
      </c>
    </row>
    <row r="129" spans="1:21" ht="15" customHeight="1" x14ac:dyDescent="0.2">
      <c r="A129" s="52">
        <f>'Price History'!A130</f>
        <v>46038</v>
      </c>
      <c r="B129" s="69">
        <f>IFERROR(IF(OR(NOT(ISNUMBER('Price History'!B130)),NOT(ISNUMBER('Price History'!B129)),'Price History'!B129=0),"",'Price History'!B130/'Price History'!B129-1),"")</f>
        <v>-0.11328043120227571</v>
      </c>
      <c r="C129" s="69">
        <f>IFERROR(IF(OR(NOT(ISNUMBER('Price History'!C130)),NOT(ISNUMBER('Price History'!C129)),'Price History'!C129=0),"",'Price History'!C130/'Price History'!C129-1),"")</f>
        <v>5.6473268776955132E-2</v>
      </c>
      <c r="D129" s="69">
        <f>IFERROR(IF(OR(NOT(ISNUMBER('Price History'!D130)),NOT(ISNUMBER('Price History'!D129)),'Price History'!D129=0),"",'Price History'!D130/'Price History'!D129-1),"")</f>
        <v>6.6481929224102565E-2</v>
      </c>
      <c r="E129" s="69">
        <f>IFERROR(IF(OR(NOT(ISNUMBER('Price History'!E130)),NOT(ISNUMBER('Price History'!E129)),'Price History'!E129=0),"",'Price History'!E130/'Price History'!E129-1),"")</f>
        <v>1.953793083456512E-2</v>
      </c>
      <c r="F129" s="69">
        <f>IFERROR(IF(OR(NOT(ISNUMBER('Price History'!F130)),NOT(ISNUMBER('Price History'!F129)),'Price History'!F129=0),"",'Price History'!F130/'Price History'!F129-1),"")</f>
        <v>-3.5529111772205746E-2</v>
      </c>
      <c r="G129" s="69">
        <f>IFERROR(IF(OR(NOT(ISNUMBER('Price History'!G130)),NOT(ISNUMBER('Price History'!G129)),'Price History'!G129=0),"",'Price History'!G130/'Price History'!G129-1),"")</f>
        <v>0.11985714285714288</v>
      </c>
      <c r="H129" s="69">
        <f>IFERROR(IF(OR(NOT(ISNUMBER('Price History'!H130)),NOT(ISNUMBER('Price History'!H129)),'Price History'!H129=0),"",'Price History'!H130/'Price History'!H129-1),"")</f>
        <v>5.1175055782549661E-2</v>
      </c>
      <c r="I129" s="69">
        <f>IFERROR(IF(OR(NOT(ISNUMBER('Price History'!I130)),NOT(ISNUMBER('Price History'!I129)),'Price History'!I129=0),"",'Price History'!I130/'Price History'!I129-1),"")</f>
        <v>7.4110137401275367E-3</v>
      </c>
      <c r="J129" s="69">
        <f>IFERROR(IF(OR(NOT(ISNUMBER('Price History'!J130)),NOT(ISNUMBER('Price History'!J129)),'Price History'!J129=0),"",'Price History'!J130/'Price History'!J129-1),"")</f>
        <v>2.9443585780525527E-2</v>
      </c>
      <c r="K129" s="69">
        <f>IFERROR(IF(OR(NOT(ISNUMBER('Price History'!K130)),NOT(ISNUMBER('Price History'!K129)),'Price History'!K129=0),"",'Price History'!K130/'Price History'!K129-1),"")</f>
        <v>-3.6790805115781144E-2</v>
      </c>
      <c r="L129" s="69">
        <f>IFERROR(IF(OR(NOT(ISNUMBER('Price History'!L130)),NOT(ISNUMBER('Price History'!L129)),'Price History'!L129=0),"",'Price History'!L130/'Price History'!L129-1),"")</f>
        <v>5.7998331427865146E-2</v>
      </c>
      <c r="M129" s="69">
        <f>IFERROR(IF(OR(NOT(ISNUMBER('Price History'!M130)),NOT(ISNUMBER('Price History'!M129)),'Price History'!M129=0),"",'Price History'!M130/'Price History'!M129-1),"")</f>
        <v>8.1611443941802086E-2</v>
      </c>
      <c r="N129" s="69">
        <f>IFERROR(IF(OR(NOT(ISNUMBER('Price History'!N130)),NOT(ISNUMBER('Price History'!N129)),'Price History'!N129=0),"",'Price History'!N130/'Price History'!N129-1),"")</f>
        <v>-4.8506014745828496E-2</v>
      </c>
      <c r="O129" s="69">
        <f>IFERROR(IF(OR(NOT(ISNUMBER('Price History'!O130)),NOT(ISNUMBER('Price History'!O129)),'Price History'!O129=0),"",'Price History'!O130/'Price History'!O129-1),"")</f>
        <v>1.0994130252492296E-2</v>
      </c>
      <c r="P129" s="69" t="str">
        <f>IFERROR(IF(OR(NOT(ISNUMBER('Price History'!P130)),NOT(ISNUMBER('Price History'!P129)),'Price History'!P129=0),"",'Price History'!P130/'Price History'!P129-1),"")</f>
        <v/>
      </c>
      <c r="Q129" s="69">
        <f>IFERROR(IF(OR(NOT(ISNUMBER('Price History'!Q130)),NOT(ISNUMBER('Price History'!Q129)),'Price History'!Q129=0),"",'Price History'!Q130/'Price History'!Q129-1),"")</f>
        <v>-1.1254501800720296E-2</v>
      </c>
      <c r="R129" s="69">
        <f>IFERROR(IF(OR(NOT(ISNUMBER('Price History'!R130)),NOT(ISNUMBER('Price History'!R129)),'Price History'!R129=0),"",'Price History'!R130/'Price History'!R129-1),"")</f>
        <v>-4.0567951318457585E-3</v>
      </c>
      <c r="S129" s="69">
        <f>IFERROR(IF(OR(NOT(ISNUMBER('Price History'!S130)),NOT(ISNUMBER('Price History'!S129)),'Price History'!S129=0),"",'Price History'!S130/'Price History'!S129-1),"")</f>
        <v>-2.4993751562107924E-4</v>
      </c>
      <c r="T129" s="69">
        <f>IFERROR(IF(OR(NOT(ISNUMBER('Price History'!T130)),NOT(ISNUMBER('Price History'!T129)),'Price History'!T129=0),"",'Price History'!T130/'Price History'!T129-1),"")</f>
        <v>-2.0281968835023534E-2</v>
      </c>
      <c r="U129" s="69" t="str">
        <f>IFERROR(IF(OR(NOT(ISNUMBER('Price History'!U130)),NOT(ISNUMBER('Price History'!U129)),'Price History'!U129=0),"",'Price History'!U130/'Price History'!U129-1),"")</f>
        <v/>
      </c>
    </row>
    <row r="130" spans="1:21" ht="15" customHeight="1" x14ac:dyDescent="0.2">
      <c r="A130" s="52">
        <f>'Price History'!A131</f>
        <v>46045</v>
      </c>
      <c r="B130" s="69">
        <f>IFERROR(IF(OR(NOT(ISNUMBER('Price History'!B131)),NOT(ISNUMBER('Price History'!B130)),'Price History'!B130=0),"",'Price History'!B131/'Price History'!B130-1),"")</f>
        <v>1.6716196136701278E-2</v>
      </c>
      <c r="C130" s="69">
        <f>IFERROR(IF(OR(NOT(ISNUMBER('Price History'!C131)),NOT(ISNUMBER('Price History'!C130)),'Price History'!C130=0),"",'Price History'!C131/'Price History'!C130-1),"")</f>
        <v>5.0142494030655405E-2</v>
      </c>
      <c r="D130" s="69">
        <f>IFERROR(IF(OR(NOT(ISNUMBER('Price History'!D131)),NOT(ISNUMBER('Price History'!D130)),'Price History'!D130=0),"",'Price History'!D131/'Price History'!D130-1),"")</f>
        <v>2.2427994140898244E-2</v>
      </c>
      <c r="E130" s="69">
        <f>IFERROR(IF(OR(NOT(ISNUMBER('Price History'!E131)),NOT(ISNUMBER('Price History'!E130)),'Price History'!E130=0),"",'Price History'!E131/'Price History'!E130-1),"")</f>
        <v>-9.0017343834408958E-2</v>
      </c>
      <c r="F130" s="69">
        <f>IFERROR(IF(OR(NOT(ISNUMBER('Price History'!F131)),NOT(ISNUMBER('Price History'!F130)),'Price History'!F130=0),"",'Price History'!F131/'Price History'!F130-1),"")</f>
        <v>-3.0845157310301907E-3</v>
      </c>
      <c r="G130" s="69">
        <f>IFERROR(IF(OR(NOT(ISNUMBER('Price History'!G131)),NOT(ISNUMBER('Price History'!G130)),'Price History'!G130=0),"",'Price History'!G131/'Price History'!G130-1),"")</f>
        <v>-3.5081005230258921E-2</v>
      </c>
      <c r="H130" s="69">
        <f>IFERROR(IF(OR(NOT(ISNUMBER('Price History'!H131)),NOT(ISNUMBER('Price History'!H130)),'Price History'!H130=0),"",'Price History'!H131/'Price History'!H130-1),"")</f>
        <v>0.10172294968986906</v>
      </c>
      <c r="I130" s="69">
        <f>IFERROR(IF(OR(NOT(ISNUMBER('Price History'!I131)),NOT(ISNUMBER('Price History'!I130)),'Price History'!I130=0),"",'Price History'!I131/'Price History'!I130-1),"")</f>
        <v>7.7323739461956364E-3</v>
      </c>
      <c r="J130" s="69">
        <f>IFERROR(IF(OR(NOT(ISNUMBER('Price History'!J131)),NOT(ISNUMBER('Price History'!J130)),'Price History'!J130=0),"",'Price History'!J131/'Price History'!J130-1),"")</f>
        <v>-4.5492080174161065E-2</v>
      </c>
      <c r="K130" s="69">
        <f>IFERROR(IF(OR(NOT(ISNUMBER('Price History'!K131)),NOT(ISNUMBER('Price History'!K130)),'Price History'!K130=0),"",'Price History'!K131/'Price History'!K130-1),"")</f>
        <v>-7.9550772110436041E-3</v>
      </c>
      <c r="L130" s="69">
        <f>IFERROR(IF(OR(NOT(ISNUMBER('Price History'!L131)),NOT(ISNUMBER('Price History'!L130)),'Price History'!L130=0),"",'Price History'!L131/'Price History'!L130-1),"")</f>
        <v>-2.1991822429906493E-2</v>
      </c>
      <c r="M130" s="69">
        <f>IFERROR(IF(OR(NOT(ISNUMBER('Price History'!M131)),NOT(ISNUMBER('Price History'!M130)),'Price History'!M130=0),"",'Price History'!M131/'Price History'!M130-1),"")</f>
        <v>3.1424857288192998E-2</v>
      </c>
      <c r="N130" s="69">
        <f>IFERROR(IF(OR(NOT(ISNUMBER('Price History'!N131)),NOT(ISNUMBER('Price History'!N130)),'Price History'!N130=0),"",'Price History'!N131/'Price History'!N130-1),"")</f>
        <v>6.1287837592894689E-2</v>
      </c>
      <c r="O130" s="69">
        <f>IFERROR(IF(OR(NOT(ISNUMBER('Price History'!O131)),NOT(ISNUMBER('Price History'!O130)),'Price History'!O130=0),"",'Price History'!O131/'Price History'!O130-1),"")</f>
        <v>-1.8431480969505198E-4</v>
      </c>
      <c r="P130" s="69" t="str">
        <f>IFERROR(IF(OR(NOT(ISNUMBER('Price History'!P131)),NOT(ISNUMBER('Price History'!P130)),'Price History'!P130=0),"",'Price History'!P131/'Price History'!P130-1),"")</f>
        <v/>
      </c>
      <c r="Q130" s="69">
        <f>IFERROR(IF(OR(NOT(ISNUMBER('Price History'!Q131)),NOT(ISNUMBER('Price History'!Q130)),'Price History'!Q130=0),"",'Price History'!Q131/'Price History'!Q130-1),"")</f>
        <v>-1.3355592654423987E-2</v>
      </c>
      <c r="R130" s="69">
        <f>IFERROR(IF(OR(NOT(ISNUMBER('Price History'!R131)),NOT(ISNUMBER('Price History'!R130)),'Price History'!R130=0),"",'Price History'!R131/'Price History'!R130-1),"")</f>
        <v>5.0916496945010437E-3</v>
      </c>
      <c r="S130" s="69">
        <f>IFERROR(IF(OR(NOT(ISNUMBER('Price History'!S131)),NOT(ISNUMBER('Price History'!S130)),'Price History'!S130=0),"",'Price History'!S131/'Price History'!S130-1),"")</f>
        <v>-1.7333333333333312E-2</v>
      </c>
      <c r="T130" s="69">
        <f>IFERROR(IF(OR(NOT(ISNUMBER('Price History'!T131)),NOT(ISNUMBER('Price History'!T130)),'Price History'!T130=0),"",'Price History'!T131/'Price History'!T130-1),"")</f>
        <v>6.3115374905327037E-3</v>
      </c>
      <c r="U130" s="69" t="str">
        <f>IFERROR(IF(OR(NOT(ISNUMBER('Price History'!U131)),NOT(ISNUMBER('Price History'!U130)),'Price History'!U130=0),"",'Price History'!U131/'Price History'!U130-1),"")</f>
        <v/>
      </c>
    </row>
    <row r="131" spans="1:21" ht="15" customHeight="1" x14ac:dyDescent="0.2">
      <c r="A131" s="52">
        <f>'Price History'!A132</f>
        <v>46052</v>
      </c>
      <c r="B131" s="69">
        <f>IFERROR(IF(OR(NOT(ISNUMBER('Price History'!B132)),NOT(ISNUMBER('Price History'!B131)),'Price History'!B131=0),"",'Price History'!B132/'Price History'!B131-1),"")</f>
        <v>-2.5974025974025983E-2</v>
      </c>
      <c r="C131" s="69">
        <f>IFERROR(IF(OR(NOT(ISNUMBER('Price History'!C132)),NOT(ISNUMBER('Price History'!C131)),'Price History'!C131=0),"",'Price History'!C132/'Price History'!C131-1),"")</f>
        <v>3.9606865189966367E-2</v>
      </c>
      <c r="D131" s="69">
        <f>IFERROR(IF(OR(NOT(ISNUMBER('Price History'!D132)),NOT(ISNUMBER('Price History'!D131)),'Price History'!D131=0),"",'Price History'!D132/'Price History'!D131-1),"")</f>
        <v>2.4448539998848107E-2</v>
      </c>
      <c r="E131" s="69">
        <f>IFERROR(IF(OR(NOT(ISNUMBER('Price History'!E132)),NOT(ISNUMBER('Price History'!E131)),'Price History'!E131=0),"",'Price History'!E132/'Price History'!E131-1),"")</f>
        <v>3.5150757694110357E-2</v>
      </c>
      <c r="F131" s="69">
        <f>IFERROR(IF(OR(NOT(ISNUMBER('Price History'!F132)),NOT(ISNUMBER('Price History'!F131)),'Price History'!F131=0),"",'Price History'!F132/'Price History'!F131-1),"")</f>
        <v>-2.4487270155587049E-2</v>
      </c>
      <c r="G131" s="69">
        <f>IFERROR(IF(OR(NOT(ISNUMBER('Price History'!G132)),NOT(ISNUMBER('Price History'!G131)),'Price History'!G131=0),"",'Price History'!G132/'Price History'!G131-1),"")</f>
        <v>-5.6121099947118003E-2</v>
      </c>
      <c r="H131" s="69">
        <f>IFERROR(IF(OR(NOT(ISNUMBER('Price History'!H132)),NOT(ISNUMBER('Price History'!H131)),'Price History'!H131=0),"",'Price History'!H132/'Price History'!H131-1),"")</f>
        <v>3.8108344801701444E-2</v>
      </c>
      <c r="I131" s="69">
        <f>IFERROR(IF(OR(NOT(ISNUMBER('Price History'!I132)),NOT(ISNUMBER('Price History'!I131)),'Price History'!I131=0),"",'Price History'!I132/'Price History'!I131-1),"")</f>
        <v>1.8436617466830008E-2</v>
      </c>
      <c r="J131" s="69">
        <f>IFERROR(IF(OR(NOT(ISNUMBER('Price History'!J132)),NOT(ISNUMBER('Price History'!J131)),'Price History'!J131=0),"",'Price History'!J132/'Price History'!J131-1),"")</f>
        <v>2.6818718049547829E-2</v>
      </c>
      <c r="K131" s="69">
        <f>IFERROR(IF(OR(NOT(ISNUMBER('Price History'!K132)),NOT(ISNUMBER('Price History'!K131)),'Price History'!K131=0),"",'Price History'!K132/'Price History'!K131-1),"")</f>
        <v>-0.13567216981132069</v>
      </c>
      <c r="L131" s="69">
        <f>IFERROR(IF(OR(NOT(ISNUMBER('Price History'!L132)),NOT(ISNUMBER('Price History'!L131)),'Price History'!L131=0),"",'Price History'!L132/'Price History'!L131-1),"")</f>
        <v>-1.2870666228685712E-2</v>
      </c>
      <c r="M131" s="69">
        <f>IFERROR(IF(OR(NOT(ISNUMBER('Price History'!M132)),NOT(ISNUMBER('Price History'!M131)),'Price History'!M131=0),"",'Price History'!M132/'Price History'!M131-1),"")</f>
        <v>2.0220286043070912E-2</v>
      </c>
      <c r="N131" s="69">
        <f>IFERROR(IF(OR(NOT(ISNUMBER('Price History'!N132)),NOT(ISNUMBER('Price History'!N131)),'Price History'!N131=0),"",'Price History'!N132/'Price History'!N131-1),"")</f>
        <v>3.1809739330928011E-3</v>
      </c>
      <c r="O131" s="69">
        <f>IFERROR(IF(OR(NOT(ISNUMBER('Price History'!O132)),NOT(ISNUMBER('Price History'!O131)),'Price History'!O131=0),"",'Price History'!O132/'Price History'!O131-1),"")</f>
        <v>7.189602728361999E-3</v>
      </c>
      <c r="P131" s="69" t="str">
        <f>IFERROR(IF(OR(NOT(ISNUMBER('Price History'!P132)),NOT(ISNUMBER('Price History'!P131)),'Price History'!P131=0),"",'Price History'!P132/'Price History'!P131-1),"")</f>
        <v/>
      </c>
      <c r="Q131" s="69">
        <f>IFERROR(IF(OR(NOT(ISNUMBER('Price History'!Q132)),NOT(ISNUMBER('Price History'!Q131)),'Price History'!Q131=0),"",'Price History'!Q132/'Price History'!Q131-1),"")</f>
        <v>-1.1229041685894559E-2</v>
      </c>
      <c r="R131" s="69">
        <f>IFERROR(IF(OR(NOT(ISNUMBER('Price History'!R132)),NOT(ISNUMBER('Price History'!R131)),'Price History'!R131=0),"",'Price History'!R132/'Price History'!R131-1),"")</f>
        <v>3.5460992907800915E-3</v>
      </c>
      <c r="S131" s="69">
        <f>IFERROR(IF(OR(NOT(ISNUMBER('Price History'!S132)),NOT(ISNUMBER('Price History'!S131)),'Price History'!S131=0),"",'Price History'!S132/'Price History'!S131-1),"")</f>
        <v>1.6536635006784373E-2</v>
      </c>
      <c r="T131" s="69">
        <f>IFERROR(IF(OR(NOT(ISNUMBER('Price History'!T132)),NOT(ISNUMBER('Price History'!T131)),'Price History'!T131=0),"",'Price History'!T132/'Price History'!T131-1),"")</f>
        <v>-9.7842448569994689E-3</v>
      </c>
      <c r="U131" s="69" t="str">
        <f>IFERROR(IF(OR(NOT(ISNUMBER('Price History'!U132)),NOT(ISNUMBER('Price History'!U131)),'Price History'!U131=0),"",'Price History'!U132/'Price History'!U131-1),"")</f>
        <v/>
      </c>
    </row>
    <row r="132" spans="1:21" ht="15" customHeight="1" x14ac:dyDescent="0.2">
      <c r="A132" s="52">
        <f>'Price History'!A133</f>
        <v>46059</v>
      </c>
      <c r="B132" s="69">
        <f>IFERROR(IF(OR(NOT(ISNUMBER('Price History'!B133)),NOT(ISNUMBER('Price History'!B132)),'Price History'!B132=0),"",'Price History'!B133/'Price History'!B132-1),"")</f>
        <v>-8.4808184143222554E-2</v>
      </c>
      <c r="C132" s="69">
        <f>IFERROR(IF(OR(NOT(ISNUMBER('Price History'!C133)),NOT(ISNUMBER('Price History'!C132)),'Price History'!C132=0),"",'Price History'!C133/'Price History'!C132-1),"")</f>
        <v>-2.998447862283049E-2</v>
      </c>
      <c r="D132" s="69">
        <f>IFERROR(IF(OR(NOT(ISNUMBER('Price History'!D133)),NOT(ISNUMBER('Price History'!D132)),'Price History'!D132=0),"",'Price History'!D133/'Price History'!D132-1),"")</f>
        <v>-7.0203794799719166E-3</v>
      </c>
      <c r="E132" s="69">
        <f>IFERROR(IF(OR(NOT(ISNUMBER('Price History'!E133)),NOT(ISNUMBER('Price History'!E132)),'Price History'!E132=0),"",'Price History'!E133/'Price History'!E132-1),"")</f>
        <v>4.8898279504980824E-3</v>
      </c>
      <c r="F132" s="69">
        <f>IFERROR(IF(OR(NOT(ISNUMBER('Price History'!F133)),NOT(ISNUMBER('Price History'!F132)),'Price History'!F132=0),"",'Price History'!F133/'Price History'!F132-1),"")</f>
        <v>-0.10394200271862253</v>
      </c>
      <c r="G132" s="69">
        <f>IFERROR(IF(OR(NOT(ISNUMBER('Price History'!G133)),NOT(ISNUMBER('Price History'!G132)),'Price History'!G132=0),"",'Price History'!G133/'Price History'!G132-1),"")</f>
        <v>1.0504937320540586E-2</v>
      </c>
      <c r="H132" s="69">
        <f>IFERROR(IF(OR(NOT(ISNUMBER('Price History'!H133)),NOT(ISNUMBER('Price History'!H132)),'Price History'!H132=0),"",'Price History'!H133/'Price History'!H132-1),"")</f>
        <v>-4.8664674122637863E-2</v>
      </c>
      <c r="I132" s="69">
        <f>IFERROR(IF(OR(NOT(ISNUMBER('Price History'!I133)),NOT(ISNUMBER('Price History'!I132)),'Price History'!I132=0),"",'Price History'!I133/'Price History'!I132-1),"")</f>
        <v>-2.9927274629833134E-2</v>
      </c>
      <c r="J132" s="69">
        <f>IFERROR(IF(OR(NOT(ISNUMBER('Price History'!J133)),NOT(ISNUMBER('Price History'!J132)),'Price History'!J132=0),"",'Price History'!J133/'Price History'!J132-1),"")</f>
        <v>4.8943014705882248E-2</v>
      </c>
      <c r="K132" s="69">
        <f>IFERROR(IF(OR(NOT(ISNUMBER('Price History'!K133)),NOT(ISNUMBER('Price History'!K132)),'Price History'!K132=0),"",'Price History'!K133/'Price History'!K132-1),"")</f>
        <v>-7.2924483252609251E-2</v>
      </c>
      <c r="L132" s="69">
        <f>IFERROR(IF(OR(NOT(ISNUMBER('Price History'!L133)),NOT(ISNUMBER('Price History'!L132)),'Price History'!L132=0),"",'Price History'!L133/'Price History'!L132-1),"")</f>
        <v>5.5330348499516013E-2</v>
      </c>
      <c r="M132" s="69">
        <f>IFERROR(IF(OR(NOT(ISNUMBER('Price History'!M133)),NOT(ISNUMBER('Price History'!M132)),'Price History'!M132=0),"",'Price History'!M133/'Price History'!M132-1),"")</f>
        <v>5.0488774304436657E-2</v>
      </c>
      <c r="N132" s="69">
        <f>IFERROR(IF(OR(NOT(ISNUMBER('Price History'!N133)),NOT(ISNUMBER('Price History'!N132)),'Price History'!N132=0),"",'Price History'!N133/'Price History'!N132-1),"")</f>
        <v>1.706746116194946E-2</v>
      </c>
      <c r="O132" s="69">
        <f>IFERROR(IF(OR(NOT(ISNUMBER('Price History'!O133)),NOT(ISNUMBER('Price History'!O132)),'Price History'!O132=0),"",'Price History'!O133/'Price History'!O132-1),"")</f>
        <v>5.4177724901619762E-2</v>
      </c>
      <c r="P132" s="69" t="str">
        <f>IFERROR(IF(OR(NOT(ISNUMBER('Price History'!P133)),NOT(ISNUMBER('Price History'!P132)),'Price History'!P132=0),"",'Price History'!P133/'Price History'!P132-1),"")</f>
        <v/>
      </c>
      <c r="Q132" s="69">
        <f>IFERROR(IF(OR(NOT(ISNUMBER('Price History'!Q133)),NOT(ISNUMBER('Price History'!Q132)),'Price History'!Q132=0),"",'Price History'!Q133/'Price History'!Q132-1),"")</f>
        <v>-1.3845675171126337E-2</v>
      </c>
      <c r="R132" s="69">
        <f>IFERROR(IF(OR(NOT(ISNUMBER('Price History'!R133)),NOT(ISNUMBER('Price History'!R132)),'Price History'!R132=0),"",'Price History'!R133/'Price History'!R132-1),"")</f>
        <v>-2.3220595658758225E-2</v>
      </c>
      <c r="S132" s="69">
        <f>IFERROR(IF(OR(NOT(ISNUMBER('Price History'!S133)),NOT(ISNUMBER('Price History'!S132)),'Price History'!S132=0),"",'Price History'!S133/'Price History'!S132-1),"")</f>
        <v>-2.5027112705433563E-4</v>
      </c>
      <c r="T132" s="69">
        <f>IFERROR(IF(OR(NOT(ISNUMBER('Price History'!T133)),NOT(ISNUMBER('Price History'!T132)),'Price History'!T132=0),"",'Price History'!T133/'Price History'!T132-1),"")</f>
        <v>2.4322270078540598E-2</v>
      </c>
      <c r="U132" s="69" t="str">
        <f>IFERROR(IF(OR(NOT(ISNUMBER('Price History'!U133)),NOT(ISNUMBER('Price History'!U132)),'Price History'!U132=0),"",'Price History'!U133/'Price History'!U132-1),"")</f>
        <v/>
      </c>
    </row>
    <row r="133" spans="1:21" ht="15" customHeight="1" x14ac:dyDescent="0.2">
      <c r="A133" s="52">
        <f>'Price History'!A134</f>
        <v>46066</v>
      </c>
      <c r="B133" s="69">
        <f>IFERROR(IF(OR(NOT(ISNUMBER('Price History'!B134)),NOT(ISNUMBER('Price History'!B133)),'Price History'!B133=0),"",'Price History'!B134/'Price History'!B133-1),"")</f>
        <v>-1.6431924882629012E-2</v>
      </c>
      <c r="C133" s="69">
        <f>IFERROR(IF(OR(NOT(ISNUMBER('Price History'!C134)),NOT(ISNUMBER('Price History'!C133)),'Price History'!C133=0),"",'Price History'!C134/'Price History'!C133-1),"")</f>
        <v>2.9820350570950671E-2</v>
      </c>
      <c r="D133" s="69">
        <f>IFERROR(IF(OR(NOT(ISNUMBER('Price History'!D134)),NOT(ISNUMBER('Price History'!D133)),'Price History'!D133=0),"",'Price History'!D134/'Price History'!D133-1),"")</f>
        <v>-4.5293380797022387E-3</v>
      </c>
      <c r="E133" s="69">
        <f>IFERROR(IF(OR(NOT(ISNUMBER('Price History'!E134)),NOT(ISNUMBER('Price History'!E133)),'Price History'!E133=0),"",'Price History'!E134/'Price History'!E133-1),"")</f>
        <v>-2.3278865793584069E-2</v>
      </c>
      <c r="F133" s="69">
        <f>IFERROR(IF(OR(NOT(ISNUMBER('Price History'!F134)),NOT(ISNUMBER('Price History'!F133)),'Price History'!F133=0),"",'Price History'!F134/'Price History'!F133-1),"")</f>
        <v>8.6266181229773586E-2</v>
      </c>
      <c r="G133" s="69">
        <f>IFERROR(IF(OR(NOT(ISNUMBER('Price History'!G134)),NOT(ISNUMBER('Price History'!G133)),'Price History'!G133=0),"",'Price History'!G134/'Price History'!G133-1),"")</f>
        <v>1.4692632892092439E-2</v>
      </c>
      <c r="H133" s="69">
        <f>IFERROR(IF(OR(NOT(ISNUMBER('Price History'!H134)),NOT(ISNUMBER('Price History'!H133)),'Price History'!H133=0),"",'Price History'!H134/'Price History'!H133-1),"")</f>
        <v>4.2995768831234793E-2</v>
      </c>
      <c r="I133" s="69">
        <f>IFERROR(IF(OR(NOT(ISNUMBER('Price History'!I134)),NOT(ISNUMBER('Price History'!I133)),'Price History'!I133=0),"",'Price History'!I134/'Price History'!I133-1),"")</f>
        <v>-1.4022976107006091E-2</v>
      </c>
      <c r="J133" s="69">
        <f>IFERROR(IF(OR(NOT(ISNUMBER('Price History'!J134)),NOT(ISNUMBER('Price History'!J133)),'Price History'!J133=0),"",'Price History'!J134/'Price History'!J133-1),"")</f>
        <v>1.4749908725812499E-2</v>
      </c>
      <c r="K133" s="69">
        <f>IFERROR(IF(OR(NOT(ISNUMBER('Price History'!K134)),NOT(ISNUMBER('Price History'!K133)),'Price History'!K133=0),"",'Price History'!K134/'Price History'!K133-1),"")</f>
        <v>-3.303899926416487E-2</v>
      </c>
      <c r="L133" s="69">
        <f>IFERROR(IF(OR(NOT(ISNUMBER('Price History'!L134)),NOT(ISNUMBER('Price History'!L133)),'Price History'!L133=0),"",'Price History'!L134/'Price History'!L133-1),"")</f>
        <v>5.0193492905260095E-2</v>
      </c>
      <c r="M133" s="69">
        <f>IFERROR(IF(OR(NOT(ISNUMBER('Price History'!M134)),NOT(ISNUMBER('Price History'!M133)),'Price History'!M133=0),"",'Price History'!M134/'Price History'!M133-1),"")</f>
        <v>0.19915124245832905</v>
      </c>
      <c r="N133" s="69">
        <f>IFERROR(IF(OR(NOT(ISNUMBER('Price History'!N134)),NOT(ISNUMBER('Price History'!N133)),'Price History'!N133=0),"",'Price History'!N134/'Price History'!N133-1),"")</f>
        <v>2.8352025443588946E-2</v>
      </c>
      <c r="O133" s="69">
        <f>IFERROR(IF(OR(NOT(ISNUMBER('Price History'!O134)),NOT(ISNUMBER('Price History'!O133)),'Price History'!O133=0),"",'Price History'!O134/'Price History'!O133-1),"")</f>
        <v>-2.5175796510112924E-3</v>
      </c>
      <c r="P133" s="69" t="str">
        <f>IFERROR(IF(OR(NOT(ISNUMBER('Price History'!P134)),NOT(ISNUMBER('Price History'!P133)),'Price History'!P133=0),"",'Price History'!P134/'Price History'!P133-1),"")</f>
        <v/>
      </c>
      <c r="Q133" s="69">
        <f>IFERROR(IF(OR(NOT(ISNUMBER('Price History'!Q134)),NOT(ISNUMBER('Price History'!Q133)),'Price History'!Q133=0),"",'Price History'!Q134/'Price History'!Q133-1),"")</f>
        <v>1.1673765578166906E-2</v>
      </c>
      <c r="R133" s="69">
        <f>IFERROR(IF(OR(NOT(ISNUMBER('Price History'!R134)),NOT(ISNUMBER('Price History'!R133)),'Price History'!R133=0),"",'Price History'!R134/'Price History'!R133-1),"")</f>
        <v>-9.302325581395321E-3</v>
      </c>
      <c r="S133" s="69">
        <f>IFERROR(IF(OR(NOT(ISNUMBER('Price History'!S134)),NOT(ISNUMBER('Price History'!S133)),'Price History'!S133=0),"",'Price History'!S134/'Price History'!S133-1),"")</f>
        <v>-1.3267690253671582E-2</v>
      </c>
      <c r="T133" s="69">
        <f>IFERROR(IF(OR(NOT(ISNUMBER('Price History'!T134)),NOT(ISNUMBER('Price History'!T133)),'Price History'!T133=0),"",'Price History'!T134/'Price History'!T133-1),"")</f>
        <v>-4.2047984170171526E-3</v>
      </c>
      <c r="U133" s="69" t="str">
        <f>IFERROR(IF(OR(NOT(ISNUMBER('Price History'!U134)),NOT(ISNUMBER('Price History'!U133)),'Price History'!U133=0),"",'Price History'!U134/'Price History'!U133-1),"")</f>
        <v/>
      </c>
    </row>
    <row r="134" spans="1:21" ht="15" customHeight="1" x14ac:dyDescent="0.2">
      <c r="A134" s="52">
        <f>'Price History'!A135</f>
        <v>46073</v>
      </c>
      <c r="B134" s="69">
        <f>IFERROR(IF(OR(NOT(ISNUMBER('Price History'!B135)),NOT(ISNUMBER('Price History'!B134)),'Price History'!B134=0),"",'Price History'!B135/'Price History'!B134-1),"")</f>
        <v>-2.0305337727772099E-2</v>
      </c>
      <c r="C134" s="69">
        <f>IFERROR(IF(OR(NOT(ISNUMBER('Price History'!C135)),NOT(ISNUMBER('Price History'!C134)),'Price History'!C134=0),"",'Price History'!C135/'Price History'!C134-1),"")</f>
        <v>-6.2151281870188702E-2</v>
      </c>
      <c r="D134" s="69">
        <f>IFERROR(IF(OR(NOT(ISNUMBER('Price History'!D135)),NOT(ISNUMBER('Price History'!D134)),'Price History'!D134=0),"",'Price History'!D135/'Price History'!D134-1),"")</f>
        <v>4.4774315552996269E-2</v>
      </c>
      <c r="E134" s="69">
        <f>IFERROR(IF(OR(NOT(ISNUMBER('Price History'!E135)),NOT(ISNUMBER('Price History'!E134)),'Price History'!E134=0),"",'Price History'!E135/'Price History'!E134-1),"")</f>
        <v>2.3003352092751284E-2</v>
      </c>
      <c r="F134" s="69">
        <f>IFERROR(IF(OR(NOT(ISNUMBER('Price History'!F135)),NOT(ISNUMBER('Price History'!F134)),'Price History'!F134=0),"",'Price History'!F135/'Price History'!F134-1),"")</f>
        <v>-9.5521832231635684E-2</v>
      </c>
      <c r="G134" s="69">
        <f>IFERROR(IF(OR(NOT(ISNUMBER('Price History'!G135)),NOT(ISNUMBER('Price History'!G134)),'Price History'!G134=0),"",'Price History'!G135/'Price History'!G134-1),"")</f>
        <v>2.1788129226145703E-2</v>
      </c>
      <c r="H134" s="69">
        <f>IFERROR(IF(OR(NOT(ISNUMBER('Price History'!H135)),NOT(ISNUMBER('Price History'!H134)),'Price History'!H134=0),"",'Price History'!H135/'Price History'!H134-1),"")</f>
        <v>4.0105912646358544E-2</v>
      </c>
      <c r="I134" s="69">
        <f>IFERROR(IF(OR(NOT(ISNUMBER('Price History'!I135)),NOT(ISNUMBER('Price History'!I134)),'Price History'!I134=0),"",'Price History'!I135/'Price History'!I134-1),"")</f>
        <v>3.8345823532629497E-2</v>
      </c>
      <c r="J134" s="69">
        <f>IFERROR(IF(OR(NOT(ISNUMBER('Price History'!J135)),NOT(ISNUMBER('Price History'!J134)),'Price History'!J134=0),"",'Price History'!J135/'Price History'!J134-1),"")</f>
        <v>1.8277326041591602E-2</v>
      </c>
      <c r="K134" s="69">
        <f>IFERROR(IF(OR(NOT(ISNUMBER('Price History'!K135)),NOT(ISNUMBER('Price History'!K134)),'Price History'!K134=0),"",'Price History'!K135/'Price History'!K134-1),"")</f>
        <v>2.9145422722776093E-2</v>
      </c>
      <c r="L134" s="69">
        <f>IFERROR(IF(OR(NOT(ISNUMBER('Price History'!L135)),NOT(ISNUMBER('Price History'!L134)),'Price History'!L134=0),"",'Price History'!L135/'Price History'!L134-1),"")</f>
        <v>1.1409542526476635E-2</v>
      </c>
      <c r="M134" s="69">
        <f>IFERROR(IF(OR(NOT(ISNUMBER('Price History'!M135)),NOT(ISNUMBER('Price History'!M134)),'Price History'!M134=0),"",'Price History'!M135/'Price History'!M134-1),"")</f>
        <v>3.9312667888969477E-2</v>
      </c>
      <c r="N134" s="69">
        <f>IFERROR(IF(OR(NOT(ISNUMBER('Price History'!N135)),NOT(ISNUMBER('Price History'!N134)),'Price History'!N134=0),"",'Price History'!N135/'Price History'!N134-1),"")</f>
        <v>-2.9645756607727947E-2</v>
      </c>
      <c r="O134" s="69">
        <f>IFERROR(IF(OR(NOT(ISNUMBER('Price History'!O135)),NOT(ISNUMBER('Price History'!O134)),'Price History'!O134=0),"",'Price History'!O135/'Price History'!O134-1),"")</f>
        <v>5.5700609225413089E-3</v>
      </c>
      <c r="P134" s="69" t="str">
        <f>IFERROR(IF(OR(NOT(ISNUMBER('Price History'!P135)),NOT(ISNUMBER('Price History'!P134)),'Price History'!P134=0),"",'Price History'!P135/'Price History'!P134-1),"")</f>
        <v/>
      </c>
      <c r="Q134" s="69">
        <f>IFERROR(IF(OR(NOT(ISNUMBER('Price History'!Q135)),NOT(ISNUMBER('Price History'!Q134)),'Price History'!Q134=0),"",'Price History'!Q135/'Price History'!Q134-1),"")</f>
        <v>2.0427257133946775E-2</v>
      </c>
      <c r="R134" s="69">
        <f>IFERROR(IF(OR(NOT(ISNUMBER('Price History'!R135)),NOT(ISNUMBER('Price History'!R134)),'Price History'!R134=0),"",'Price History'!R135/'Price History'!R134-1),"")</f>
        <v>1.1128499391410251E-2</v>
      </c>
      <c r="S134" s="69">
        <f>IFERROR(IF(OR(NOT(ISNUMBER('Price History'!S135)),NOT(ISNUMBER('Price History'!S134)),'Price History'!S134=0),"",'Price History'!S135/'Price History'!S134-1),"")</f>
        <v>1.4460887949260037E-2</v>
      </c>
      <c r="T134" s="69">
        <f>IFERROR(IF(OR(NOT(ISNUMBER('Price History'!T135)),NOT(ISNUMBER('Price History'!T134)),'Price History'!T134=0),"",'Price History'!T135/'Price History'!T134-1),"")</f>
        <v>1.9870839542972529E-3</v>
      </c>
      <c r="U134" s="69" t="str">
        <f>IFERROR(IF(OR(NOT(ISNUMBER('Price History'!U135)),NOT(ISNUMBER('Price History'!U134)),'Price History'!U134=0),"",'Price History'!U135/'Price History'!U134-1),"")</f>
        <v/>
      </c>
    </row>
    <row r="135" spans="1:21" ht="15" customHeight="1" x14ac:dyDescent="0.2">
      <c r="A135" s="52">
        <f>'Price History'!A136</f>
        <v>46080</v>
      </c>
      <c r="B135" s="69">
        <f>IFERROR(IF(OR(NOT(ISNUMBER('Price History'!B136)),NOT(ISNUMBER('Price History'!B135)),'Price History'!B135=0),"",'Price History'!B136/'Price History'!B135-1),"")</f>
        <v>1.4693940682881657E-2</v>
      </c>
      <c r="C135" s="69">
        <f>IFERROR(IF(OR(NOT(ISNUMBER('Price History'!C136)),NOT(ISNUMBER('Price History'!C135)),'Price History'!C135=0),"",'Price History'!C136/'Price History'!C135-1),"")</f>
        <v>5.3467881617592639E-3</v>
      </c>
      <c r="D135" s="69">
        <f>IFERROR(IF(OR(NOT(ISNUMBER('Price History'!D136)),NOT(ISNUMBER('Price History'!D135)),'Price History'!D135=0),"",'Price History'!D136/'Price History'!D135-1),"")</f>
        <v>-1.2949189910110959E-2</v>
      </c>
      <c r="E135" s="69">
        <f>IFERROR(IF(OR(NOT(ISNUMBER('Price History'!E136)),NOT(ISNUMBER('Price History'!E135)),'Price History'!E135=0),"",'Price History'!E136/'Price History'!E135-1),"")</f>
        <v>-3.9380730497519778E-2</v>
      </c>
      <c r="F135" s="69">
        <f>IFERROR(IF(OR(NOT(ISNUMBER('Price History'!F136)),NOT(ISNUMBER('Price History'!F135)),'Price History'!F135=0),"",'Price History'!F136/'Price History'!F135-1),"")</f>
        <v>-4.2717447246526041E-2</v>
      </c>
      <c r="G135" s="69">
        <f>IFERROR(IF(OR(NOT(ISNUMBER('Price History'!G136)),NOT(ISNUMBER('Price History'!G135)),'Price History'!G135=0),"",'Price History'!G136/'Price History'!G135-1),"")</f>
        <v>1.9117647058823684E-2</v>
      </c>
      <c r="H135" s="69">
        <f>IFERROR(IF(OR(NOT(ISNUMBER('Price History'!H136)),NOT(ISNUMBER('Price History'!H135)),'Price History'!H135=0),"",'Price History'!H136/'Price History'!H135-1),"")</f>
        <v>-3.6901230819534336E-2</v>
      </c>
      <c r="I135" s="69">
        <f>IFERROR(IF(OR(NOT(ISNUMBER('Price History'!I136)),NOT(ISNUMBER('Price History'!I135)),'Price History'!I135=0),"",'Price History'!I136/'Price History'!I135-1),"")</f>
        <v>-6.6536718996944466E-2</v>
      </c>
      <c r="J135" s="69">
        <f>IFERROR(IF(OR(NOT(ISNUMBER('Price History'!J136)),NOT(ISNUMBER('Price History'!J135)),'Price History'!J135=0),"",'Price History'!J136/'Price History'!J135-1),"")</f>
        <v>7.4906367041198685E-3</v>
      </c>
      <c r="K135" s="69">
        <f>IFERROR(IF(OR(NOT(ISNUMBER('Price History'!K136)),NOT(ISNUMBER('Price History'!K135)),'Price History'!K135=0),"",'Price History'!K136/'Price History'!K135-1),"")</f>
        <v>1.4418811002661958E-2</v>
      </c>
      <c r="L135" s="69">
        <f>IFERROR(IF(OR(NOT(ISNUMBER('Price History'!L136)),NOT(ISNUMBER('Price History'!L135)),'Price History'!L135=0),"",'Price History'!L136/'Price History'!L135-1),"")</f>
        <v>1.0903006423058192E-2</v>
      </c>
      <c r="M135" s="69">
        <f>IFERROR(IF(OR(NOT(ISNUMBER('Price History'!M136)),NOT(ISNUMBER('Price History'!M135)),'Price History'!M135=0),"",'Price History'!M136/'Price History'!M135-1),"")</f>
        <v>4.5702564102564125E-2</v>
      </c>
      <c r="N135" s="69">
        <f>IFERROR(IF(OR(NOT(ISNUMBER('Price History'!N136)),NOT(ISNUMBER('Price History'!N135)),'Price History'!N135=0),"",'Price History'!N136/'Price History'!N135-1),"")</f>
        <v>4.1790731809603798E-2</v>
      </c>
      <c r="O135" s="69">
        <f>IFERROR(IF(OR(NOT(ISNUMBER('Price History'!O136)),NOT(ISNUMBER('Price History'!O135)),'Price History'!O135=0),"",'Price History'!O136/'Price History'!O135-1),"")</f>
        <v>-2.2156828803877482E-2</v>
      </c>
      <c r="P135" s="69" t="str">
        <f>IFERROR(IF(OR(NOT(ISNUMBER('Price History'!P136)),NOT(ISNUMBER('Price History'!P135)),'Price History'!P135=0),"",'Price History'!P136/'Price History'!P135-1),"")</f>
        <v/>
      </c>
      <c r="Q135" s="69">
        <f>IFERROR(IF(OR(NOT(ISNUMBER('Price History'!Q136)),NOT(ISNUMBER('Price History'!Q135)),'Price History'!Q135=0),"",'Price History'!Q136/'Price History'!Q135-1),"")</f>
        <v>2.5672371638141955E-2</v>
      </c>
      <c r="R135" s="69">
        <f>IFERROR(IF(OR(NOT(ISNUMBER('Price History'!R136)),NOT(ISNUMBER('Price History'!R135)),'Price History'!R135=0),"",'Price History'!R136/'Price History'!R135-1),"")</f>
        <v>-1.8916595012897774E-3</v>
      </c>
      <c r="S135" s="69">
        <f>IFERROR(IF(OR(NOT(ISNUMBER('Price History'!S136)),NOT(ISNUMBER('Price History'!S135)),'Price History'!S135=0),"",'Price History'!S136/'Price History'!S135-1),"")</f>
        <v>-4.0846948982994347E-3</v>
      </c>
      <c r="T135" s="69">
        <f>IFERROR(IF(OR(NOT(ISNUMBER('Price History'!T136)),NOT(ISNUMBER('Price History'!T135)),'Price History'!T135=0),"",'Price History'!T136/'Price History'!T135-1),"")</f>
        <v>3.4705007436786062E-3</v>
      </c>
      <c r="U135" s="69" t="str">
        <f>IFERROR(IF(OR(NOT(ISNUMBER('Price History'!U136)),NOT(ISNUMBER('Price History'!U135)),'Price History'!U135=0),"",'Price History'!U136/'Price History'!U135-1),"")</f>
        <v/>
      </c>
    </row>
    <row r="136" spans="1:21" ht="15" customHeight="1" x14ac:dyDescent="0.2">
      <c r="A136" s="52">
        <f>'Price History'!A137</f>
        <v>46087</v>
      </c>
      <c r="B136" s="69">
        <f>IFERROR(IF(OR(NOT(ISNUMBER('Price History'!B137)),NOT(ISNUMBER('Price History'!B136)),'Price History'!B136=0),"",'Price History'!B137/'Price History'!B136-1),"")</f>
        <v>8.0827712358522819E-2</v>
      </c>
      <c r="C136" s="69">
        <f>IFERROR(IF(OR(NOT(ISNUMBER('Price History'!C137)),NOT(ISNUMBER('Price History'!C136)),'Price History'!C136=0),"",'Price History'!C137/'Price History'!C136-1),"")</f>
        <v>-4.5692883895132042E-3</v>
      </c>
      <c r="D136" s="69">
        <f>IFERROR(IF(OR(NOT(ISNUMBER('Price History'!D137)),NOT(ISNUMBER('Price History'!D136)),'Price History'!D136=0),"",'Price History'!D137/'Price History'!D136-1),"")</f>
        <v>-0.10875799691153765</v>
      </c>
      <c r="E136" s="69">
        <f>IFERROR(IF(OR(NOT(ISNUMBER('Price History'!E137)),NOT(ISNUMBER('Price History'!E136)),'Price History'!E136=0),"",'Price History'!E137/'Price History'!E136-1),"")</f>
        <v>3.4204349867000383E-2</v>
      </c>
      <c r="F136" s="69">
        <f>IFERROR(IF(OR(NOT(ISNUMBER('Price History'!F137)),NOT(ISNUMBER('Price History'!F136)),'Price History'!F136=0),"",'Price History'!F137/'Price History'!F136-1),"")</f>
        <v>0.15322580645161299</v>
      </c>
      <c r="G136" s="69">
        <f>IFERROR(IF(OR(NOT(ISNUMBER('Price History'!G137)),NOT(ISNUMBER('Price History'!G136)),'Price History'!G136=0),"",'Price History'!G137/'Price History'!G136-1),"")</f>
        <v>-0.11806375442739081</v>
      </c>
      <c r="H136" s="69">
        <f>IFERROR(IF(OR(NOT(ISNUMBER('Price History'!H137)),NOT(ISNUMBER('Price History'!H136)),'Price History'!H136=0),"",'Price History'!H137/'Price History'!H136-1),"")</f>
        <v>-0.10202003055508402</v>
      </c>
      <c r="I136" s="69">
        <f>IFERROR(IF(OR(NOT(ISNUMBER('Price History'!I137)),NOT(ISNUMBER('Price History'!I136)),'Price History'!I136=0),"",'Price History'!I137/'Price History'!I136-1),"")</f>
        <v>3.5555053896947353E-3</v>
      </c>
      <c r="J136" s="69">
        <f>IFERROR(IF(OR(NOT(ISNUMBER('Price History'!J137)),NOT(ISNUMBER('Price History'!J136)),'Price History'!J136=0),"",'Price History'!J137/'Price History'!J136-1),"")</f>
        <v>-5.6323209651399364E-2</v>
      </c>
      <c r="K136" s="69">
        <f>IFERROR(IF(OR(NOT(ISNUMBER('Price History'!K137)),NOT(ISNUMBER('Price History'!K136)),'Price History'!K136=0),"",'Price History'!K137/'Price History'!K136-1),"")</f>
        <v>0.14556454552081055</v>
      </c>
      <c r="L136" s="69">
        <f>IFERROR(IF(OR(NOT(ISNUMBER('Price History'!L137)),NOT(ISNUMBER('Price History'!L136)),'Price History'!L136=0),"",'Price History'!L137/'Price History'!L136-1),"")</f>
        <v>-9.52800469859576E-2</v>
      </c>
      <c r="M136" s="69">
        <f>IFERROR(IF(OR(NOT(ISNUMBER('Price History'!M137)),NOT(ISNUMBER('Price History'!M136)),'Price History'!M136=0),"",'Price History'!M137/'Price History'!M136-1),"")</f>
        <v>-5.1433951900819896E-2</v>
      </c>
      <c r="N136" s="69">
        <f>IFERROR(IF(OR(NOT(ISNUMBER('Price History'!N137)),NOT(ISNUMBER('Price History'!N136)),'Price History'!N136=0),"",'Price History'!N137/'Price History'!N136-1),"")</f>
        <v>-8.0792222691866367E-2</v>
      </c>
      <c r="O136" s="69">
        <f>IFERROR(IF(OR(NOT(ISNUMBER('Price History'!O137)),NOT(ISNUMBER('Price History'!O136)),'Price History'!O136=0),"",'Price History'!O137/'Price History'!O136-1),"")</f>
        <v>-3.8325367321649817E-2</v>
      </c>
      <c r="P136" s="69" t="str">
        <f>IFERROR(IF(OR(NOT(ISNUMBER('Price History'!P137)),NOT(ISNUMBER('Price History'!P136)),'Price History'!P136=0),"",'Price History'!P137/'Price History'!P136-1),"")</f>
        <v/>
      </c>
      <c r="Q136" s="69">
        <f>IFERROR(IF(OR(NOT(ISNUMBER('Price History'!Q137)),NOT(ISNUMBER('Price History'!Q136)),'Price History'!Q136=0),"",'Price History'!Q137/'Price History'!Q136-1),"")</f>
        <v>2.2348033373060794E-3</v>
      </c>
      <c r="R136" s="69">
        <f>IFERROR(IF(OR(NOT(ISNUMBER('Price History'!R137)),NOT(ISNUMBER('Price History'!R136)),'Price History'!R136=0),"",'Price History'!R137/'Price History'!R136-1),"")</f>
        <v>-2.0503101309441774E-2</v>
      </c>
      <c r="S136" s="69">
        <f>IFERROR(IF(OR(NOT(ISNUMBER('Price History'!S137)),NOT(ISNUMBER('Price History'!S136)),'Price History'!S136=0),"",'Price History'!S137/'Price History'!S136-1),"")</f>
        <v>-1.0295471666527223E-2</v>
      </c>
      <c r="T136" s="69">
        <f>IFERROR(IF(OR(NOT(ISNUMBER('Price History'!T137)),NOT(ISNUMBER('Price History'!T136)),'Price History'!T136=0),"",'Price History'!T137/'Price History'!T136-1),"")</f>
        <v>-9.1403162055335718E-3</v>
      </c>
      <c r="U136" s="69" t="str">
        <f>IFERROR(IF(OR(NOT(ISNUMBER('Price History'!U137)),NOT(ISNUMBER('Price History'!U136)),'Price History'!U136=0),"",'Price History'!U137/'Price History'!U136-1),"")</f>
        <v/>
      </c>
    </row>
    <row r="137" spans="1:21" ht="15" customHeight="1" x14ac:dyDescent="0.2">
      <c r="A137" s="52">
        <f>'Price History'!A138</f>
        <v>46094</v>
      </c>
      <c r="B137" s="69">
        <f>IFERROR(IF(OR(NOT(ISNUMBER('Price History'!B138)),NOT(ISNUMBER('Price History'!B137)),'Price History'!B137=0),"",'Price History'!B138/'Price History'!B137-1),"")</f>
        <v>-0.12093646428319582</v>
      </c>
      <c r="C137" s="69">
        <f>IFERROR(IF(OR(NOT(ISNUMBER('Price History'!C138)),NOT(ISNUMBER('Price History'!C137)),'Price History'!C137=0),"",'Price History'!C138/'Price History'!C137-1),"")</f>
        <v>5.1170140717886614E-3</v>
      </c>
      <c r="D137" s="69">
        <f>IFERROR(IF(OR(NOT(ISNUMBER('Price History'!D138)),NOT(ISNUMBER('Price History'!D137)),'Price History'!D137=0),"",'Price History'!D138/'Price History'!D137-1),"")</f>
        <v>4.0911200495049593E-2</v>
      </c>
      <c r="E137" s="69">
        <f>IFERROR(IF(OR(NOT(ISNUMBER('Price History'!E138)),NOT(ISNUMBER('Price History'!E137)),'Price History'!E137=0),"",'Price History'!E138/'Price History'!E137-1),"")</f>
        <v>-2.5175502299685237E-2</v>
      </c>
      <c r="F137" s="69">
        <f>IFERROR(IF(OR(NOT(ISNUMBER('Price History'!F138)),NOT(ISNUMBER('Price History'!F137)),'Price History'!F137=0),"",'Price History'!F138/'Price History'!F137-1),"")</f>
        <v>2.9836829836829892E-2</v>
      </c>
      <c r="G137" s="69">
        <f>IFERROR(IF(OR(NOT(ISNUMBER('Price History'!G138)),NOT(ISNUMBER('Price History'!G137)),'Price History'!G137=0),"",'Price History'!G138/'Price History'!G137-1),"")</f>
        <v>5.5034954633348177E-2</v>
      </c>
      <c r="H137" s="69">
        <f>IFERROR(IF(OR(NOT(ISNUMBER('Price History'!H138)),NOT(ISNUMBER('Price History'!H137)),'Price History'!H137=0),"",'Price History'!H138/'Price History'!H137-1),"")</f>
        <v>0.1507696462327841</v>
      </c>
      <c r="I137" s="69">
        <f>IFERROR(IF(OR(NOT(ISNUMBER('Price History'!I138)),NOT(ISNUMBER('Price History'!I137)),'Price History'!I137=0),"",'Price History'!I138/'Price History'!I137-1),"")</f>
        <v>1.3665504442694987E-2</v>
      </c>
      <c r="J137" s="69">
        <f>IFERROR(IF(OR(NOT(ISNUMBER('Price History'!J138)),NOT(ISNUMBER('Price History'!J137)),'Price History'!J137=0),"",'Price History'!J138/'Price History'!J137-1),"")</f>
        <v>-2.0737327188940058E-2</v>
      </c>
      <c r="K137" s="69">
        <f>IFERROR(IF(OR(NOT(ISNUMBER('Price History'!K138)),NOT(ISNUMBER('Price History'!K137)),'Price History'!K137=0),"",'Price History'!K138/'Price History'!K137-1),"")</f>
        <v>-3.9513871214049479E-2</v>
      </c>
      <c r="L137" s="69">
        <f>IFERROR(IF(OR(NOT(ISNUMBER('Price History'!L138)),NOT(ISNUMBER('Price History'!L137)),'Price History'!L137=0),"",'Price History'!L138/'Price History'!L137-1),"")</f>
        <v>-1.7114697984595972E-3</v>
      </c>
      <c r="M137" s="69">
        <f>IFERROR(IF(OR(NOT(ISNUMBER('Price History'!M138)),NOT(ISNUMBER('Price History'!M137)),'Price History'!M137=0),"",'Price History'!M138/'Price History'!M137-1),"")</f>
        <v>7.0725452891057916E-2</v>
      </c>
      <c r="N137" s="69">
        <f>IFERROR(IF(OR(NOT(ISNUMBER('Price History'!N138)),NOT(ISNUMBER('Price History'!N137)),'Price History'!N137=0),"",'Price History'!N138/'Price History'!N137-1),"")</f>
        <v>2.7699314633558902E-2</v>
      </c>
      <c r="O137" s="69">
        <f>IFERROR(IF(OR(NOT(ISNUMBER('Price History'!O138)),NOT(ISNUMBER('Price History'!O137)),'Price History'!O137=0),"",'Price History'!O138/'Price History'!O137-1),"")</f>
        <v>-2.1721122871606102E-2</v>
      </c>
      <c r="P137" s="69" t="str">
        <f>IFERROR(IF(OR(NOT(ISNUMBER('Price History'!P138)),NOT(ISNUMBER('Price History'!P137)),'Price History'!P137=0),"",'Price History'!P138/'Price History'!P137-1),"")</f>
        <v/>
      </c>
      <c r="Q137" s="69">
        <f>IFERROR(IF(OR(NOT(ISNUMBER('Price History'!Q138)),NOT(ISNUMBER('Price History'!Q137)),'Price History'!Q137=0),"",'Price History'!Q138/'Price History'!Q137-1),"")</f>
        <v>4.0136762301175022E-3</v>
      </c>
      <c r="R137" s="69">
        <f>IFERROR(IF(OR(NOT(ISNUMBER('Price History'!R138)),NOT(ISNUMBER('Price History'!R137)),'Price History'!R137=0),"",'Price History'!R138/'Price History'!R137-1),"")</f>
        <v>-5.1011433597185629E-3</v>
      </c>
      <c r="S137" s="69">
        <f>IFERROR(IF(OR(NOT(ISNUMBER('Price History'!S138)),NOT(ISNUMBER('Price History'!S137)),'Price History'!S137=0),"",'Price History'!S138/'Price History'!S137-1),"")</f>
        <v>-1.7422192151556049E-2</v>
      </c>
      <c r="T137" s="69">
        <f>IFERROR(IF(OR(NOT(ISNUMBER('Price History'!T138)),NOT(ISNUMBER('Price History'!T137)),'Price History'!T137=0),"",'Price History'!T138/'Price History'!T137-1),"")</f>
        <v>-2.2687609075043524E-2</v>
      </c>
      <c r="U137" s="69" t="str">
        <f>IFERROR(IF(OR(NOT(ISNUMBER('Price History'!U138)),NOT(ISNUMBER('Price History'!U137)),'Price History'!U137=0),"",'Price History'!U138/'Price History'!U137-1),"")</f>
        <v/>
      </c>
    </row>
    <row r="138" spans="1:21" ht="15" customHeight="1" x14ac:dyDescent="0.2">
      <c r="A138" s="52">
        <f>'Price History'!A139</f>
        <v>46101</v>
      </c>
      <c r="B138" s="69">
        <f>IFERROR(IF(OR(NOT(ISNUMBER('Price History'!B139)),NOT(ISNUMBER('Price History'!B138)),'Price History'!B138=0),"",'Price History'!B139/'Price History'!B138-1),"")</f>
        <v>-4.6927643189474955E-3</v>
      </c>
      <c r="C138" s="69">
        <f>IFERROR(IF(OR(NOT(ISNUMBER('Price History'!C139)),NOT(ISNUMBER('Price History'!C138)),'Price History'!C138=0),"",'Price History'!C139/'Price History'!C138-1),"")</f>
        <v>-1.7593771056374941E-2</v>
      </c>
      <c r="D138" s="69">
        <f>IFERROR(IF(OR(NOT(ISNUMBER('Price History'!D139)),NOT(ISNUMBER('Price History'!D138)),'Price History'!D138=0),"",'Price History'!D139/'Price History'!D138-1),"")</f>
        <v>-2.1134139363449322E-2</v>
      </c>
      <c r="E138" s="69">
        <f>IFERROR(IF(OR(NOT(ISNUMBER('Price History'!E139)),NOT(ISNUMBER('Price History'!E138)),'Price History'!E138=0),"",'Price History'!E139/'Price History'!E138-1),"")</f>
        <v>-3.6162155450707778E-2</v>
      </c>
      <c r="F138" s="69">
        <f>IFERROR(IF(OR(NOT(ISNUMBER('Price History'!F139)),NOT(ISNUMBER('Price History'!F138)),'Price History'!F138=0),"",'Price History'!F139/'Price History'!F138-1),"")</f>
        <v>-7.4241738343141739E-2</v>
      </c>
      <c r="G138" s="69">
        <f>IFERROR(IF(OR(NOT(ISNUMBER('Price History'!G139)),NOT(ISNUMBER('Price History'!G138)),'Price History'!G138=0),"",'Price History'!G139/'Price History'!G138-1),"")</f>
        <v>5.6464119554490377E-2</v>
      </c>
      <c r="H138" s="69">
        <f>IFERROR(IF(OR(NOT(ISNUMBER('Price History'!H139)),NOT(ISNUMBER('Price History'!H138)),'Price History'!H138=0),"",'Price History'!H139/'Price History'!H138-1),"")</f>
        <v>-7.5798465257082004E-3</v>
      </c>
      <c r="I138" s="69">
        <f>IFERROR(IF(OR(NOT(ISNUMBER('Price History'!I139)),NOT(ISNUMBER('Price History'!I138)),'Price History'!I138=0),"",'Price History'!I139/'Price History'!I138-1),"")</f>
        <v>-4.1886269070735116E-2</v>
      </c>
      <c r="J138" s="69">
        <f>IFERROR(IF(OR(NOT(ISNUMBER('Price History'!J139)),NOT(ISNUMBER('Price History'!J138)),'Price History'!J138=0),"",'Price History'!J139/'Price History'!J138-1),"")</f>
        <v>-2.8387096774193599E-2</v>
      </c>
      <c r="K138" s="69">
        <f>IFERROR(IF(OR(NOT(ISNUMBER('Price History'!K139)),NOT(ISNUMBER('Price History'!K138)),'Price History'!K138=0),"",'Price History'!K139/'Price History'!K138-1),"")</f>
        <v>-1.7886717456110368E-3</v>
      </c>
      <c r="L138" s="69">
        <f>IFERROR(IF(OR(NOT(ISNUMBER('Price History'!L139)),NOT(ISNUMBER('Price History'!L138)),'Price History'!L138=0),"",'Price History'!L139/'Price History'!L138-1),"")</f>
        <v>-2.6809730720345204E-2</v>
      </c>
      <c r="M138" s="69">
        <f>IFERROR(IF(OR(NOT(ISNUMBER('Price History'!M139)),NOT(ISNUMBER('Price History'!M138)),'Price History'!M138=0),"",'Price History'!M139/'Price History'!M138-1),"")</f>
        <v>-1.1588380716934465E-2</v>
      </c>
      <c r="N138" s="69">
        <f>IFERROR(IF(OR(NOT(ISNUMBER('Price History'!N139)),NOT(ISNUMBER('Price History'!N138)),'Price History'!N138=0),"",'Price History'!N139/'Price History'!N138-1),"")</f>
        <v>-3.2684194826777979E-2</v>
      </c>
      <c r="O138" s="69">
        <f>IFERROR(IF(OR(NOT(ISNUMBER('Price History'!O139)),NOT(ISNUMBER('Price History'!O138)),'Price History'!O138=0),"",'Price History'!O139/'Price History'!O138-1),"")</f>
        <v>-1.9757267852102967E-3</v>
      </c>
      <c r="P138" s="69" t="str">
        <f>IFERROR(IF(OR(NOT(ISNUMBER('Price History'!P139)),NOT(ISNUMBER('Price History'!P138)),'Price History'!P138=0),"",'Price History'!P139/'Price History'!P138-1),"")</f>
        <v/>
      </c>
      <c r="Q138" s="69">
        <f>IFERROR(IF(OR(NOT(ISNUMBER('Price History'!Q139)),NOT(ISNUMBER('Price History'!Q138)),'Price History'!Q138=0),"",'Price History'!Q139/'Price History'!Q138-1),"")</f>
        <v>2.0728457210541507E-3</v>
      </c>
      <c r="R138" s="69">
        <f>IFERROR(IF(OR(NOT(ISNUMBER('Price History'!R139)),NOT(ISNUMBER('Price History'!R138)),'Price History'!R138=0),"",'Price History'!R139/'Price History'!R138-1),"")</f>
        <v>-1.4144271570014189E-2</v>
      </c>
      <c r="S138" s="69">
        <f>IFERROR(IF(OR(NOT(ISNUMBER('Price History'!S139)),NOT(ISNUMBER('Price History'!S138)),'Price History'!S138=0),"",'Price History'!S139/'Price History'!S138-1),"")</f>
        <v>-2.0657600275434729E-2</v>
      </c>
      <c r="T138" s="69">
        <f>IFERROR(IF(OR(NOT(ISNUMBER('Price History'!T139)),NOT(ISNUMBER('Price History'!T138)),'Price History'!T138=0),"",'Price History'!T139/'Price History'!T138-1),"")</f>
        <v>1.0204081632652073E-3</v>
      </c>
      <c r="U138" s="69" t="str">
        <f>IFERROR(IF(OR(NOT(ISNUMBER('Price History'!U139)),NOT(ISNUMBER('Price History'!U138)),'Price History'!U138=0),"",'Price History'!U139/'Price History'!U138-1),"")</f>
        <v/>
      </c>
    </row>
    <row r="139" spans="1:21" ht="15" customHeight="1" x14ac:dyDescent="0.2">
      <c r="A139" s="52">
        <f>'Price History'!A140</f>
        <v>46108</v>
      </c>
      <c r="B139" s="69">
        <f>IFERROR(IF(OR(NOT(ISNUMBER('Price History'!B140)),NOT(ISNUMBER('Price History'!B139)),'Price History'!B139=0),"",'Price History'!B140/'Price History'!B139-1),"")</f>
        <v>-5.3636913157364519E-2</v>
      </c>
      <c r="C139" s="69">
        <f>IFERROR(IF(OR(NOT(ISNUMBER('Price History'!C140)),NOT(ISNUMBER('Price History'!C139)),'Price History'!C139=0),"",'Price History'!C140/'Price History'!C139-1),"")</f>
        <v>-7.963725041914349E-2</v>
      </c>
      <c r="D139" s="69">
        <f>IFERROR(IF(OR(NOT(ISNUMBER('Price History'!D140)),NOT(ISNUMBER('Price History'!D139)),'Price History'!D139=0),"",'Price History'!D140/'Price History'!D139-1),"")</f>
        <v>-1.1220345416587563E-2</v>
      </c>
      <c r="E139" s="69">
        <f>IFERROR(IF(OR(NOT(ISNUMBER('Price History'!E140)),NOT(ISNUMBER('Price History'!E139)),'Price History'!E139=0),"",'Price History'!E140/'Price History'!E139-1),"")</f>
        <v>-3.1657595568580721E-2</v>
      </c>
      <c r="F139" s="69">
        <f>IFERROR(IF(OR(NOT(ISNUMBER('Price History'!F140)),NOT(ISNUMBER('Price History'!F139)),'Price History'!F139=0),"",'Price History'!F140/'Price History'!F139-1),"")</f>
        <v>-9.6332518337408302E-2</v>
      </c>
      <c r="G139" s="69">
        <f>IFERROR(IF(OR(NOT(ISNUMBER('Price History'!G140)),NOT(ISNUMBER('Price History'!G139)),'Price History'!G139=0),"",'Price History'!G140/'Price History'!G139-1),"")</f>
        <v>-3.7032094481884381E-2</v>
      </c>
      <c r="H139" s="69">
        <f>IFERROR(IF(OR(NOT(ISNUMBER('Price History'!H140)),NOT(ISNUMBER('Price History'!H139)),'Price History'!H139=0),"",'Price History'!H140/'Price History'!H139-1),"")</f>
        <v>-0.15530858358950095</v>
      </c>
      <c r="I139" s="69">
        <f>IFERROR(IF(OR(NOT(ISNUMBER('Price History'!I140)),NOT(ISNUMBER('Price History'!I139)),'Price History'!I139=0),"",'Price History'!I140/'Price History'!I139-1),"")</f>
        <v>-2.9994209612043909E-2</v>
      </c>
      <c r="J139" s="69">
        <f>IFERROR(IF(OR(NOT(ISNUMBER('Price History'!J140)),NOT(ISNUMBER('Price History'!J139)),'Price History'!J139=0),"",'Price History'!J140/'Price History'!J139-1),"")</f>
        <v>6.9525818295446129E-3</v>
      </c>
      <c r="K139" s="69">
        <f>IFERROR(IF(OR(NOT(ISNUMBER('Price History'!K140)),NOT(ISNUMBER('Price History'!K139)),'Price History'!K139=0),"",'Price History'!K140/'Price History'!K139-1),"")</f>
        <v>-5.0570745951685758E-2</v>
      </c>
      <c r="L139" s="69">
        <f>IFERROR(IF(OR(NOT(ISNUMBER('Price History'!L140)),NOT(ISNUMBER('Price History'!L139)),'Price History'!L139=0),"",'Price History'!L140/'Price History'!L139-1),"")</f>
        <v>-7.5932450492042225E-3</v>
      </c>
      <c r="M139" s="69">
        <f>IFERROR(IF(OR(NOT(ISNUMBER('Price History'!M140)),NOT(ISNUMBER('Price History'!M139)),'Price History'!M139=0),"",'Price History'!M140/'Price History'!M139-1),"")</f>
        <v>-1.879787400343913E-2</v>
      </c>
      <c r="N139" s="69">
        <f>IFERROR(IF(OR(NOT(ISNUMBER('Price History'!N140)),NOT(ISNUMBER('Price History'!N139)),'Price History'!N139=0),"",'Price History'!N140/'Price History'!N139-1),"")</f>
        <v>-4.6101321585903077E-2</v>
      </c>
      <c r="O139" s="69">
        <f>IFERROR(IF(OR(NOT(ISNUMBER('Price History'!O140)),NOT(ISNUMBER('Price History'!O139)),'Price History'!O139=0),"",'Price History'!O140/'Price History'!O139-1),"")</f>
        <v>2.9694570135746723E-2</v>
      </c>
      <c r="P139" s="69" t="str">
        <f>IFERROR(IF(OR(NOT(ISNUMBER('Price History'!P140)),NOT(ISNUMBER('Price History'!P139)),'Price History'!P139=0),"",'Price History'!P140/'Price History'!P139-1),"")</f>
        <v/>
      </c>
      <c r="Q139" s="69">
        <f>IFERROR(IF(OR(NOT(ISNUMBER('Price History'!Q140)),NOT(ISNUMBER('Price History'!Q139)),'Price History'!Q139=0),"",'Price History'!Q140/'Price History'!Q139-1),"")</f>
        <v>2.9550827423152626E-4</v>
      </c>
      <c r="R139" s="69">
        <f>IFERROR(IF(OR(NOT(ISNUMBER('Price History'!R140)),NOT(ISNUMBER('Price History'!R139)),'Price History'!R139=0),"",'Price History'!R140/'Price History'!R139-1),"")</f>
        <v>-2.9232424677187896E-2</v>
      </c>
      <c r="S139" s="69">
        <f>IFERROR(IF(OR(NOT(ISNUMBER('Price History'!S140)),NOT(ISNUMBER('Price History'!S139)),'Price History'!S139=0),"",'Price History'!S140/'Price History'!S139-1),"")</f>
        <v>-3.0497451221655814E-2</v>
      </c>
      <c r="T139" s="69">
        <f>IFERROR(IF(OR(NOT(ISNUMBER('Price History'!T140)),NOT(ISNUMBER('Price History'!T139)),'Price History'!T139=0),"",'Price History'!T140/'Price History'!T139-1),"")</f>
        <v>-1.2487257900101967E-2</v>
      </c>
      <c r="U139" s="69" t="str">
        <f>IFERROR(IF(OR(NOT(ISNUMBER('Price History'!U140)),NOT(ISNUMBER('Price History'!U139)),'Price History'!U139=0),"",'Price History'!U140/'Price History'!U139-1),"")</f>
        <v/>
      </c>
    </row>
    <row r="140" spans="1:21" ht="15" customHeight="1" x14ac:dyDescent="0.2">
      <c r="A140" s="52">
        <f>'Price History'!A141</f>
        <v>46114</v>
      </c>
      <c r="B140" s="69">
        <f>IFERROR(IF(OR(NOT(ISNUMBER('Price History'!B141)),NOT(ISNUMBER('Price History'!B140)),'Price History'!B140=0),"",'Price History'!B141/'Price History'!B140-1),"")</f>
        <v>3.4406404360415532E-2</v>
      </c>
      <c r="C140" s="69">
        <f>IFERROR(IF(OR(NOT(ISNUMBER('Price History'!C141)),NOT(ISNUMBER('Price History'!C140)),'Price History'!C140=0),"",'Price History'!C141/'Price History'!C140-1),"")</f>
        <v>4.8935994038254549E-2</v>
      </c>
      <c r="D140" s="69">
        <f>IFERROR(IF(OR(NOT(ISNUMBER('Price History'!D141)),NOT(ISNUMBER('Price History'!D140)),'Price History'!D140=0),"",'Price History'!D141/'Price History'!D140-1),"")</f>
        <v>1.1332314755810202E-2</v>
      </c>
      <c r="E140" s="69">
        <f>IFERROR(IF(OR(NOT(ISNUMBER('Price History'!E141)),NOT(ISNUMBER('Price History'!E140)),'Price History'!E140=0),"",'Price History'!E141/'Price History'!E140-1),"")</f>
        <v>4.6128774777171699E-2</v>
      </c>
      <c r="F140" s="69">
        <f>IFERROR(IF(OR(NOT(ISNUMBER('Price History'!F141)),NOT(ISNUMBER('Price History'!F140)),'Price History'!F140=0),"",'Price History'!F141/'Price History'!F140-1),"")</f>
        <v>7.9870129870129869E-2</v>
      </c>
      <c r="G140" s="69">
        <f>IFERROR(IF(OR(NOT(ISNUMBER('Price History'!G141)),NOT(ISNUMBER('Price History'!G140)),'Price History'!G140=0),"",'Price History'!G141/'Price History'!G140-1),"")</f>
        <v>5.0997782705099803E-2</v>
      </c>
      <c r="H140" s="69">
        <f>IFERROR(IF(OR(NOT(ISNUMBER('Price History'!H141)),NOT(ISNUMBER('Price History'!H140)),'Price History'!H140=0),"",'Price History'!H141/'Price History'!H140-1),"")</f>
        <v>2.5250545882089526E-2</v>
      </c>
      <c r="I140" s="69">
        <f>IFERROR(IF(OR(NOT(ISNUMBER('Price History'!I141)),NOT(ISNUMBER('Price History'!I140)),'Price History'!I140=0),"",'Price History'!I141/'Price History'!I140-1),"")</f>
        <v>5.8918338108882473E-2</v>
      </c>
      <c r="J140" s="69">
        <f>IFERROR(IF(OR(NOT(ISNUMBER('Price History'!J141)),NOT(ISNUMBER('Price History'!J140)),'Price History'!J140=0),"",'Price History'!J141/'Price History'!J140-1),"")</f>
        <v>3.7781225756400305E-2</v>
      </c>
      <c r="K140" s="69">
        <f>IFERROR(IF(OR(NOT(ISNUMBER('Price History'!K141)),NOT(ISNUMBER('Price History'!K140)),'Price History'!K140=0),"",'Price History'!K141/'Price History'!K140-1),"")</f>
        <v>3.7746400111841272E-2</v>
      </c>
      <c r="L140" s="69">
        <f>IFERROR(IF(OR(NOT(ISNUMBER('Price History'!L141)),NOT(ISNUMBER('Price History'!L140)),'Price History'!L140=0),"",'Price History'!L141/'Price History'!L140-1),"")</f>
        <v>3.7644610393585243E-2</v>
      </c>
      <c r="M140" s="69">
        <f>IFERROR(IF(OR(NOT(ISNUMBER('Price History'!M141)),NOT(ISNUMBER('Price History'!M140)),'Price History'!M140=0),"",'Price History'!M141/'Price History'!M140-1),"")</f>
        <v>4.0705779264746944E-2</v>
      </c>
      <c r="N140" s="69">
        <f>IFERROR(IF(OR(NOT(ISNUMBER('Price History'!N141)),NOT(ISNUMBER('Price History'!N140)),'Price History'!N140=0),"",'Price History'!N141/'Price History'!N140-1),"")</f>
        <v>1.3023298773870318E-2</v>
      </c>
      <c r="O140" s="69">
        <f>IFERROR(IF(OR(NOT(ISNUMBER('Price History'!O141)),NOT(ISNUMBER('Price History'!O140)),'Price History'!O140=0),"",'Price History'!O141/'Price History'!O140-1),"")</f>
        <v>2.0049436967865875E-2</v>
      </c>
      <c r="P140" s="69" t="str">
        <f>IFERROR(IF(OR(NOT(ISNUMBER('Price History'!P141)),NOT(ISNUMBER('Price History'!P140)),'Price History'!P140=0),"",'Price History'!P141/'Price History'!P140-1),"")</f>
        <v/>
      </c>
      <c r="Q140" s="69">
        <f>IFERROR(IF(OR(NOT(ISNUMBER('Price History'!Q141)),NOT(ISNUMBER('Price History'!Q140)),'Price History'!Q140=0),"",'Price History'!Q141/'Price History'!Q140-1),"")</f>
        <v>7.3855243722298347E-4</v>
      </c>
      <c r="R140" s="69">
        <f>IFERROR(IF(OR(NOT(ISNUMBER('Price History'!R141)),NOT(ISNUMBER('Price History'!R140)),'Price History'!R140=0),"",'Price History'!R141/'Price History'!R140-1),"")</f>
        <v>2.697210419360796E-2</v>
      </c>
      <c r="S140" s="69">
        <f>IFERROR(IF(OR(NOT(ISNUMBER('Price History'!S141)),NOT(ISNUMBER('Price History'!S140)),'Price History'!S140=0),"",'Price History'!S141/'Price History'!S140-1),"")</f>
        <v>4.0159550358081608E-2</v>
      </c>
      <c r="T140" s="69">
        <f>IFERROR(IF(OR(NOT(ISNUMBER('Price History'!T141)),NOT(ISNUMBER('Price History'!T140)),'Price History'!T140=0),"",'Price History'!T141/'Price History'!T140-1),"")</f>
        <v>2.8129032258064512E-2</v>
      </c>
      <c r="U140" s="69" t="str">
        <f>IFERROR(IF(OR(NOT(ISNUMBER('Price History'!U141)),NOT(ISNUMBER('Price History'!U140)),'Price History'!U140=0),"",'Price History'!U141/'Price History'!U140-1),"")</f>
        <v/>
      </c>
    </row>
    <row r="141" spans="1:21" ht="15" customHeight="1" x14ac:dyDescent="0.2">
      <c r="A141" s="52">
        <f>'Price History'!A142</f>
        <v>46122</v>
      </c>
      <c r="B141" s="69">
        <f>IFERROR(IF(OR(NOT(ISNUMBER('Price History'!B142)),NOT(ISNUMBER('Price History'!B141)),'Price History'!B141=0),"",'Price History'!B142/'Price History'!B141-1),"")</f>
        <v>-7.2328338547669957E-2</v>
      </c>
      <c r="C141" s="69">
        <f>IFERROR(IF(OR(NOT(ISNUMBER('Price History'!C142)),NOT(ISNUMBER('Price History'!C141)),'Price History'!C141=0),"",'Price History'!C142/'Price History'!C141-1),"")</f>
        <v>0.16316703504894203</v>
      </c>
      <c r="D141" s="69">
        <f>IFERROR(IF(OR(NOT(ISNUMBER('Price History'!D142)),NOT(ISNUMBER('Price History'!D141)),'Price History'!D141=0),"",'Price History'!D142/'Price History'!D141-1),"")</f>
        <v>0.12226414521381979</v>
      </c>
      <c r="E141" s="69">
        <f>IFERROR(IF(OR(NOT(ISNUMBER('Price History'!E142)),NOT(ISNUMBER('Price History'!E141)),'Price History'!E141=0),"",'Price History'!E142/'Price History'!E141-1),"")</f>
        <v>0.18121125417262762</v>
      </c>
      <c r="F141" s="69">
        <f>IFERROR(IF(OR(NOT(ISNUMBER('Price History'!F142)),NOT(ISNUMBER('Price History'!F141)),'Price History'!F141=0),"",'Price History'!F142/'Price History'!F141-1),"")</f>
        <v>-5.0310683503708153E-2</v>
      </c>
      <c r="G141" s="69">
        <f>IFERROR(IF(OR(NOT(ISNUMBER('Price History'!G142)),NOT(ISNUMBER('Price History'!G141)),'Price History'!G141=0),"",'Price History'!G142/'Price History'!G141-1),"")</f>
        <v>0.14537183544303778</v>
      </c>
      <c r="H141" s="69">
        <f>IFERROR(IF(OR(NOT(ISNUMBER('Price History'!H142)),NOT(ISNUMBER('Price History'!H141)),'Price History'!H141=0),"",'Price History'!H142/'Price History'!H141-1),"")</f>
        <v>0.14839995631280023</v>
      </c>
      <c r="I141" s="69">
        <f>IFERROR(IF(OR(NOT(ISNUMBER('Price History'!I142)),NOT(ISNUMBER('Price History'!I141)),'Price History'!I141=0),"",'Price History'!I142/'Price History'!I141-1),"")</f>
        <v>6.3363211004002551E-2</v>
      </c>
      <c r="J141" s="69">
        <f>IFERROR(IF(OR(NOT(ISNUMBER('Price History'!J142)),NOT(ISNUMBER('Price History'!J141)),'Price History'!J141=0),"",'Price History'!J142/'Price History'!J141-1),"")</f>
        <v>2.5566270464229657E-2</v>
      </c>
      <c r="K141" s="69">
        <f>IFERROR(IF(OR(NOT(ISNUMBER('Price History'!K142)),NOT(ISNUMBER('Price History'!K141)),'Price History'!K141=0),"",'Price History'!K142/'Price History'!K141-1),"")</f>
        <v>-0.13741075037047024</v>
      </c>
      <c r="L141" s="69">
        <f>IFERROR(IF(OR(NOT(ISNUMBER('Price History'!L142)),NOT(ISNUMBER('Price History'!L141)),'Price History'!L141=0),"",'Price History'!L142/'Price History'!L141-1),"")</f>
        <v>9.3086361491269365E-2</v>
      </c>
      <c r="M141" s="69">
        <f>IFERROR(IF(OR(NOT(ISNUMBER('Price History'!M142)),NOT(ISNUMBER('Price History'!M141)),'Price History'!M141=0),"",'Price History'!M142/'Price History'!M141-1),"")</f>
        <v>0.12943472769719455</v>
      </c>
      <c r="N141" s="69">
        <f>IFERROR(IF(OR(NOT(ISNUMBER('Price History'!N142)),NOT(ISNUMBER('Price History'!N141)),'Price History'!N141=0),"",'Price History'!N142/'Price History'!N141-1),"")</f>
        <v>-5.5617606163524957E-3</v>
      </c>
      <c r="O141" s="69">
        <f>IFERROR(IF(OR(NOT(ISNUMBER('Price History'!O142)),NOT(ISNUMBER('Price History'!O141)),'Price History'!O141=0),"",'Price History'!O142/'Price History'!O141-1),"")</f>
        <v>2.9707413390773763E-2</v>
      </c>
      <c r="P141" s="69" t="str">
        <f>IFERROR(IF(OR(NOT(ISNUMBER('Price History'!P142)),NOT(ISNUMBER('Price History'!P141)),'Price History'!P141=0),"",'Price History'!P142/'Price History'!P141-1),"")</f>
        <v/>
      </c>
      <c r="Q141" s="69">
        <f>IFERROR(IF(OR(NOT(ISNUMBER('Price History'!Q142)),NOT(ISNUMBER('Price History'!Q141)),'Price History'!Q141=0),"",'Price History'!Q142/'Price History'!Q141-1),"")</f>
        <v>4.2804428044280751E-3</v>
      </c>
      <c r="R141" s="69">
        <f>IFERROR(IF(OR(NOT(ISNUMBER('Price History'!R142)),NOT(ISNUMBER('Price History'!R141)),'Price History'!R141=0),"",'Price History'!R142/'Price History'!R141-1),"")</f>
        <v>3.6517359237272728E-2</v>
      </c>
      <c r="S141" s="69">
        <f>IFERROR(IF(OR(NOT(ISNUMBER('Price History'!S142)),NOT(ISNUMBER('Price History'!S141)),'Price History'!S141=0),"",'Price History'!S142/'Price History'!S141-1),"")</f>
        <v>7.4952065539480639E-2</v>
      </c>
      <c r="T141" s="69">
        <f>IFERROR(IF(OR(NOT(ISNUMBER('Price History'!T142)),NOT(ISNUMBER('Price History'!T141)),'Price History'!T141=0),"",'Price History'!T142/'Price History'!T141-1),"")</f>
        <v>-5.020080321285203E-3</v>
      </c>
      <c r="U141" s="69" t="str">
        <f>IFERROR(IF(OR(NOT(ISNUMBER('Price History'!U142)),NOT(ISNUMBER('Price History'!U141)),'Price History'!U141=0),"",'Price History'!U142/'Price History'!U141-1),"")</f>
        <v/>
      </c>
    </row>
    <row r="142" spans="1:21" ht="15" customHeight="1" x14ac:dyDescent="0.2">
      <c r="A142" s="52">
        <f>'Price History'!A143</f>
        <v>46129</v>
      </c>
      <c r="B142" s="69">
        <f>IFERROR(IF(OR(NOT(ISNUMBER('Price History'!B143)),NOT(ISNUMBER('Price History'!B142)),'Price History'!B142=0),"",'Price History'!B143/'Price History'!B142-1),"")</f>
        <v>8.4757044597293163E-2</v>
      </c>
      <c r="C142" s="69">
        <f>IFERROR(IF(OR(NOT(ISNUMBER('Price History'!C143)),NOT(ISNUMBER('Price History'!C142)),'Price History'!C142=0),"",'Price History'!C143/'Price History'!C142-1),"")</f>
        <v>0.11455717678995581</v>
      </c>
      <c r="D142" s="69">
        <f>IFERROR(IF(OR(NOT(ISNUMBER('Price History'!D143)),NOT(ISNUMBER('Price History'!D142)),'Price History'!D142=0),"",'Price History'!D143/'Price History'!D142-1),"")</f>
        <v>-1.2501014692751E-2</v>
      </c>
      <c r="E142" s="69">
        <f>IFERROR(IF(OR(NOT(ISNUMBER('Price History'!E143)),NOT(ISNUMBER('Price History'!E142)),'Price History'!E142=0),"",'Price History'!E143/'Price History'!E142-1),"")</f>
        <v>9.4173058807697441E-2</v>
      </c>
      <c r="F142" s="69">
        <f>IFERROR(IF(OR(NOT(ISNUMBER('Price History'!F143)),NOT(ISNUMBER('Price History'!F142)),'Price History'!F142=0),"",'Price History'!F143/'Price History'!F142-1),"")</f>
        <v>0.11850991979738268</v>
      </c>
      <c r="G142" s="69">
        <f>IFERROR(IF(OR(NOT(ISNUMBER('Price History'!G143)),NOT(ISNUMBER('Price History'!G142)),'Price History'!G142=0),"",'Price History'!G143/'Price History'!G142-1),"")</f>
        <v>3.1140275139584395E-2</v>
      </c>
      <c r="H142" s="69">
        <f>IFERROR(IF(OR(NOT(ISNUMBER('Price History'!H143)),NOT(ISNUMBER('Price History'!H142)),'Price History'!H142=0),"",'Price History'!H143/'Price History'!H142-1),"")</f>
        <v>8.198007560807441E-2</v>
      </c>
      <c r="I142" s="69">
        <f>IFERROR(IF(OR(NOT(ISNUMBER('Price History'!I143)),NOT(ISNUMBER('Price History'!I142)),'Price History'!I142=0),"",'Price History'!I143/'Price History'!I142-1),"")</f>
        <v>6.9183056777819107E-2</v>
      </c>
      <c r="J142" s="69">
        <f>IFERROR(IF(OR(NOT(ISNUMBER('Price History'!J143)),NOT(ISNUMBER('Price History'!J142)),'Price History'!J142=0),"",'Price History'!J143/'Price History'!J142-1),"")</f>
        <v>5.7657263648954071E-2</v>
      </c>
      <c r="K142" s="69">
        <f>IFERROR(IF(OR(NOT(ISNUMBER('Price History'!K143)),NOT(ISNUMBER('Price History'!K142)),'Price History'!K142=0),"",'Price History'!K143/'Price History'!K142-1),"")</f>
        <v>0.14313602998594388</v>
      </c>
      <c r="L142" s="69">
        <f>IFERROR(IF(OR(NOT(ISNUMBER('Price History'!L143)),NOT(ISNUMBER('Price History'!L142)),'Price History'!L142=0),"",'Price History'!L143/'Price History'!L142-1),"")</f>
        <v>-2.6983270372371582E-4</v>
      </c>
      <c r="M142" s="69">
        <f>IFERROR(IF(OR(NOT(ISNUMBER('Price History'!M143)),NOT(ISNUMBER('Price History'!M142)),'Price History'!M142=0),"",'Price History'!M143/'Price History'!M142-1),"")</f>
        <v>4.1442174104570961E-2</v>
      </c>
      <c r="N142" s="69">
        <f>IFERROR(IF(OR(NOT(ISNUMBER('Price History'!N143)),NOT(ISNUMBER('Price History'!N142)),'Price History'!N142=0),"",'Price History'!N143/'Price History'!N142-1),"")</f>
        <v>1.1300341531620406E-2</v>
      </c>
      <c r="O142" s="69">
        <f>IFERROR(IF(OR(NOT(ISNUMBER('Price History'!O143)),NOT(ISNUMBER('Price History'!O142)),'Price History'!O142=0),"",'Price History'!O143/'Price History'!O142-1),"")</f>
        <v>2.4317963915279295E-2</v>
      </c>
      <c r="P142" s="69" t="str">
        <f>IFERROR(IF(OR(NOT(ISNUMBER('Price History'!P143)),NOT(ISNUMBER('Price History'!P142)),'Price History'!P142=0),"",'Price History'!P143/'Price History'!P142-1),"")</f>
        <v/>
      </c>
      <c r="Q142" s="69">
        <f>IFERROR(IF(OR(NOT(ISNUMBER('Price History'!Q143)),NOT(ISNUMBER('Price History'!Q142)),'Price History'!Q142=0),"",'Price History'!Q143/'Price History'!Q142-1),"")</f>
        <v>-1.0582010582010803E-2</v>
      </c>
      <c r="R142" s="69">
        <f>IFERROR(IF(OR(NOT(ISNUMBER('Price History'!R143)),NOT(ISNUMBER('Price History'!R142)),'Price History'!R142=0),"",'Price History'!R143/'Price History'!R142-1),"")</f>
        <v>1.8049288441513323E-2</v>
      </c>
      <c r="S142" s="69">
        <f>IFERROR(IF(OR(NOT(ISNUMBER('Price History'!S143)),NOT(ISNUMBER('Price History'!S142)),'Price History'!S142=0),"",'Price History'!S143/'Price History'!S142-1),"")</f>
        <v>4.0214042484190138E-2</v>
      </c>
      <c r="T142" s="69">
        <f>IFERROR(IF(OR(NOT(ISNUMBER('Price History'!T143)),NOT(ISNUMBER('Price History'!T142)),'Price History'!T142=0),"",'Price History'!T143/'Price History'!T142-1),"")</f>
        <v>5.3481331987890846E-2</v>
      </c>
      <c r="U142" s="69" t="str">
        <f>IFERROR(IF(OR(NOT(ISNUMBER('Price History'!U143)),NOT(ISNUMBER('Price History'!U142)),'Price History'!U142=0),"",'Price History'!U143/'Price History'!U142-1),"")</f>
        <v/>
      </c>
    </row>
    <row r="143" spans="1:21" ht="15" customHeight="1" x14ac:dyDescent="0.2">
      <c r="A143" s="52">
        <f>'Price History'!A144</f>
        <v>46136</v>
      </c>
      <c r="B143" s="69">
        <f>IFERROR(IF(OR(NOT(ISNUMBER('Price History'!B144)),NOT(ISNUMBER('Price History'!B143)),'Price History'!B143=0),"",'Price History'!B144/'Price History'!B143-1),"")</f>
        <v>4.0499079566373997E-3</v>
      </c>
      <c r="C143" s="69">
        <f>IFERROR(IF(OR(NOT(ISNUMBER('Price History'!C144)),NOT(ISNUMBER('Price History'!C143)),'Price History'!C143=0),"",'Price History'!C144/'Price History'!C143-1),"")</f>
        <v>7.7208792547037719E-2</v>
      </c>
      <c r="D143" s="69">
        <f>IFERROR(IF(OR(NOT(ISNUMBER('Price History'!D144)),NOT(ISNUMBER('Price History'!D143)),'Price History'!D143=0),"",'Price History'!D144/'Price History'!D143-1),"")</f>
        <v>-1.4385532264693524E-3</v>
      </c>
      <c r="E143" s="69">
        <f>IFERROR(IF(OR(NOT(ISNUMBER('Price History'!E144)),NOT(ISNUMBER('Price History'!E143)),'Price History'!E143=0),"",'Price History'!E144/'Price History'!E143-1),"")</f>
        <v>3.9897673045702575E-2</v>
      </c>
      <c r="F143" s="69">
        <f>IFERROR(IF(OR(NOT(ISNUMBER('Price History'!F144)),NOT(ISNUMBER('Price History'!F143)),'Price History'!F143=0),"",'Price History'!F144/'Price History'!F143-1),"")</f>
        <v>5.6986508161147365E-2</v>
      </c>
      <c r="G143" s="69">
        <f>IFERROR(IF(OR(NOT(ISNUMBER('Price History'!G144)),NOT(ISNUMBER('Price History'!G143)),'Price History'!G143=0),"",'Price History'!G144/'Price History'!G143-1),"")</f>
        <v>8.0160768114324155E-2</v>
      </c>
      <c r="H143" s="69">
        <f>IFERROR(IF(OR(NOT(ISNUMBER('Price History'!H144)),NOT(ISNUMBER('Price History'!H143)),'Price History'!H143=0),"",'Price History'!H144/'Price History'!H143-1),"")</f>
        <v>9.1524380864482557E-2</v>
      </c>
      <c r="I143" s="69">
        <f>IFERROR(IF(OR(NOT(ISNUMBER('Price History'!I144)),NOT(ISNUMBER('Price History'!I143)),'Price History'!I143=0),"",'Price History'!I144/'Price History'!I143-1),"")</f>
        <v>3.2675525585085241E-2</v>
      </c>
      <c r="J143" s="69">
        <f>IFERROR(IF(OR(NOT(ISNUMBER('Price History'!J144)),NOT(ISNUMBER('Price History'!J143)),'Price History'!J143=0),"",'Price History'!J144/'Price History'!J143-1),"")</f>
        <v>-2.0675396278428626E-2</v>
      </c>
      <c r="K143" s="69">
        <f>IFERROR(IF(OR(NOT(ISNUMBER('Price History'!K144)),NOT(ISNUMBER('Price History'!K143)),'Price History'!K143=0),"",'Price History'!K144/'Price History'!K143-1),"")</f>
        <v>-2.2542523396406722E-2</v>
      </c>
      <c r="L143" s="69">
        <f>IFERROR(IF(OR(NOT(ISNUMBER('Price History'!L144)),NOT(ISNUMBER('Price History'!L143)),'Price History'!L143=0),"",'Price History'!L144/'Price History'!L143-1),"")</f>
        <v>8.6261808367071424E-2</v>
      </c>
      <c r="M143" s="69">
        <f>IFERROR(IF(OR(NOT(ISNUMBER('Price History'!M144)),NOT(ISNUMBER('Price History'!M143)),'Price History'!M143=0),"",'Price History'!M144/'Price History'!M143-1),"")</f>
        <v>5.2450055313333799E-2</v>
      </c>
      <c r="N143" s="69">
        <f>IFERROR(IF(OR(NOT(ISNUMBER('Price History'!N144)),NOT(ISNUMBER('Price History'!N143)),'Price History'!N143=0),"",'Price History'!N144/'Price History'!N143-1),"")</f>
        <v>-2.4728014505892904E-2</v>
      </c>
      <c r="O143" s="69">
        <f>IFERROR(IF(OR(NOT(ISNUMBER('Price History'!O144)),NOT(ISNUMBER('Price History'!O143)),'Price History'!O143=0),"",'Price History'!O144/'Price History'!O143-1),"")</f>
        <v>1.2253233492171445E-2</v>
      </c>
      <c r="P143" s="69" t="str">
        <f>IFERROR(IF(OR(NOT(ISNUMBER('Price History'!P144)),NOT(ISNUMBER('Price History'!P143)),'Price History'!P143=0),"",'Price History'!P144/'Price History'!P143-1),"")</f>
        <v/>
      </c>
      <c r="Q143" s="69">
        <f>IFERROR(IF(OR(NOT(ISNUMBER('Price History'!Q144)),NOT(ISNUMBER('Price History'!Q143)),'Price History'!Q143=0),"",'Price History'!Q144/'Price History'!Q143-1),"")</f>
        <v>4.4563279857401383E-4</v>
      </c>
      <c r="R143" s="69">
        <f>IFERROR(IF(OR(NOT(ISNUMBER('Price History'!R144)),NOT(ISNUMBER('Price History'!R143)),'Price History'!R143=0),"",'Price History'!R144/'Price History'!R143-1),"")</f>
        <v>5.6256392771907304E-3</v>
      </c>
      <c r="S143" s="69">
        <f>IFERROR(IF(OR(NOT(ISNUMBER('Price History'!S144)),NOT(ISNUMBER('Price History'!S143)),'Price History'!S143=0),"",'Price History'!S144/'Price History'!S143-1),"")</f>
        <v>2.5097427903351566E-2</v>
      </c>
      <c r="T143" s="69">
        <f>IFERROR(IF(OR(NOT(ISNUMBER('Price History'!T144)),NOT(ISNUMBER('Price History'!T143)),'Price History'!T143=0),"",'Price History'!T144/'Price History'!T143-1),"")</f>
        <v>-5.7471264367814356E-3</v>
      </c>
      <c r="U143" s="69" t="str">
        <f>IFERROR(IF(OR(NOT(ISNUMBER('Price History'!U144)),NOT(ISNUMBER('Price History'!U143)),'Price History'!U143=0),"",'Price History'!U144/'Price History'!U143-1),"")</f>
        <v/>
      </c>
    </row>
    <row r="144" spans="1:21" ht="15" customHeight="1" x14ac:dyDescent="0.2">
      <c r="A144" s="52">
        <f>'Price History'!A145</f>
        <v>46143</v>
      </c>
      <c r="B144" s="69">
        <f>IFERROR(IF(OR(NOT(ISNUMBER('Price History'!B145)),NOT(ISNUMBER('Price History'!B144)),'Price History'!B144=0),"",'Price History'!B145/'Price History'!B144-1),"")</f>
        <v>2.1471642764015586E-2</v>
      </c>
      <c r="C144" s="69">
        <f>IFERROR(IF(OR(NOT(ISNUMBER('Price History'!C145)),NOT(ISNUMBER('Price History'!C144)),'Price History'!C144=0),"",'Price History'!C145/'Price History'!C144-1),"")</f>
        <v>-2.3797411112995381E-2</v>
      </c>
      <c r="D144" s="69">
        <f>IFERROR(IF(OR(NOT(ISNUMBER('Price History'!D145)),NOT(ISNUMBER('Price History'!D144)),'Price History'!D144=0),"",'Price History'!D145/'Price History'!D144-1),"")</f>
        <v>-2.1046854634012568E-2</v>
      </c>
      <c r="E144" s="69">
        <f>IFERROR(IF(OR(NOT(ISNUMBER('Price History'!E145)),NOT(ISNUMBER('Price History'!E144)),'Price History'!E144=0),"",'Price History'!E145/'Price History'!E144-1),"")</f>
        <v>-3.5008042388117167E-3</v>
      </c>
      <c r="F144" s="69">
        <f>IFERROR(IF(OR(NOT(ISNUMBER('Price History'!F145)),NOT(ISNUMBER('Price History'!F144)),'Price History'!F144=0),"",'Price History'!F145/'Price History'!F144-1),"")</f>
        <v>1.6781219316254425E-2</v>
      </c>
      <c r="G144" s="69">
        <f>IFERROR(IF(OR(NOT(ISNUMBER('Price History'!G145)),NOT(ISNUMBER('Price History'!G144)),'Price History'!G144=0),"",'Price History'!G145/'Price History'!G144-1),"")</f>
        <v>-0.10785529715762276</v>
      </c>
      <c r="H144" s="69">
        <f>IFERROR(IF(OR(NOT(ISNUMBER('Price History'!H145)),NOT(ISNUMBER('Price History'!H144)),'Price History'!H144=0),"",'Price History'!H145/'Price History'!H144-1),"")</f>
        <v>9.1580769850217347E-2</v>
      </c>
      <c r="I144" s="69">
        <f>IFERROR(IF(OR(NOT(ISNUMBER('Price History'!I145)),NOT(ISNUMBER('Price History'!I144)),'Price History'!I144=0),"",'Price History'!I145/'Price History'!I144-1),"")</f>
        <v>-4.715033370144539E-2</v>
      </c>
      <c r="J144" s="69">
        <f>IFERROR(IF(OR(NOT(ISNUMBER('Price History'!J145)),NOT(ISNUMBER('Price History'!J144)),'Price History'!J144=0),"",'Price History'!J145/'Price History'!J144-1),"")</f>
        <v>-4.8557353976073081E-3</v>
      </c>
      <c r="K144" s="69">
        <f>IFERROR(IF(OR(NOT(ISNUMBER('Price History'!K145)),NOT(ISNUMBER('Price History'!K144)),'Price History'!K144=0),"",'Price History'!K145/'Price History'!K144-1),"")</f>
        <v>6.8488363966734411E-3</v>
      </c>
      <c r="L144" s="69">
        <f>IFERROR(IF(OR(NOT(ISNUMBER('Price History'!L145)),NOT(ISNUMBER('Price History'!L144)),'Price History'!L144=0),"",'Price History'!L145/'Price History'!L144-1),"")</f>
        <v>-1.190180390597817E-2</v>
      </c>
      <c r="M144" s="69">
        <f>IFERROR(IF(OR(NOT(ISNUMBER('Price History'!M145)),NOT(ISNUMBER('Price History'!M144)),'Price History'!M144=0),"",'Price History'!M145/'Price History'!M144-1),"")</f>
        <v>1.499412601248995E-2</v>
      </c>
      <c r="N144" s="69">
        <f>IFERROR(IF(OR(NOT(ISNUMBER('Price History'!N145)),NOT(ISNUMBER('Price History'!N144)),'Price History'!N144=0),"",'Price History'!N145/'Price History'!N144-1),"")</f>
        <v>-1.4803969415975282E-2</v>
      </c>
      <c r="O144" s="69">
        <f>IFERROR(IF(OR(NOT(ISNUMBER('Price History'!O145)),NOT(ISNUMBER('Price History'!O144)),'Price History'!O144=0),"",'Price History'!O145/'Price History'!O144-1),"")</f>
        <v>8.4061869535978495E-3</v>
      </c>
      <c r="P144" s="69" t="str">
        <f>IFERROR(IF(OR(NOT(ISNUMBER('Price History'!P145)),NOT(ISNUMBER('Price History'!P144)),'Price History'!P144=0),"",'Price History'!P145/'Price History'!P144-1),"")</f>
        <v/>
      </c>
      <c r="Q144" s="69">
        <f>IFERROR(IF(OR(NOT(ISNUMBER('Price History'!Q145)),NOT(ISNUMBER('Price History'!Q144)),'Price History'!Q144=0),"",'Price History'!Q145/'Price History'!Q144-1),"")</f>
        <v>8.4632516703786465E-3</v>
      </c>
      <c r="R144" s="69">
        <f>IFERROR(IF(OR(NOT(ISNUMBER('Price History'!R145)),NOT(ISNUMBER('Price History'!R144)),'Price History'!R144=0),"",'Price History'!R145/'Price History'!R144-1),"")</f>
        <v>-2.203763349720389E-3</v>
      </c>
      <c r="S144" s="69">
        <f>IFERROR(IF(OR(NOT(ISNUMBER('Price History'!S145)),NOT(ISNUMBER('Price History'!S144)),'Price History'!S144=0),"",'Price History'!S145/'Price History'!S144-1),"")</f>
        <v>2.2049878345498541E-2</v>
      </c>
      <c r="T144" s="69">
        <f>IFERROR(IF(OR(NOT(ISNUMBER('Price History'!T145)),NOT(ISNUMBER('Price History'!T144)),'Price History'!T144=0),"",'Price History'!T145/'Price History'!T144-1),"")</f>
        <v>2.5770712909441329E-2</v>
      </c>
      <c r="U144" s="69" t="str">
        <f>IFERROR(IF(OR(NOT(ISNUMBER('Price History'!U145)),NOT(ISNUMBER('Price History'!U144)),'Price History'!U144=0),"",'Price History'!U145/'Price History'!U144-1),"")</f>
        <v/>
      </c>
    </row>
    <row r="145" spans="1:21" ht="15" customHeight="1" x14ac:dyDescent="0.2">
      <c r="A145" s="52">
        <f>'Price History'!A146</f>
        <v>46150</v>
      </c>
      <c r="B145" s="69">
        <f>IFERROR(IF(OR(NOT(ISNUMBER('Price History'!B146)),NOT(ISNUMBER('Price History'!B145)),'Price History'!B145=0),"",'Price History'!B146/'Price History'!B145-1),"")</f>
        <v>9.2936061585098262E-3</v>
      </c>
      <c r="C145" s="69">
        <f>IFERROR(IF(OR(NOT(ISNUMBER('Price History'!C146)),NOT(ISNUMBER('Price History'!C145)),'Price History'!C145=0),"",'Price History'!C146/'Price History'!C145-1),"")</f>
        <v>-0.17909669947886497</v>
      </c>
      <c r="D145" s="69">
        <f>IFERROR(IF(OR(NOT(ISNUMBER('Price History'!D146)),NOT(ISNUMBER('Price History'!D145)),'Price History'!D145=0),"",'Price History'!D146/'Price History'!D145-1),"")</f>
        <v>0.1156255693683339</v>
      </c>
      <c r="E145" s="69">
        <f>IFERROR(IF(OR(NOT(ISNUMBER('Price History'!E146)),NOT(ISNUMBER('Price History'!E145)),'Price History'!E145=0),"",'Price History'!E146/'Price History'!E145-1),"")</f>
        <v>2.0698822635776715E-2</v>
      </c>
      <c r="F145" s="69">
        <f>IFERROR(IF(OR(NOT(ISNUMBER('Price History'!F146)),NOT(ISNUMBER('Price History'!F145)),'Price History'!F145=0),"",'Price History'!F146/'Price History'!F145-1),"")</f>
        <v>0.15828285488543581</v>
      </c>
      <c r="G145" s="69">
        <f>IFERROR(IF(OR(NOT(ISNUMBER('Price History'!G146)),NOT(ISNUMBER('Price History'!G145)),'Price History'!G145=0),"",'Price History'!G146/'Price History'!G145-1),"")</f>
        <v>8.2778196142037741E-2</v>
      </c>
      <c r="H145" s="69">
        <f>IFERROR(IF(OR(NOT(ISNUMBER('Price History'!H146)),NOT(ISNUMBER('Price History'!H145)),'Price History'!H145=0),"",'Price History'!H146/'Price History'!H145-1),"")</f>
        <v>0.37734457129156573</v>
      </c>
      <c r="I145" s="69">
        <f>IFERROR(IF(OR(NOT(ISNUMBER('Price History'!I146)),NOT(ISNUMBER('Price History'!I145)),'Price History'!I145=0),"",'Price History'!I146/'Price History'!I145-1),"")</f>
        <v>8.4404132023179645E-2</v>
      </c>
      <c r="J145" s="69">
        <f>IFERROR(IF(OR(NOT(ISNUMBER('Price History'!J146)),NOT(ISNUMBER('Price History'!J145)),'Price History'!J145=0),"",'Price History'!J146/'Price History'!J145-1),"")</f>
        <v>1.8951983593805233E-2</v>
      </c>
      <c r="K145" s="69">
        <f>IFERROR(IF(OR(NOT(ISNUMBER('Price History'!K146)),NOT(ISNUMBER('Price History'!K145)),'Price History'!K145=0),"",'Price History'!K146/'Price History'!K145-1),"")</f>
        <v>-4.3520510862774864E-2</v>
      </c>
      <c r="L145" s="69">
        <f>IFERROR(IF(OR(NOT(ISNUMBER('Price History'!L146)),NOT(ISNUMBER('Price History'!L145)),'Price History'!L145=0),"",'Price History'!L146/'Price History'!L145-1),"")</f>
        <v>3.523021600824805E-2</v>
      </c>
      <c r="M145" s="69">
        <f>IFERROR(IF(OR(NOT(ISNUMBER('Price History'!M146)),NOT(ISNUMBER('Price History'!M145)),'Price History'!M145=0),"",'Price History'!M146/'Price History'!M145-1),"")</f>
        <v>3.5515214279187468E-2</v>
      </c>
      <c r="N145" s="69">
        <f>IFERROR(IF(OR(NOT(ISNUMBER('Price History'!N146)),NOT(ISNUMBER('Price History'!N145)),'Price History'!N145=0),"",'Price History'!N146/'Price History'!N145-1),"")</f>
        <v>1.3917720324589489E-2</v>
      </c>
      <c r="O145" s="69">
        <f>IFERROR(IF(OR(NOT(ISNUMBER('Price History'!O146)),NOT(ISNUMBER('Price History'!O145)),'Price History'!O145=0),"",'Price History'!O146/'Price History'!O145-1),"")</f>
        <v>-1.0003334444813605E-3</v>
      </c>
      <c r="P145" s="69" t="str">
        <f>IFERROR(IF(OR(NOT(ISNUMBER('Price History'!P146)),NOT(ISNUMBER('Price History'!P145)),'Price History'!P145=0),"",'Price History'!P146/'Price History'!P145-1),"")</f>
        <v/>
      </c>
      <c r="Q145" s="69">
        <f>IFERROR(IF(OR(NOT(ISNUMBER('Price History'!Q146)),NOT(ISNUMBER('Price History'!Q145)),'Price History'!Q145=0),"",'Price History'!Q146/'Price History'!Q145-1),"")</f>
        <v>-1.2367491166077826E-2</v>
      </c>
      <c r="R145" s="69">
        <f>IFERROR(IF(OR(NOT(ISNUMBER('Price History'!R146)),NOT(ISNUMBER('Price History'!R145)),'Price History'!R145=0),"",'Price History'!R146/'Price History'!R145-1),"")</f>
        <v>1.2742099898063186E-2</v>
      </c>
      <c r="S145" s="69">
        <f>IFERROR(IF(OR(NOT(ISNUMBER('Price History'!S146)),NOT(ISNUMBER('Price History'!S145)),'Price History'!S145=0),"",'Price History'!S146/'Price History'!S145-1),"")</f>
        <v>6.9855676238655073E-2</v>
      </c>
      <c r="T145" s="69">
        <f>IFERROR(IF(OR(NOT(ISNUMBER('Price History'!T146)),NOT(ISNUMBER('Price History'!T145)),'Price History'!T145=0),"",'Price History'!T146/'Price History'!T145-1),"")</f>
        <v>2.4184080770133676E-2</v>
      </c>
      <c r="U145" s="69" t="str">
        <f>IFERROR(IF(OR(NOT(ISNUMBER('Price History'!U146)),NOT(ISNUMBER('Price History'!U145)),'Price History'!U145=0),"",'Price History'!U146/'Price History'!U145-1),"")</f>
        <v/>
      </c>
    </row>
    <row r="146" spans="1:21" ht="15" customHeight="1" x14ac:dyDescent="0.2">
      <c r="A146" s="52">
        <f>'Price History'!A147</f>
        <v>46157</v>
      </c>
      <c r="B146" s="69">
        <f>IFERROR(IF(OR(NOT(ISNUMBER('Price History'!B147)),NOT(ISNUMBER('Price History'!B146)),'Price History'!B146=0),"",'Price History'!B147/'Price History'!B146-1),"")</f>
        <v>-2.1498577300031574E-2</v>
      </c>
      <c r="C146" s="69">
        <f>IFERROR(IF(OR(NOT(ISNUMBER('Price History'!C147)),NOT(ISNUMBER('Price History'!C146)),'Price History'!C146=0),"",'Price History'!C147/'Price History'!C146-1),"")</f>
        <v>1.4107356986667874E-3</v>
      </c>
      <c r="D146" s="69">
        <f>IFERROR(IF(OR(NOT(ISNUMBER('Price History'!D147)),NOT(ISNUMBER('Price History'!D146)),'Price History'!D146=0),"",'Price History'!D147/'Price History'!D146-1),"")</f>
        <v>-5.6663861006771343E-2</v>
      </c>
      <c r="E146" s="69">
        <f>IFERROR(IF(OR(NOT(ISNUMBER('Price History'!E147)),NOT(ISNUMBER('Price History'!E146)),'Price History'!E146=0),"",'Price History'!E147/'Price History'!E146-1),"")</f>
        <v>-1.1186046511627912E-2</v>
      </c>
      <c r="F146" s="69">
        <f>IFERROR(IF(OR(NOT(ISNUMBER('Price History'!F147)),NOT(ISNUMBER('Price History'!F146)),'Price History'!F146=0),"",'Price History'!F147/'Price History'!F146-1),"")</f>
        <v>0.12566318023343959</v>
      </c>
      <c r="G146" s="69">
        <f>IFERROR(IF(OR(NOT(ISNUMBER('Price History'!G147)),NOT(ISNUMBER('Price History'!G146)),'Price History'!G146=0),"",'Price History'!G147/'Price History'!G146-1),"")</f>
        <v>-3.4720736143804776E-2</v>
      </c>
      <c r="H146" s="69">
        <f>IFERROR(IF(OR(NOT(ISNUMBER('Price History'!H147)),NOT(ISNUMBER('Price History'!H146)),'Price History'!H146=0),"",'Price History'!H147/'Price History'!H146-1),"")</f>
        <v>-2.9659485009574049E-2</v>
      </c>
      <c r="I146" s="69">
        <f>IFERROR(IF(OR(NOT(ISNUMBER('Price History'!I147)),NOT(ISNUMBER('Price History'!I146)),'Price History'!I146=0),"",'Price History'!I147/'Price History'!I146-1),"")</f>
        <v>4.702602230483266E-2</v>
      </c>
      <c r="J146" s="69">
        <f>IFERROR(IF(OR(NOT(ISNUMBER('Price History'!J147)),NOT(ISNUMBER('Price History'!J146)),'Price History'!J146=0),"",'Price History'!J147/'Price History'!J146-1),"")</f>
        <v>-2.4706780484419433E-2</v>
      </c>
      <c r="K146" s="69">
        <f>IFERROR(IF(OR(NOT(ISNUMBER('Price History'!K147)),NOT(ISNUMBER('Price History'!K146)),'Price History'!K146=0),"",'Price History'!K147/'Price History'!K146-1),"")</f>
        <v>-2.7648766328011609E-2</v>
      </c>
      <c r="L146" s="69">
        <f>IFERROR(IF(OR(NOT(ISNUMBER('Price History'!L147)),NOT(ISNUMBER('Price History'!L146)),'Price History'!L146=0),"",'Price History'!L147/'Price History'!L146-1),"")</f>
        <v>-1.7805091333074174E-2</v>
      </c>
      <c r="M146" s="69">
        <f>IFERROR(IF(OR(NOT(ISNUMBER('Price History'!M147)),NOT(ISNUMBER('Price History'!M146)),'Price History'!M146=0),"",'Price History'!M147/'Price History'!M146-1),"")</f>
        <v>9.109627320057645E-2</v>
      </c>
      <c r="N146" s="69">
        <f>IFERROR(IF(OR(NOT(ISNUMBER('Price History'!N147)),NOT(ISNUMBER('Price History'!N146)),'Price History'!N146=0),"",'Price History'!N147/'Price History'!N146-1),"")</f>
        <v>1.6588339304825173E-2</v>
      </c>
      <c r="O146" s="69">
        <f>IFERROR(IF(OR(NOT(ISNUMBER('Price History'!O147)),NOT(ISNUMBER('Price History'!O146)),'Price History'!O146=0),"",'Price History'!O147/'Price History'!O146-1),"")</f>
        <v>-2.161214953271029E-2</v>
      </c>
      <c r="P146" s="69" t="str">
        <f>IFERROR(IF(OR(NOT(ISNUMBER('Price History'!P147)),NOT(ISNUMBER('Price History'!P146)),'Price History'!P146=0),"",'Price History'!P147/'Price History'!P146-1),"")</f>
        <v/>
      </c>
      <c r="Q146" s="69">
        <f>IFERROR(IF(OR(NOT(ISNUMBER('Price History'!Q147)),NOT(ISNUMBER('Price History'!Q146)),'Price History'!Q146=0),"",'Price History'!Q147/'Price History'!Q146-1),"")</f>
        <v>7.6028622540251778E-3</v>
      </c>
      <c r="R146" s="69">
        <f>IFERROR(IF(OR(NOT(ISNUMBER('Price History'!R147)),NOT(ISNUMBER('Price History'!R146)),'Price History'!R146=0),"",'Price History'!R147/'Price History'!R146-1),"")</f>
        <v>2.6841134037913772E-3</v>
      </c>
      <c r="S146" s="69">
        <f>IFERROR(IF(OR(NOT(ISNUMBER('Price History'!S147)),NOT(ISNUMBER('Price History'!S146)),'Price History'!S146=0),"",'Price History'!S147/'Price History'!S146-1),"")</f>
        <v>-2.2946943884292192E-3</v>
      </c>
      <c r="T146" s="69">
        <f>IFERROR(IF(OR(NOT(ISNUMBER('Price History'!T147)),NOT(ISNUMBER('Price History'!T146)),'Price History'!T146=0),"",'Price History'!T147/'Price History'!T146-1),"")</f>
        <v>-2.5676295277395678E-2</v>
      </c>
      <c r="U146" s="69" t="str">
        <f>IFERROR(IF(OR(NOT(ISNUMBER('Price History'!U147)),NOT(ISNUMBER('Price History'!U146)),'Price History'!U146=0),"",'Price History'!U147/'Price History'!U146-1),"")</f>
        <v/>
      </c>
    </row>
    <row r="147" spans="1:21" ht="15" customHeight="1" x14ac:dyDescent="0.2">
      <c r="A147" s="52">
        <f>'Price History'!A148</f>
        <v>46164</v>
      </c>
      <c r="B147" s="69">
        <f>IFERROR(IF(OR(NOT(ISNUMBER('Price History'!B148)),NOT(ISNUMBER('Price History'!B147)),'Price History'!B147=0),"",'Price History'!B148/'Price History'!B147-1),"")</f>
        <v>-1.1470113085621958E-2</v>
      </c>
      <c r="C147" s="69">
        <f>IFERROR(IF(OR(NOT(ISNUMBER('Price History'!C148)),NOT(ISNUMBER('Price History'!C147)),'Price History'!C147=0),"",'Price History'!C148/'Price History'!C147-1),"")</f>
        <v>8.494752412481521E-2</v>
      </c>
      <c r="D147" s="69">
        <f>IFERROR(IF(OR(NOT(ISNUMBER('Price History'!D148)),NOT(ISNUMBER('Price History'!D147)),'Price History'!D147=0),"",'Price History'!D148/'Price History'!D147-1),"")</f>
        <v>8.7288005806327229E-2</v>
      </c>
      <c r="E147" s="69">
        <f>IFERROR(IF(OR(NOT(ISNUMBER('Price History'!E148)),NOT(ISNUMBER('Price History'!E147)),'Price History'!E147=0),"",'Price History'!E148/'Price History'!E147-1),"")</f>
        <v>-2.5988381664667548E-2</v>
      </c>
      <c r="F147" s="69">
        <f>IFERROR(IF(OR(NOT(ISNUMBER('Price History'!F148)),NOT(ISNUMBER('Price History'!F147)),'Price History'!F147=0),"",'Price History'!F148/'Price History'!F147-1),"")</f>
        <v>0.11681928359816851</v>
      </c>
      <c r="G147" s="69">
        <f>IFERROR(IF(OR(NOT(ISNUMBER('Price History'!G148)),NOT(ISNUMBER('Price History'!G147)),'Price History'!G147=0),"",'Price History'!G148/'Price History'!G147-1),"")</f>
        <v>4.6610874023166771E-2</v>
      </c>
      <c r="H147" s="69">
        <f>IFERROR(IF(OR(NOT(ISNUMBER('Price History'!H148)),NOT(ISNUMBER('Price History'!H147)),'Price History'!H147=0),"",'Price History'!H148/'Price History'!H147-1),"")</f>
        <v>3.6348080479121192E-2</v>
      </c>
      <c r="I147" s="69">
        <f>IFERROR(IF(OR(NOT(ISNUMBER('Price History'!I148)),NOT(ISNUMBER('Price History'!I147)),'Price History'!I147=0),"",'Price History'!I148/'Price History'!I147-1),"")</f>
        <v>-4.4336943014379515E-2</v>
      </c>
      <c r="J147" s="69">
        <f>IFERROR(IF(OR(NOT(ISNUMBER('Price History'!J148)),NOT(ISNUMBER('Price History'!J147)),'Price History'!J147=0),"",'Price History'!J148/'Price History'!J147-1),"")</f>
        <v>3.8212481320714531E-2</v>
      </c>
      <c r="K147" s="69">
        <f>IFERROR(IF(OR(NOT(ISNUMBER('Price History'!K148)),NOT(ISNUMBER('Price History'!K147)),'Price History'!K147=0),"",'Price History'!K148/'Price History'!K147-1),"")</f>
        <v>2.1568773789088613E-2</v>
      </c>
      <c r="L147" s="69">
        <f>IFERROR(IF(OR(NOT(ISNUMBER('Price History'!L148)),NOT(ISNUMBER('Price History'!L147)),'Price History'!L147=0),"",'Price History'!L148/'Price History'!L147-1),"")</f>
        <v>4.2042784716200821E-4</v>
      </c>
      <c r="M147" s="69">
        <f>IFERROR(IF(OR(NOT(ISNUMBER('Price History'!M148)),NOT(ISNUMBER('Price History'!M147)),'Price History'!M147=0),"",'Price History'!M148/'Price History'!M147-1),"")</f>
        <v>-0.11721572221922683</v>
      </c>
      <c r="N147" s="69">
        <f>IFERROR(IF(OR(NOT(ISNUMBER('Price History'!N148)),NOT(ISNUMBER('Price History'!N147)),'Price History'!N147=0),"",'Price History'!N148/'Price History'!N147-1),"")</f>
        <v>-5.5612770339855677E-3</v>
      </c>
      <c r="O147" s="69">
        <f>IFERROR(IF(OR(NOT(ISNUMBER('Price History'!O148)),NOT(ISNUMBER('Price History'!O147)),'Price History'!O147=0),"",'Price History'!O148/'Price History'!O147-1),"")</f>
        <v>2.371002132196165E-2</v>
      </c>
      <c r="P147" s="69" t="str">
        <f>IFERROR(IF(OR(NOT(ISNUMBER('Price History'!P148)),NOT(ISNUMBER('Price History'!P147)),'Price History'!P147=0),"",'Price History'!P148/'Price History'!P147-1),"")</f>
        <v/>
      </c>
      <c r="Q147" s="69">
        <f>IFERROR(IF(OR(NOT(ISNUMBER('Price History'!Q148)),NOT(ISNUMBER('Price History'!Q147)),'Price History'!Q147=0),"",'Price History'!Q148/'Price History'!Q147-1),"")</f>
        <v>1.094836514277242E-2</v>
      </c>
      <c r="R147" s="69">
        <f>IFERROR(IF(OR(NOT(ISNUMBER('Price History'!R148)),NOT(ISNUMBER('Price History'!R147)),'Price History'!R147=0),"",'Price History'!R148/'Price History'!R147-1),"")</f>
        <v>7.3615526183703484E-3</v>
      </c>
      <c r="S147" s="69">
        <f>IFERROR(IF(OR(NOT(ISNUMBER('Price History'!S148)),NOT(ISNUMBER('Price History'!S147)),'Price History'!S147=0),"",'Price History'!S148/'Price History'!S147-1),"")</f>
        <v>1.0175634234736552E-2</v>
      </c>
      <c r="T147" s="69">
        <f>IFERROR(IF(OR(NOT(ISNUMBER('Price History'!T148)),NOT(ISNUMBER('Price History'!T147)),'Price History'!T147=0),"",'Price History'!T148/'Price History'!T147-1),"")</f>
        <v>3.9529411764705813E-2</v>
      </c>
      <c r="U147" s="69" t="str">
        <f>IFERROR(IF(OR(NOT(ISNUMBER('Price History'!U148)),NOT(ISNUMBER('Price History'!U147)),'Price History'!U147=0),"",'Price History'!U148/'Price History'!U147-1),"")</f>
        <v/>
      </c>
    </row>
    <row r="148" spans="1:21" ht="15" customHeight="1" x14ac:dyDescent="0.2">
      <c r="A148" s="52">
        <f>'Price History'!A149</f>
        <v>46171</v>
      </c>
      <c r="B148" s="69">
        <f>IFERROR(IF(OR(NOT(ISNUMBER('Price History'!B149)),NOT(ISNUMBER('Price History'!B148)),'Price History'!B148=0),"",'Price History'!B149/'Price History'!B148-1),"")</f>
        <v>5.9037424415754103E-2</v>
      </c>
      <c r="C148" s="69">
        <f>IFERROR(IF(OR(NOT(ISNUMBER('Price History'!C149)),NOT(ISNUMBER('Price History'!C148)),'Price History'!C148=0),"",'Price History'!C149/'Price History'!C148-1),"")</f>
        <v>3.5317795234694582E-2</v>
      </c>
      <c r="D148" s="69">
        <f>IFERROR(IF(OR(NOT(ISNUMBER('Price History'!D149)),NOT(ISNUMBER('Price History'!D148)),'Price History'!D148=0),"",'Price History'!D149/'Price History'!D148-1),"")</f>
        <v>-1.2333884499969416E-2</v>
      </c>
      <c r="E148" s="69">
        <f>IFERROR(IF(OR(NOT(ISNUMBER('Price History'!E149)),NOT(ISNUMBER('Price History'!E148)),'Price History'!E148=0),"",'Price History'!E149/'Price History'!E148-1),"")</f>
        <v>7.8789781233399303E-2</v>
      </c>
      <c r="F148" s="69">
        <f>IFERROR(IF(OR(NOT(ISNUMBER('Price History'!F149)),NOT(ISNUMBER('Price History'!F148)),'Price History'!F148=0),"",'Price History'!F149/'Price History'!F148-1),"")</f>
        <v>0.10176644360040998</v>
      </c>
      <c r="G148" s="69">
        <f>IFERROR(IF(OR(NOT(ISNUMBER('Price History'!G149)),NOT(ISNUMBER('Price History'!G148)),'Price History'!G148=0),"",'Price History'!G149/'Price History'!G148-1),"")</f>
        <v>1.7633975852573425E-2</v>
      </c>
      <c r="H148" s="69">
        <f>IFERROR(IF(OR(NOT(ISNUMBER('Price History'!H149)),NOT(ISNUMBER('Price History'!H148)),'Price History'!H148=0),"",'Price History'!H149/'Price History'!H148-1),"")</f>
        <v>0.29294274300932099</v>
      </c>
      <c r="I148" s="69">
        <f>IFERROR(IF(OR(NOT(ISNUMBER('Price History'!I149)),NOT(ISNUMBER('Price History'!I148)),'Price History'!I148=0),"",'Price History'!I149/'Price History'!I148-1),"")</f>
        <v>-1.9458505549621585E-2</v>
      </c>
      <c r="J148" s="69">
        <f>IFERROR(IF(OR(NOT(ISNUMBER('Price History'!J149)),NOT(ISNUMBER('Price History'!J148)),'Price History'!J148=0),"",'Price History'!J149/'Price History'!J148-1),"")</f>
        <v>-1.6655243317340696E-2</v>
      </c>
      <c r="K148" s="69">
        <f>IFERROR(IF(OR(NOT(ISNUMBER('Price History'!K149)),NOT(ISNUMBER('Price History'!K148)),'Price History'!K148=0),"",'Price History'!K149/'Price History'!K148-1),"")</f>
        <v>0.14362945645821146</v>
      </c>
      <c r="L148" s="69">
        <f>IFERROR(IF(OR(NOT(ISNUMBER('Price History'!L149)),NOT(ISNUMBER('Price History'!L148)),'Price History'!L148=0),"",'Price History'!L149/'Price History'!L148-1),"")</f>
        <v>3.4435874616829842E-2</v>
      </c>
      <c r="M148" s="69">
        <f>IFERROR(IF(OR(NOT(ISNUMBER('Price History'!M149)),NOT(ISNUMBER('Price History'!M148)),'Price History'!M148=0),"",'Price History'!M149/'Price History'!M148-1),"")</f>
        <v>-3.5882245159714166E-2</v>
      </c>
      <c r="N148" s="69">
        <f>IFERROR(IF(OR(NOT(ISNUMBER('Price History'!N149)),NOT(ISNUMBER('Price History'!N148)),'Price History'!N148=0),"",'Price History'!N149/'Price History'!N148-1),"")</f>
        <v>2.9964098315382603E-2</v>
      </c>
      <c r="O148" s="69">
        <f>IFERROR(IF(OR(NOT(ISNUMBER('Price History'!O149)),NOT(ISNUMBER('Price History'!O148)),'Price History'!O148=0),"",'Price History'!O149/'Price History'!O148-1),"")</f>
        <v>1.6662501041397881E-4</v>
      </c>
      <c r="P148" s="69" t="str">
        <f>IFERROR(IF(OR(NOT(ISNUMBER('Price History'!P149)),NOT(ISNUMBER('Price History'!P148)),'Price History'!P148=0),"",'Price History'!P149/'Price History'!P148-1),"")</f>
        <v/>
      </c>
      <c r="Q148" s="69">
        <f>IFERROR(IF(OR(NOT(ISNUMBER('Price History'!Q149)),NOT(ISNUMBER('Price History'!Q148)),'Price History'!Q148=0),"",'Price History'!Q149/'Price History'!Q148-1),"")</f>
        <v>-9.2199619493633644E-3</v>
      </c>
      <c r="R148" s="69">
        <f>IFERROR(IF(OR(NOT(ISNUMBER('Price History'!R149)),NOT(ISNUMBER('Price History'!R148)),'Price History'!R148=0),"",'Price History'!R149/'Price History'!R148-1),"")</f>
        <v>1.5612024580634376E-2</v>
      </c>
      <c r="S148" s="69">
        <f>IFERROR(IF(OR(NOT(ISNUMBER('Price History'!S149)),NOT(ISNUMBER('Price History'!S148)),'Price History'!S148=0),"",'Price History'!S149/'Price History'!S148-1),"")</f>
        <v>3.8981647578308243E-2</v>
      </c>
      <c r="T148" s="69">
        <f>IFERROR(IF(OR(NOT(ISNUMBER('Price History'!T149)),NOT(ISNUMBER('Price History'!T148)),'Price History'!T148=0),"",'Price History'!T149/'Price History'!T148-1),"")</f>
        <v>5.4096876414667205E-2</v>
      </c>
      <c r="U148" s="69" t="str">
        <f>IFERROR(IF(OR(NOT(ISNUMBER('Price History'!U149)),NOT(ISNUMBER('Price History'!U148)),'Price History'!U148=0),"",'Price History'!U149/'Price History'!U148-1),"")</f>
        <v/>
      </c>
    </row>
    <row r="149" spans="1:21" ht="15" customHeight="1" x14ac:dyDescent="0.2">
      <c r="A149" s="52">
        <f>'Price History'!A150</f>
        <v>46178</v>
      </c>
      <c r="B149" s="69">
        <f>IFERROR(IF(OR(NOT(ISNUMBER('Price History'!B150)),NOT(ISNUMBER('Price History'!B149)),'Price History'!B149=0),"",'Price History'!B150/'Price History'!B149-1),"")</f>
        <v>-2.9975695382122525E-2</v>
      </c>
      <c r="C149" s="69">
        <f>IFERROR(IF(OR(NOT(ISNUMBER('Price History'!C150)),NOT(ISNUMBER('Price History'!C149)),'Price History'!C149=0),"",'Price History'!C150/'Price History'!C149-1),"")</f>
        <v>-3.2608014046529021E-2</v>
      </c>
      <c r="D149" s="69">
        <f>IFERROR(IF(OR(NOT(ISNUMBER('Price History'!D150)),NOT(ISNUMBER('Price History'!D149)),'Price History'!D149=0),"",'Price History'!D150/'Price History'!D149-1),"")</f>
        <v>1.7969195664575111E-2</v>
      </c>
      <c r="E149" s="69">
        <f>IFERROR(IF(OR(NOT(ISNUMBER('Price History'!E150)),NOT(ISNUMBER('Price History'!E149)),'Price History'!E149=0),"",'Price History'!E150/'Price History'!E149-1),"")</f>
        <v>-0.13662510911654757</v>
      </c>
      <c r="F149" s="69">
        <f>IFERROR(IF(OR(NOT(ISNUMBER('Price History'!F150)),NOT(ISNUMBER('Price History'!F149)),'Price History'!F149=0),"",'Price History'!F150/'Price History'!F149-1),"")</f>
        <v>-8.2024623803009677E-2</v>
      </c>
      <c r="G149" s="69">
        <f>IFERROR(IF(OR(NOT(ISNUMBER('Price History'!G150)),NOT(ISNUMBER('Price History'!G149)),'Price History'!G149=0),"",'Price History'!G150/'Price History'!G149-1),"")</f>
        <v>3.9027944007909987E-3</v>
      </c>
      <c r="H149" s="69">
        <f>IFERROR(IF(OR(NOT(ISNUMBER('Price History'!H150)),NOT(ISNUMBER('Price History'!H149)),'Price History'!H149=0),"",'Price History'!H150/'Price History'!H149-1),"")</f>
        <v>-0.11018537590113286</v>
      </c>
      <c r="I149" s="69">
        <f>IFERROR(IF(OR(NOT(ISNUMBER('Price History'!I150)),NOT(ISNUMBER('Price History'!I149)),'Price History'!I149=0),"",'Price History'!I150/'Price History'!I149-1),"")</f>
        <v>-2.8606611726816333E-2</v>
      </c>
      <c r="J149" s="69">
        <f>IFERROR(IF(OR(NOT(ISNUMBER('Price History'!J150)),NOT(ISNUMBER('Price History'!J149)),'Price History'!J149=0),"",'Price History'!J150/'Price History'!J149-1),"")</f>
        <v>7.4580051578727602E-3</v>
      </c>
      <c r="K149" s="69">
        <f>IFERROR(IF(OR(NOT(ISNUMBER('Price History'!K150)),NOT(ISNUMBER('Price History'!K149)),'Price History'!K149=0),"",'Price History'!K150/'Price History'!K149-1),"")</f>
        <v>-0.13421489715088786</v>
      </c>
      <c r="L149" s="69">
        <f>IFERROR(IF(OR(NOT(ISNUMBER('Price History'!L150)),NOT(ISNUMBER('Price History'!L149)),'Price History'!L149=0),"",'Price History'!L150/'Price History'!L149-1),"")</f>
        <v>-7.8384514278885264E-3</v>
      </c>
      <c r="M149" s="69">
        <f>IFERROR(IF(OR(NOT(ISNUMBER('Price History'!M150)),NOT(ISNUMBER('Price History'!M149)),'Price History'!M149=0),"",'Price History'!M150/'Price History'!M149-1),"")</f>
        <v>-4.8145449938234441E-2</v>
      </c>
      <c r="N149" s="69">
        <f>IFERROR(IF(OR(NOT(ISNUMBER('Price History'!N150)),NOT(ISNUMBER('Price History'!N149)),'Price History'!N149=0),"",'Price History'!N150/'Price History'!N149-1),"")</f>
        <v>-1.5864503731510826E-3</v>
      </c>
      <c r="O149" s="69">
        <f>IFERROR(IF(OR(NOT(ISNUMBER('Price History'!O150)),NOT(ISNUMBER('Price History'!O149)),'Price History'!O149=0),"",'Price History'!O150/'Price History'!O149-1),"")</f>
        <v>-2.9154518950437192E-3</v>
      </c>
      <c r="P149" s="69" t="str">
        <f>IFERROR(IF(OR(NOT(ISNUMBER('Price History'!P150)),NOT(ISNUMBER('Price History'!P149)),'Price History'!P149=0),"",'Price History'!P150/'Price History'!P149-1),"")</f>
        <v/>
      </c>
      <c r="Q149" s="69">
        <f>IFERROR(IF(OR(NOT(ISNUMBER('Price History'!Q150)),NOT(ISNUMBER('Price History'!Q149)),'Price History'!Q149=0),"",'Price History'!Q150/'Price History'!Q149-1),"")</f>
        <v>-1.7725258493354046E-3</v>
      </c>
      <c r="R149" s="69">
        <f>IFERROR(IF(OR(NOT(ISNUMBER('Price History'!R150)),NOT(ISNUMBER('Price History'!R149)),'Price History'!R149=0),"",'Price History'!R150/'Price History'!R149-1),"")</f>
        <v>-3.6794766966475878E-2</v>
      </c>
      <c r="S149" s="69">
        <f>IFERROR(IF(OR(NOT(ISNUMBER('Price History'!S150)),NOT(ISNUMBER('Price History'!S149)),'Price History'!S149=0),"",'Price History'!S150/'Price History'!S149-1),"")</f>
        <v>-4.1901852712663556E-2</v>
      </c>
      <c r="T149" s="69">
        <f>IFERROR(IF(OR(NOT(ISNUMBER('Price History'!T150)),NOT(ISNUMBER('Price History'!T149)),'Price History'!T149=0),"",'Price History'!T150/'Price History'!T149-1),"")</f>
        <v>-1.1165986686708207E-2</v>
      </c>
      <c r="U149" s="69" t="str">
        <f>IFERROR(IF(OR(NOT(ISNUMBER('Price History'!U150)),NOT(ISNUMBER('Price History'!U149)),'Price History'!U149=0),"",'Price History'!U150/'Price History'!U149-1),"")</f>
        <v/>
      </c>
    </row>
    <row r="150" spans="1:21" ht="15" customHeight="1" x14ac:dyDescent="0.2">
      <c r="A150" s="52">
        <f>'Price History'!A151</f>
        <v>46185</v>
      </c>
      <c r="B150" s="69">
        <f>IFERROR(IF(OR(NOT(ISNUMBER('Price History'!B151)),NOT(ISNUMBER('Price History'!B150)),'Price History'!B150=0),"",'Price History'!B151/'Price History'!B150-1),"")</f>
        <v>-0.18859370028635059</v>
      </c>
      <c r="C150" s="69">
        <f>IFERROR(IF(OR(NOT(ISNUMBER('Price History'!C151)),NOT(ISNUMBER('Price History'!C150)),'Price History'!C150=0),"",'Price History'!C151/'Price History'!C150-1),"")</f>
        <v>5.8144811045569345E-2</v>
      </c>
      <c r="D150" s="69">
        <f>IFERROR(IF(OR(NOT(ISNUMBER('Price History'!D151)),NOT(ISNUMBER('Price History'!D150)),'Price History'!D150=0),"",'Price History'!D151/'Price History'!D150-1),"")</f>
        <v>0.13510665513418685</v>
      </c>
      <c r="E150" s="69">
        <f>IFERROR(IF(OR(NOT(ISNUMBER('Price History'!E151)),NOT(ISNUMBER('Price History'!E150)),'Price History'!E150=0),"",'Price History'!E151/'Price History'!E150-1),"")</f>
        <v>-9.4885023202758711E-3</v>
      </c>
      <c r="F150" s="69">
        <f>IFERROR(IF(OR(NOT(ISNUMBER('Price History'!F151)),NOT(ISNUMBER('Price History'!F150)),'Price History'!F150=0),"",'Price History'!F151/'Price History'!F150-1),"")</f>
        <v>1.7525035765379116E-2</v>
      </c>
      <c r="G150" s="69">
        <f>IFERROR(IF(OR(NOT(ISNUMBER('Price History'!G151)),NOT(ISNUMBER('Price History'!G150)),'Price History'!G150=0),"",'Price History'!G151/'Price History'!G150-1),"")</f>
        <v>0.31940700808625344</v>
      </c>
      <c r="H150" s="69">
        <f>IFERROR(IF(OR(NOT(ISNUMBER('Price History'!H151)),NOT(ISNUMBER('Price History'!H150)),'Price History'!H150=0),"",'Price History'!H151/'Price History'!H150-1),"")</f>
        <v>0.13610953576926188</v>
      </c>
      <c r="I150" s="69">
        <f>IFERROR(IF(OR(NOT(ISNUMBER('Price History'!I151)),NOT(ISNUMBER('Price History'!I150)),'Price History'!I150=0),"",'Price History'!I151/'Price History'!I150-1),"")</f>
        <v>4.388103364212359E-4</v>
      </c>
      <c r="J150" s="69">
        <f>IFERROR(IF(OR(NOT(ISNUMBER('Price History'!J151)),NOT(ISNUMBER('Price History'!J150)),'Price History'!J150=0),"",'Price History'!J151/'Price History'!J150-1),"")</f>
        <v>2.9057700290577193E-2</v>
      </c>
      <c r="K150" s="69">
        <f>IFERROR(IF(OR(NOT(ISNUMBER('Price History'!K151)),NOT(ISNUMBER('Price History'!K150)),'Price History'!K150=0),"",'Price History'!K151/'Price History'!K150-1),"")</f>
        <v>-5.5633439090976178E-2</v>
      </c>
      <c r="L150" s="69">
        <f>IFERROR(IF(OR(NOT(ISNUMBER('Price History'!L151)),NOT(ISNUMBER('Price History'!L150)),'Price History'!L150=0),"",'Price History'!L151/'Price History'!L150-1),"")</f>
        <v>2.1099790447286715E-2</v>
      </c>
      <c r="M150" s="69">
        <f>IFERROR(IF(OR(NOT(ISNUMBER('Price History'!M151)),NOT(ISNUMBER('Price History'!M150)),'Price History'!M150=0),"",'Price History'!M151/'Price History'!M150-1),"")</f>
        <v>7.8533160294167459E-3</v>
      </c>
      <c r="N150" s="69">
        <f>IFERROR(IF(OR(NOT(ISNUMBER('Price History'!N151)),NOT(ISNUMBER('Price History'!N150)),'Price History'!N150=0),"",'Price History'!N151/'Price History'!N150-1),"")</f>
        <v>-4.2521764429424014E-3</v>
      </c>
      <c r="O150" s="69">
        <f>IFERROR(IF(OR(NOT(ISNUMBER('Price History'!O151)),NOT(ISNUMBER('Price History'!O150)),'Price History'!O150=0),"",'Price History'!O151/'Price History'!O150-1),"")</f>
        <v>3.9097744360902187E-2</v>
      </c>
      <c r="P150" s="69" t="str">
        <f>IFERROR(IF(OR(NOT(ISNUMBER('Price History'!P151)),NOT(ISNUMBER('Price History'!P150)),'Price History'!P150=0),"",'Price History'!P151/'Price History'!P150-1),"")</f>
        <v/>
      </c>
      <c r="Q150" s="69">
        <f>IFERROR(IF(OR(NOT(ISNUMBER('Price History'!Q151)),NOT(ISNUMBER('Price History'!Q150)),'Price History'!Q150=0),"",'Price History'!Q151/'Price History'!Q150-1),"")</f>
        <v>1.2873631251849815E-2</v>
      </c>
      <c r="R150" s="69">
        <f>IFERROR(IF(OR(NOT(ISNUMBER('Price History'!R151)),NOT(ISNUMBER('Price History'!R150)),'Price History'!R150=0),"",'Price History'!R151/'Price History'!R150-1),"")</f>
        <v>1.6298811544991576E-2</v>
      </c>
      <c r="S150" s="69">
        <f>IFERROR(IF(OR(NOT(ISNUMBER('Price History'!S151)),NOT(ISNUMBER('Price History'!S150)),'Price History'!S150=0),"",'Price History'!S151/'Price History'!S150-1),"")</f>
        <v>5.6833934017188614E-2</v>
      </c>
      <c r="T150" s="69">
        <f>IFERROR(IF(OR(NOT(ISNUMBER('Price History'!T151)),NOT(ISNUMBER('Price History'!T150)),'Price History'!T150=0),"",'Price History'!T151/'Price History'!T150-1),"")</f>
        <v>5.2117263843649564E-3</v>
      </c>
      <c r="U150" s="69" t="str">
        <f>IFERROR(IF(OR(NOT(ISNUMBER('Price History'!U151)),NOT(ISNUMBER('Price History'!U150)),'Price History'!U150=0),"",'Price History'!U151/'Price History'!U150-1),"")</f>
        <v/>
      </c>
    </row>
    <row r="151" spans="1:21" ht="15" customHeight="1" x14ac:dyDescent="0.2">
      <c r="A151" s="52">
        <f>'Price History'!A152</f>
        <v>46191</v>
      </c>
      <c r="B151" s="69">
        <f>IFERROR(IF(OR(NOT(ISNUMBER('Price History'!B152)),NOT(ISNUMBER('Price History'!B151)),'Price History'!B151=0),"",'Price History'!B152/'Price History'!B151-1),"")</f>
        <v>-4.3427114988726645E-2</v>
      </c>
      <c r="C151" s="69">
        <f>IFERROR(IF(OR(NOT(ISNUMBER('Price History'!C152)),NOT(ISNUMBER('Price History'!C151)),'Price History'!C151=0),"",'Price History'!C152/'Price History'!C151-1),"")</f>
        <v>3.9389855427591103E-2</v>
      </c>
      <c r="D151" s="69">
        <f>IFERROR(IF(OR(NOT(ISNUMBER('Price History'!D152)),NOT(ISNUMBER('Price History'!D151)),'Price History'!D151=0),"",'Price History'!D152/'Price History'!D151-1),"")</f>
        <v>3.5486034718682058E-2</v>
      </c>
      <c r="E151" s="69">
        <f>IFERROR(IF(OR(NOT(ISNUMBER('Price History'!E152)),NOT(ISNUMBER('Price History'!E151)),'Price History'!E151=0),"",'Price History'!E152/'Price History'!E151-1),"")</f>
        <v>7.6635171565420102E-2</v>
      </c>
      <c r="F151" s="69">
        <f>IFERROR(IF(OR(NOT(ISNUMBER('Price History'!F152)),NOT(ISNUMBER('Price History'!F151)),'Price History'!F151=0),"",'Price History'!F152/'Price History'!F151-1),"")</f>
        <v>3.0462800234329901E-3</v>
      </c>
      <c r="G151" s="69">
        <f>IFERROR(IF(OR(NOT(ISNUMBER('Price History'!G152)),NOT(ISNUMBER('Price History'!G151)),'Price History'!G151=0),"",'Price History'!G152/'Price History'!G151-1),"")</f>
        <v>1.9721851182525452E-2</v>
      </c>
      <c r="H151" s="69">
        <f>IFERROR(IF(OR(NOT(ISNUMBER('Price History'!H152)),NOT(ISNUMBER('Price History'!H151)),'Price History'!H151=0),"",'Price History'!H152/'Price History'!H151-1),"")</f>
        <v>0.15523476737197051</v>
      </c>
      <c r="I151" s="69">
        <f>IFERROR(IF(OR(NOT(ISNUMBER('Price History'!I152)),NOT(ISNUMBER('Price History'!I151)),'Price History'!I151=0),"",'Price History'!I152/'Price History'!I151-1),"")</f>
        <v>2.6804425166918389E-2</v>
      </c>
      <c r="J151" s="69">
        <f>IFERROR(IF(OR(NOT(ISNUMBER('Price History'!J152)),NOT(ISNUMBER('Price History'!J151)),'Price History'!J151=0),"",'Price History'!J152/'Price History'!J151-1),"")</f>
        <v>-5.5129756622294024E-2</v>
      </c>
      <c r="K151" s="69">
        <f>IFERROR(IF(OR(NOT(ISNUMBER('Price History'!K152)),NOT(ISNUMBER('Price History'!K151)),'Price History'!K151=0),"",'Price History'!K152/'Price History'!K151-1),"")</f>
        <v>3.7502929916399808E-3</v>
      </c>
      <c r="L151" s="69">
        <f>IFERROR(IF(OR(NOT(ISNUMBER('Price History'!L152)),NOT(ISNUMBER('Price History'!L151)),'Price History'!L151=0),"",'Price History'!L152/'Price History'!L151-1),"")</f>
        <v>9.0085627344137054E-2</v>
      </c>
      <c r="M151" s="69">
        <f>IFERROR(IF(OR(NOT(ISNUMBER('Price History'!M152)),NOT(ISNUMBER('Price History'!M151)),'Price History'!M151=0),"",'Price History'!M152/'Price History'!M151-1),"")</f>
        <v>9.9646713111235963E-2</v>
      </c>
      <c r="N151" s="69">
        <f>IFERROR(IF(OR(NOT(ISNUMBER('Price History'!N152)),NOT(ISNUMBER('Price History'!N151)),'Price History'!N151=0),"",'Price History'!N152/'Price History'!N151-1),"")</f>
        <v>1.5058548535724636E-2</v>
      </c>
      <c r="O151" s="69">
        <f>IFERROR(IF(OR(NOT(ISNUMBER('Price History'!O152)),NOT(ISNUMBER('Price History'!O151)),'Price History'!O151=0),"",'Price History'!O152/'Price History'!O151-1),"")</f>
        <v>-1.9134909149380874E-2</v>
      </c>
      <c r="P151" s="69" t="str">
        <f>IFERROR(IF(OR(NOT(ISNUMBER('Price History'!P152)),NOT(ISNUMBER('Price History'!P151)),'Price History'!P151=0),"",'Price History'!P152/'Price History'!P151-1),"")</f>
        <v/>
      </c>
      <c r="Q151" s="69" t="str">
        <f>IFERROR(IF(OR(NOT(ISNUMBER('Price History'!Q152)),NOT(ISNUMBER('Price History'!Q151)),'Price History'!Q151=0),"",'Price History'!Q152/'Price History'!Q151-1),"")</f>
        <v/>
      </c>
      <c r="R151" s="69">
        <f>IFERROR(IF(OR(NOT(ISNUMBER('Price History'!R152)),NOT(ISNUMBER('Price History'!R151)),'Price History'!R151=0),"",'Price History'!R152/'Price History'!R151-1),"")</f>
        <v>2.4724356832609429E-2</v>
      </c>
      <c r="S151" s="69">
        <f>IFERROR(IF(OR(NOT(ISNUMBER('Price History'!S152)),NOT(ISNUMBER('Price History'!S151)),'Price History'!S151=0),"",'Price History'!S152/'Price History'!S151-1),"")</f>
        <v>4.8662119622245648E-2</v>
      </c>
      <c r="T151" s="69">
        <f>IFERROR(IF(OR(NOT(ISNUMBER('Price History'!T152)),NOT(ISNUMBER('Price History'!T151)),'Price History'!T151=0),"",'Price History'!T152/'Price History'!T151-1),"")</f>
        <v>-2.2467055519550638E-2</v>
      </c>
      <c r="U151" s="69" t="str">
        <f>IFERROR(IF(OR(NOT(ISNUMBER('Price History'!U152)),NOT(ISNUMBER('Price History'!U151)),'Price History'!U151=0),"",'Price History'!U152/'Price History'!U151-1),"")</f>
        <v/>
      </c>
    </row>
    <row r="152" spans="1:21" ht="15" customHeight="1" x14ac:dyDescent="0.2">
      <c r="A152" s="52">
        <f>'Price History'!A153</f>
        <v>46199</v>
      </c>
      <c r="B152" s="69">
        <f>IFERROR(IF(OR(NOT(ISNUMBER('Price History'!B153)),NOT(ISNUMBER('Price History'!B152)),'Price History'!B152=0),"",'Price History'!B153/'Price History'!B152-1),"")</f>
        <v>3.8788686206189693E-2</v>
      </c>
      <c r="C152" s="69">
        <f>IFERROR(IF(OR(NOT(ISNUMBER('Price History'!C153)),NOT(ISNUMBER('Price History'!C152)),'Price History'!C152=0),"",'Price History'!C153/'Price History'!C152-1),"")</f>
        <v>-7.1138091589556196E-2</v>
      </c>
      <c r="D152" s="69">
        <f>IFERROR(IF(OR(NOT(ISNUMBER('Price History'!D153)),NOT(ISNUMBER('Price History'!D152)),'Price History'!D152=0),"",'Price History'!D153/'Price History'!D152-1),"")</f>
        <v>-6.9990879316778054E-2</v>
      </c>
      <c r="E152" s="69">
        <f>IFERROR(IF(OR(NOT(ISNUMBER('Price History'!E153)),NOT(ISNUMBER('Price History'!E152)),'Price History'!E152=0),"",'Price History'!E153/'Price History'!E152-1),"")</f>
        <v>-0.11262914792755574</v>
      </c>
      <c r="F152" s="69">
        <f>IFERROR(IF(OR(NOT(ISNUMBER('Price History'!F153)),NOT(ISNUMBER('Price History'!F152)),'Price History'!F152=0),"",'Price History'!F153/'Price History'!F152-1),"")</f>
        <v>2.365377876416308E-2</v>
      </c>
      <c r="G152" s="69">
        <f>IFERROR(IF(OR(NOT(ISNUMBER('Price History'!G153)),NOT(ISNUMBER('Price History'!G152)),'Price History'!G152=0),"",'Price History'!G153/'Price History'!G152-1),"")</f>
        <v>-4.2071197411003292E-2</v>
      </c>
      <c r="H152" s="69">
        <f>IFERROR(IF(OR(NOT(ISNUMBER('Price History'!H153)),NOT(ISNUMBER('Price History'!H152)),'Price History'!H152=0),"",'Price History'!H153/'Price History'!H152-1),"")</f>
        <v>-1.4638577059763458E-3</v>
      </c>
      <c r="I152" s="69">
        <f>IFERROR(IF(OR(NOT(ISNUMBER('Price History'!I153)),NOT(ISNUMBER('Price History'!I152)),'Price History'!I152=0),"",'Price History'!I153/'Price History'!I152-1),"")</f>
        <v>-8.6192984954198137E-2</v>
      </c>
      <c r="J152" s="69">
        <f>IFERROR(IF(OR(NOT(ISNUMBER('Price History'!J153)),NOT(ISNUMBER('Price History'!J152)),'Price History'!J152=0),"",'Price History'!J153/'Price History'!J152-1),"")</f>
        <v>-4.0557848299416221E-3</v>
      </c>
      <c r="K152" s="69">
        <f>IFERROR(IF(OR(NOT(ISNUMBER('Price History'!K153)),NOT(ISNUMBER('Price History'!K152)),'Price History'!K152=0),"",'Price History'!K153/'Price History'!K152-1),"")</f>
        <v>-0.12096209231727251</v>
      </c>
      <c r="L152" s="69">
        <f>IFERROR(IF(OR(NOT(ISNUMBER('Price History'!L153)),NOT(ISNUMBER('Price History'!L152)),'Price History'!L152=0),"",'Price History'!L153/'Price History'!L152-1),"")</f>
        <v>-6.4420496840647434E-2</v>
      </c>
      <c r="M152" s="69">
        <f>IFERROR(IF(OR(NOT(ISNUMBER('Price History'!M153)),NOT(ISNUMBER('Price History'!M152)),'Price History'!M152=0),"",'Price History'!M153/'Price History'!M152-1),"")</f>
        <v>-8.7374268127908827E-2</v>
      </c>
      <c r="N152" s="69">
        <f>IFERROR(IF(OR(NOT(ISNUMBER('Price History'!N153)),NOT(ISNUMBER('Price History'!N152)),'Price History'!N152=0),"",'Price History'!N153/'Price History'!N152-1),"")</f>
        <v>8.7925957088767381E-2</v>
      </c>
      <c r="O152" s="69">
        <f>IFERROR(IF(OR(NOT(ISNUMBER('Price History'!O153)),NOT(ISNUMBER('Price History'!O152)),'Price History'!O152=0),"",'Price History'!O153/'Price History'!O152-1),"")</f>
        <v>2.4098360655737672E-2</v>
      </c>
      <c r="P152" s="69" t="str">
        <f>IFERROR(IF(OR(NOT(ISNUMBER('Price History'!P153)),NOT(ISNUMBER('Price History'!P152)),'Price History'!P152=0),"",'Price History'!P153/'Price History'!P152-1),"")</f>
        <v/>
      </c>
      <c r="Q152" s="69" t="str">
        <f>IFERROR(IF(OR(NOT(ISNUMBER('Price History'!Q153)),NOT(ISNUMBER('Price History'!Q152)),'Price History'!Q152=0),"",'Price History'!Q153/'Price History'!Q152-1),"")</f>
        <v/>
      </c>
      <c r="R152" s="69">
        <f>IFERROR(IF(OR(NOT(ISNUMBER('Price History'!R153)),NOT(ISNUMBER('Price History'!R152)),'Price History'!R152=0),"",'Price History'!R153/'Price History'!R152-1),"")</f>
        <v>-3.1300945549396886E-2</v>
      </c>
      <c r="S152" s="69">
        <f>IFERROR(IF(OR(NOT(ISNUMBER('Price History'!S153)),NOT(ISNUMBER('Price History'!S152)),'Price History'!S152=0),"",'Price History'!S153/'Price History'!S152-1),"")</f>
        <v>-3.5647279549718691E-2</v>
      </c>
      <c r="T152" s="69">
        <f>IFERROR(IF(OR(NOT(ISNUMBER('Price History'!T153)),NOT(ISNUMBER('Price History'!T152)),'Price History'!T152=0),"",'Price History'!T153/'Price History'!T152-1),"")</f>
        <v>2.0773480662983346E-2</v>
      </c>
      <c r="U152" s="69" t="str">
        <f>IFERROR(IF(OR(NOT(ISNUMBER('Price History'!U153)),NOT(ISNUMBER('Price History'!U152)),'Price History'!U152=0),"",'Price History'!U153/'Price History'!U152-1),"")</f>
        <v/>
      </c>
    </row>
    <row r="153" spans="1:21" ht="15" customHeight="1" x14ac:dyDescent="0.2">
      <c r="A153" s="52">
        <f>'Price History'!A154</f>
        <v>46205</v>
      </c>
      <c r="B153" s="69">
        <f>IFERROR(IF(OR(NOT(ISNUMBER('Price History'!B154)),NOT(ISNUMBER('Price History'!B153)),'Price History'!B153=0),"",'Price History'!B154/'Price History'!B153-1),"")</f>
        <v>8.3806047452276378E-2</v>
      </c>
      <c r="C153" s="69">
        <f>IFERROR(IF(OR(NOT(ISNUMBER('Price History'!C154)),NOT(ISNUMBER('Price History'!C153)),'Price History'!C153=0),"",'Price History'!C154/'Price History'!C153-1),"")</f>
        <v>1.5164974619289451E-2</v>
      </c>
      <c r="D153" s="69">
        <f>IFERROR(IF(OR(NOT(ISNUMBER('Price History'!D154)),NOT(ISNUMBER('Price History'!D153)),'Price History'!D153=0),"",'Price History'!D154/'Price History'!D153-1),"")</f>
        <v>-1.4097691990504924E-2</v>
      </c>
      <c r="E153" s="69">
        <f>IFERROR(IF(OR(NOT(ISNUMBER('Price History'!E154)),NOT(ISNUMBER('Price History'!E153)),'Price History'!E153=0),"",'Price History'!E154/'Price History'!E153-1),"")</f>
        <v>-1.251986192537391E-2</v>
      </c>
      <c r="F153" s="69">
        <f>IFERROR(IF(OR(NOT(ISNUMBER('Price History'!F154)),NOT(ISNUMBER('Price History'!F153)),'Price History'!F153=0),"",'Price History'!F154/'Price History'!F153-1),"")</f>
        <v>0.10674958635248455</v>
      </c>
      <c r="G153" s="69">
        <f>IFERROR(IF(OR(NOT(ISNUMBER('Price History'!G154)),NOT(ISNUMBER('Price History'!G153)),'Price History'!G153=0),"",'Price History'!G154/'Price History'!G153-1),"")</f>
        <v>-5.2646396396396344E-2</v>
      </c>
      <c r="H153" s="69">
        <f>IFERROR(IF(OR(NOT(ISNUMBER('Price History'!H154)),NOT(ISNUMBER('Price History'!H153)),'Price History'!H153=0),"",'Price History'!H154/'Price History'!H153-1),"")</f>
        <v>-0.13844903870779723</v>
      </c>
      <c r="I153" s="69">
        <f>IFERROR(IF(OR(NOT(ISNUMBER('Price History'!I154)),NOT(ISNUMBER('Price History'!I153)),'Price History'!I153=0),"",'Price History'!I154/'Price History'!I153-1),"")</f>
        <v>1.1946190204124019E-2</v>
      </c>
      <c r="J153" s="69">
        <f>IFERROR(IF(OR(NOT(ISNUMBER('Price History'!J154)),NOT(ISNUMBER('Price History'!J153)),'Price History'!J153=0),"",'Price History'!J154/'Price History'!J153-1),"")</f>
        <v>-3.8579695649066936E-3</v>
      </c>
      <c r="K153" s="69">
        <f>IFERROR(IF(OR(NOT(ISNUMBER('Price History'!K154)),NOT(ISNUMBER('Price History'!K153)),'Price History'!K153=0),"",'Price History'!K154/'Price History'!K153-1),"")</f>
        <v>0.14495705304170725</v>
      </c>
      <c r="L153" s="69">
        <f>IFERROR(IF(OR(NOT(ISNUMBER('Price History'!L154)),NOT(ISNUMBER('Price History'!L153)),'Price History'!L153=0),"",'Price History'!L154/'Price History'!L153-1),"")</f>
        <v>4.186423036891318E-3</v>
      </c>
      <c r="M153" s="69">
        <f>IFERROR(IF(OR(NOT(ISNUMBER('Price History'!M154)),NOT(ISNUMBER('Price History'!M153)),'Price History'!M153=0),"",'Price History'!M154/'Price History'!M153-1),"")</f>
        <v>-1.1251850633327898E-2</v>
      </c>
      <c r="N153" s="69">
        <f>IFERROR(IF(OR(NOT(ISNUMBER('Price History'!N154)),NOT(ISNUMBER('Price History'!N153)),'Price History'!N153=0),"",'Price History'!N154/'Price History'!N153-1),"")</f>
        <v>7.4693694793829035E-2</v>
      </c>
      <c r="O153" s="69">
        <f>IFERROR(IF(OR(NOT(ISNUMBER('Price History'!O154)),NOT(ISNUMBER('Price History'!O153)),'Price History'!O153=0),"",'Price History'!O154/'Price History'!O153-1),"")</f>
        <v>-1.1445493837041743E-2</v>
      </c>
      <c r="P153" s="69" t="str">
        <f>IFERROR(IF(OR(NOT(ISNUMBER('Price History'!P154)),NOT(ISNUMBER('Price History'!P153)),'Price History'!P153=0),"",'Price History'!P154/'Price History'!P153-1),"")</f>
        <v/>
      </c>
      <c r="Q153" s="69" t="str">
        <f>IFERROR(IF(OR(NOT(ISNUMBER('Price History'!Q154)),NOT(ISNUMBER('Price History'!Q153)),'Price History'!Q153=0),"",'Price History'!Q154/'Price History'!Q153-1),"")</f>
        <v/>
      </c>
      <c r="R153" s="69">
        <f>IFERROR(IF(OR(NOT(ISNUMBER('Price History'!R154)),NOT(ISNUMBER('Price History'!R153)),'Price History'!R153=0),"",'Price History'!R154/'Price History'!R153-1),"")</f>
        <v>-5.048805116122379E-4</v>
      </c>
      <c r="S153" s="69">
        <f>IFERROR(IF(OR(NOT(ISNUMBER('Price History'!S154)),NOT(ISNUMBER('Price History'!S153)),'Price History'!S153=0),"",'Price History'!S154/'Price History'!S153-1),"")</f>
        <v>-2.1854734111543261E-2</v>
      </c>
      <c r="T153" s="69">
        <f>IFERROR(IF(OR(NOT(ISNUMBER('Price History'!T154)),NOT(ISNUMBER('Price History'!T153)),'Price History'!T153=0),"",'Price History'!T154/'Price History'!T153-1),"")</f>
        <v>1.7536263260446106E-2</v>
      </c>
      <c r="U153" s="69" t="str">
        <f>IFERROR(IF(OR(NOT(ISNUMBER('Price History'!U154)),NOT(ISNUMBER('Price History'!U153)),'Price History'!U153=0),"",'Price History'!U154/'Price History'!U153-1),"")</f>
        <v/>
      </c>
    </row>
    <row r="154" spans="1:21" ht="15" customHeight="1" x14ac:dyDescent="0.2">
      <c r="A154" s="52">
        <f>'Price History'!A155</f>
        <v>46213</v>
      </c>
      <c r="B154" s="69">
        <f>IFERROR(IF(OR(NOT(ISNUMBER('Price History'!B155)),NOT(ISNUMBER('Price History'!B154)),'Price History'!B154=0),"",'Price History'!B155/'Price History'!B154-1),"")</f>
        <v>1.7840888403422461E-2</v>
      </c>
      <c r="C154" s="69">
        <f>IFERROR(IF(OR(NOT(ISNUMBER('Price History'!C155)),NOT(ISNUMBER('Price History'!C154)),'Price History'!C154=0),"",'Price History'!C155/'Price History'!C154-1),"")</f>
        <v>0.16857303581473837</v>
      </c>
      <c r="D154" s="69">
        <f>IFERROR(IF(OR(NOT(ISNUMBER('Price History'!D155)),NOT(ISNUMBER('Price History'!D154)),'Price History'!D154=0),"",'Price History'!D155/'Price History'!D154-1),"")</f>
        <v>1.5825288811520899E-2</v>
      </c>
      <c r="E154" s="69">
        <f>IFERROR(IF(OR(NOT(ISNUMBER('Price History'!E155)),NOT(ISNUMBER('Price History'!E154)),'Price History'!E154=0),"",'Price History'!E155/'Price History'!E154-1),"")</f>
        <v>0.10964072686919146</v>
      </c>
      <c r="F154" s="69">
        <f>IFERROR(IF(OR(NOT(ISNUMBER('Price History'!F155)),NOT(ISNUMBER('Price History'!F154)),'Price History'!F154=0),"",'Price History'!F155/'Price History'!F154-1),"")</f>
        <v>-3.5055160325806689E-2</v>
      </c>
      <c r="G154" s="69">
        <f>IFERROR(IF(OR(NOT(ISNUMBER('Price History'!G155)),NOT(ISNUMBER('Price History'!G154)),'Price History'!G154=0),"",'Price History'!G155/'Price History'!G154-1),"")</f>
        <v>-1.7108894077690562E-2</v>
      </c>
      <c r="H154" s="69">
        <f>IFERROR(IF(OR(NOT(ISNUMBER('Price History'!H155)),NOT(ISNUMBER('Price History'!H154)),'Price History'!H154=0),"",'Price History'!H155/'Price History'!H154-1),"")</f>
        <v>3.8336955184714583E-3</v>
      </c>
      <c r="I154" s="69">
        <f>IFERROR(IF(OR(NOT(ISNUMBER('Price History'!I155)),NOT(ISNUMBER('Price History'!I154)),'Price History'!I154=0),"",'Price History'!I155/'Price History'!I154-1),"")</f>
        <v>8.2790124724118508E-2</v>
      </c>
      <c r="J154" s="69">
        <f>IFERROR(IF(OR(NOT(ISNUMBER('Price History'!J155)),NOT(ISNUMBER('Price History'!J154)),'Price History'!J154=0),"",'Price History'!J155/'Price History'!J154-1),"")</f>
        <v>1.0327763035214765E-2</v>
      </c>
      <c r="K154" s="69">
        <f>IFERROR(IF(OR(NOT(ISNUMBER('Price History'!K155)),NOT(ISNUMBER('Price History'!K154)),'Price History'!K154=0),"",'Price History'!K155/'Price History'!K154-1),"")</f>
        <v>-1.9412219644238227E-2</v>
      </c>
      <c r="L154" s="69">
        <f>IFERROR(IF(OR(NOT(ISNUMBER('Price History'!L155)),NOT(ISNUMBER('Price History'!L154)),'Price History'!L154=0),"",'Price History'!L155/'Price History'!L154-1),"")</f>
        <v>-1.1516491615992663E-4</v>
      </c>
      <c r="M154" s="69">
        <f>IFERROR(IF(OR(NOT(ISNUMBER('Price History'!M155)),NOT(ISNUMBER('Price History'!M154)),'Price History'!M154=0),"",'Price History'!M155/'Price History'!M154-1),"")</f>
        <v>6.0992247030246638E-2</v>
      </c>
      <c r="N154" s="69">
        <f>IFERROR(IF(OR(NOT(ISNUMBER('Price History'!N155)),NOT(ISNUMBER('Price History'!N154)),'Price History'!N154=0),"",'Price History'!N155/'Price History'!N154-1),"")</f>
        <v>-8.0770396182107351E-2</v>
      </c>
      <c r="O154" s="69">
        <f>IFERROR(IF(OR(NOT(ISNUMBER('Price History'!O155)),NOT(ISNUMBER('Price History'!O154)),'Price History'!O154=0),"",'Price History'!O155/'Price History'!O154-1),"")</f>
        <v>3.5624645777669883E-3</v>
      </c>
      <c r="P154" s="69" t="str">
        <f>IFERROR(IF(OR(NOT(ISNUMBER('Price History'!P155)),NOT(ISNUMBER('Price History'!P154)),'Price History'!P154=0),"",'Price History'!P155/'Price History'!P154-1),"")</f>
        <v/>
      </c>
      <c r="Q154" s="69" t="str">
        <f>IFERROR(IF(OR(NOT(ISNUMBER('Price History'!Q155)),NOT(ISNUMBER('Price History'!Q154)),'Price History'!Q154=0),"",'Price History'!Q155/'Price History'!Q154-1),"")</f>
        <v/>
      </c>
      <c r="R154" s="69">
        <f>IFERROR(IF(OR(NOT(ISNUMBER('Price History'!R155)),NOT(ISNUMBER('Price History'!R154)),'Price History'!R154=0),"",'Price History'!R155/'Price History'!R154-1),"")</f>
        <v>1.8858393668967688E-2</v>
      </c>
      <c r="S154" s="69">
        <f>IFERROR(IF(OR(NOT(ISNUMBER('Price History'!S155)),NOT(ISNUMBER('Price History'!S154)),'Price History'!S154=0),"",'Price History'!S155/'Price History'!S154-1),"")</f>
        <v>1.9359543857322636E-2</v>
      </c>
      <c r="T154" s="69">
        <f>IFERROR(IF(OR(NOT(ISNUMBER('Price History'!T155)),NOT(ISNUMBER('Price History'!T154)),'Price History'!T154=0),"",'Price History'!T155/'Price History'!T154-1),"")</f>
        <v>8.2978723404254495E-3</v>
      </c>
      <c r="U154" s="69" t="str">
        <f>IFERROR(IF(OR(NOT(ISNUMBER('Price History'!U155)),NOT(ISNUMBER('Price History'!U154)),'Price History'!U154=0),"",'Price History'!U155/'Price History'!U154-1),"")</f>
        <v/>
      </c>
    </row>
    <row r="155" spans="1:21" ht="15" customHeight="1" x14ac:dyDescent="0.2">
      <c r="A155" s="52">
        <f>'Price History'!A156</f>
        <v>46220</v>
      </c>
      <c r="B155" s="69">
        <f>IFERROR(IF(OR(NOT(ISNUMBER('Price History'!B156)),NOT(ISNUMBER('Price History'!B155)),'Price History'!B155=0),"",'Price History'!B156/'Price History'!B155-1),"")</f>
        <v>6.0856734036844884E-2</v>
      </c>
      <c r="C155" s="69">
        <f>IFERROR(IF(OR(NOT(ISNUMBER('Price History'!C156)),NOT(ISNUMBER('Price History'!C155)),'Price History'!C155=0),"",'Price History'!C156/'Price History'!C155-1),"")</f>
        <v>-9.8149336756525374E-2</v>
      </c>
      <c r="D155" s="69">
        <f>IFERROR(IF(OR(NOT(ISNUMBER('Price History'!D156)),NOT(ISNUMBER('Price History'!D155)),'Price History'!D155=0),"",'Price History'!D156/'Price History'!D155-1),"")</f>
        <v>-2.7674537644937991E-2</v>
      </c>
      <c r="E155" s="69">
        <f>IFERROR(IF(OR(NOT(ISNUMBER('Price History'!E156)),NOT(ISNUMBER('Price History'!E155)),'Price History'!E155=0),"",'Price History'!E156/'Price History'!E155-1),"")</f>
        <v>-7.2855464159812144E-2</v>
      </c>
      <c r="F155" s="69">
        <f>IFERROR(IF(OR(NOT(ISNUMBER('Price History'!F156)),NOT(ISNUMBER('Price History'!F155)),'Price History'!F155=0),"",'Price History'!F156/'Price History'!F155-1),"")</f>
        <v>8.4944972753499437E-2</v>
      </c>
      <c r="G155" s="69">
        <f>IFERROR(IF(OR(NOT(ISNUMBER('Price History'!G156)),NOT(ISNUMBER('Price History'!G155)),'Price History'!G155=0),"",'Price History'!G156/'Price History'!G155-1),"")</f>
        <v>-8.1072909467864607E-2</v>
      </c>
      <c r="H155" s="69">
        <f>IFERROR(IF(OR(NOT(ISNUMBER('Price History'!H156)),NOT(ISNUMBER('Price History'!H155)),'Price History'!H155=0),"",'Price History'!H156/'Price History'!H155-1),"")</f>
        <v>-0.13310527928111904</v>
      </c>
      <c r="I155" s="69">
        <f>IFERROR(IF(OR(NOT(ISNUMBER('Price History'!I156)),NOT(ISNUMBER('Price History'!I155)),'Price History'!I155=0),"",'Price History'!I156/'Price History'!I155-1),"")</f>
        <v>-3.8632916192643196E-2</v>
      </c>
      <c r="J155" s="69">
        <f>IFERROR(IF(OR(NOT(ISNUMBER('Price History'!J156)),NOT(ISNUMBER('Price History'!J155)),'Price History'!J155=0),"",'Price History'!J156/'Price History'!J155-1),"")</f>
        <v>6.3320792219776934E-2</v>
      </c>
      <c r="K155" s="69">
        <f>IFERROR(IF(OR(NOT(ISNUMBER('Price History'!K156)),NOT(ISNUMBER('Price History'!K155)),'Price History'!K155=0),"",'Price History'!K156/'Price History'!K155-1),"")</f>
        <v>4.4088650524489292E-2</v>
      </c>
      <c r="L155" s="69">
        <f>IFERROR(IF(OR(NOT(ISNUMBER('Price History'!L156)),NOT(ISNUMBER('Price History'!L155)),'Price History'!L155=0),"",'Price History'!L156/'Price History'!L155-1),"")</f>
        <v>-8.2329363525373789E-2</v>
      </c>
      <c r="M155" s="69">
        <f>IFERROR(IF(OR(NOT(ISNUMBER('Price History'!M156)),NOT(ISNUMBER('Price History'!M155)),'Price History'!M155=0),"",'Price History'!M156/'Price History'!M155-1),"")</f>
        <v>-9.188985761776336E-2</v>
      </c>
      <c r="N155" s="69">
        <f>IFERROR(IF(OR(NOT(ISNUMBER('Price History'!N156)),NOT(ISNUMBER('Price History'!N155)),'Price History'!N155=0),"",'Price History'!N156/'Price History'!N155-1),"")</f>
        <v>5.3565174395853177E-4</v>
      </c>
      <c r="O155" s="69">
        <f>IFERROR(IF(OR(NOT(ISNUMBER('Price History'!O156)),NOT(ISNUMBER('Price History'!O155)),'Price History'!O155=0),"",'Price History'!O156/'Price History'!O155-1),"")</f>
        <v>1.1294876966518652E-2</v>
      </c>
      <c r="P155" s="69" t="str">
        <f>IFERROR(IF(OR(NOT(ISNUMBER('Price History'!P156)),NOT(ISNUMBER('Price History'!P155)),'Price History'!P155=0),"",'Price History'!P156/'Price History'!P155-1),"")</f>
        <v/>
      </c>
      <c r="Q155" s="69" t="str">
        <f>IFERROR(IF(OR(NOT(ISNUMBER('Price History'!Q156)),NOT(ISNUMBER('Price History'!Q155)),'Price History'!Q155=0),"",'Price History'!Q156/'Price History'!Q155-1),"")</f>
        <v/>
      </c>
      <c r="R155" s="69">
        <f>IFERROR(IF(OR(NOT(ISNUMBER('Price History'!R156)),NOT(ISNUMBER('Price History'!R155)),'Price History'!R155=0),"",'Price History'!R156/'Price History'!R155-1),"")</f>
        <v>-3.3052388035035518E-2</v>
      </c>
      <c r="S155" s="69">
        <f>IFERROR(IF(OR(NOT(ISNUMBER('Price History'!S156)),NOT(ISNUMBER('Price History'!S155)),'Price History'!S155=0),"",'Price History'!S156/'Price History'!S155-1),"")</f>
        <v>-6.4130081300813102E-2</v>
      </c>
      <c r="T155" s="69">
        <f>IFERROR(IF(OR(NOT(ISNUMBER('Price History'!T156)),NOT(ISNUMBER('Price History'!T155)),'Price History'!T155=0),"",'Price History'!T156/'Price History'!T155-1),"")</f>
        <v>8.6516142646126948E-3</v>
      </c>
      <c r="U155" s="69" t="str">
        <f>IFERROR(IF(OR(NOT(ISNUMBER('Price History'!U156)),NOT(ISNUMBER('Price History'!U155)),'Price History'!U155=0),"",'Price History'!U156/'Price History'!U155-1),"")</f>
        <v/>
      </c>
    </row>
    <row r="156" spans="1:21" ht="15" customHeight="1" x14ac:dyDescent="0.2">
      <c r="A156" s="52">
        <f>'Price History'!A157</f>
        <v>46227</v>
      </c>
      <c r="B156" s="69">
        <f>IFERROR(IF(OR(NOT(ISNUMBER('Price History'!B157)),NOT(ISNUMBER('Price History'!B156)),'Price History'!B156=0),"",'Price History'!B157/'Price History'!B156-1),"")</f>
        <v>-5.1169652265542598E-2</v>
      </c>
      <c r="C156" s="69">
        <f>IFERROR(IF(OR(NOT(ISNUMBER('Price History'!C157)),NOT(ISNUMBER('Price History'!C156)),'Price History'!C156=0),"",'Price History'!C157/'Price History'!C156-1),"")</f>
        <v>3.1907953264930899E-2</v>
      </c>
      <c r="D156" s="69">
        <f>IFERROR(IF(OR(NOT(ISNUMBER('Price History'!D157)),NOT(ISNUMBER('Price History'!D156)),'Price History'!D156=0),"",'Price History'!D157/'Price History'!D156-1),"")</f>
        <v>5.4418109614438048E-3</v>
      </c>
      <c r="E156" s="69">
        <f>IFERROR(IF(OR(NOT(ISNUMBER('Price History'!E157)),NOT(ISNUMBER('Price History'!E156)),'Price History'!E156=0),"",'Price History'!E157/'Price History'!E156-1),"")</f>
        <v>2.9905886794488135E-2</v>
      </c>
      <c r="F156" s="69">
        <f>IFERROR(IF(OR(NOT(ISNUMBER('Price History'!F157)),NOT(ISNUMBER('Price History'!F156)),'Price History'!F156=0),"",'Price History'!F157/'Price History'!F156-1),"")</f>
        <v>-9.7498522749655314E-2</v>
      </c>
      <c r="G156" s="69">
        <f>IFERROR(IF(OR(NOT(ISNUMBER('Price History'!G157)),NOT(ISNUMBER('Price History'!G156)),'Price History'!G156=0),"",'Price History'!G157/'Price History'!G156-1),"")</f>
        <v>-1.0481786133960003E-2</v>
      </c>
      <c r="H156" s="69">
        <f>IFERROR(IF(OR(NOT(ISNUMBER('Price History'!H157)),NOT(ISNUMBER('Price History'!H156)),'Price History'!H156=0),"",'Price History'!H157/'Price History'!H156-1),"")</f>
        <v>8.4810648448082837E-2</v>
      </c>
      <c r="I156" s="69">
        <f>IFERROR(IF(OR(NOT(ISNUMBER('Price History'!I157)),NOT(ISNUMBER('Price History'!I156)),'Price History'!I156=0),"",'Price History'!I157/'Price History'!I156-1),"")</f>
        <v>1.9870815048567581E-2</v>
      </c>
      <c r="J156" s="69">
        <f>IFERROR(IF(OR(NOT(ISNUMBER('Price History'!J157)),NOT(ISNUMBER('Price History'!J156)),'Price History'!J156=0),"",'Price History'!J157/'Price History'!J156-1),"")</f>
        <v>-1.4420188263568945E-2</v>
      </c>
      <c r="K156" s="69">
        <f>IFERROR(IF(OR(NOT(ISNUMBER('Price History'!K157)),NOT(ISNUMBER('Price History'!K156)),'Price History'!K156=0),"",'Price History'!K157/'Price History'!K156-1),"")</f>
        <v>-7.1460945762199635E-2</v>
      </c>
      <c r="L156" s="69">
        <f>IFERROR(IF(OR(NOT(ISNUMBER('Price History'!L157)),NOT(ISNUMBER('Price History'!L156)),'Price History'!L156=0),"",'Price History'!L157/'Price History'!L156-1),"")</f>
        <v>1.265155508697946E-2</v>
      </c>
      <c r="M156" s="69">
        <f>IFERROR(IF(OR(NOT(ISNUMBER('Price History'!M157)),NOT(ISNUMBER('Price History'!M156)),'Price History'!M156=0),"",'Price History'!M157/'Price History'!M156-1),"")</f>
        <v>2.7628125431689021E-3</v>
      </c>
      <c r="N156" s="69">
        <f>IFERROR(IF(OR(NOT(ISNUMBER('Price History'!N157)),NOT(ISNUMBER('Price History'!N156)),'Price History'!N156=0),"",'Price History'!N157/'Price History'!N156-1),"")</f>
        <v>-1.7069906311129368E-2</v>
      </c>
      <c r="O156" s="69">
        <f>IFERROR(IF(OR(NOT(ISNUMBER('Price History'!O157)),NOT(ISNUMBER('Price History'!O156)),'Price History'!O156=0),"",'Price History'!O157/'Price History'!O156-1),"")</f>
        <v>-5.5843637814112501E-4</v>
      </c>
      <c r="P156" s="69" t="str">
        <f>IFERROR(IF(OR(NOT(ISNUMBER('Price History'!P157)),NOT(ISNUMBER('Price History'!P156)),'Price History'!P156=0),"",'Price History'!P157/'Price History'!P156-1),"")</f>
        <v/>
      </c>
      <c r="Q156" s="69" t="str">
        <f>IFERROR(IF(OR(NOT(ISNUMBER('Price History'!Q157)),NOT(ISNUMBER('Price History'!Q156)),'Price History'!Q156=0),"",'Price History'!Q157/'Price History'!Q156-1),"")</f>
        <v/>
      </c>
      <c r="R156" s="69">
        <f>IFERROR(IF(OR(NOT(ISNUMBER('Price History'!R157)),NOT(ISNUMBER('Price History'!R156)),'Price History'!R156=0),"",'Price History'!R157/'Price History'!R156-1),"")</f>
        <v>-9.4001025465731969E-3</v>
      </c>
      <c r="S156" s="69">
        <f>IFERROR(IF(OR(NOT(ISNUMBER('Price History'!S157)),NOT(ISNUMBER('Price History'!S156)),'Price History'!S156=0),"",'Price History'!S157/'Price History'!S156-1),"")</f>
        <v>1.8208353603447192E-2</v>
      </c>
      <c r="T156" s="69">
        <f>IFERROR(IF(OR(NOT(ISNUMBER('Price History'!T157)),NOT(ISNUMBER('Price History'!T156)),'Price History'!T156=0),"",'Price History'!T157/'Price History'!T156-1),"")</f>
        <v>7.1129707112971285E-3</v>
      </c>
      <c r="U156" s="69" t="str">
        <f>IFERROR(IF(OR(NOT(ISNUMBER('Price History'!U157)),NOT(ISNUMBER('Price History'!U156)),'Price History'!U156=0),"",'Price History'!U157/'Price History'!U156-1),"")</f>
        <v/>
      </c>
    </row>
    <row r="157" spans="1:21" ht="15" customHeight="1" x14ac:dyDescent="0.2">
      <c r="A157" s="52">
        <f>'Price History'!A158</f>
        <v>46234</v>
      </c>
      <c r="B157" s="69">
        <f>IFERROR(IF(OR(NOT(ISNUMBER('Price History'!B158)),NOT(ISNUMBER('Price History'!B157)),'Price History'!B157=0),"",'Price History'!B158/'Price History'!B157-1),"")</f>
        <v>0.11238949846741586</v>
      </c>
      <c r="C157" s="69">
        <f>IFERROR(IF(OR(NOT(ISNUMBER('Price History'!C158)),NOT(ISNUMBER('Price History'!C157)),'Price History'!C157=0),"",'Price History'!C158/'Price History'!C157-1),"")</f>
        <v>3.6553824932467283E-2</v>
      </c>
      <c r="D157" s="69">
        <f>IFERROR(IF(OR(NOT(ISNUMBER('Price History'!D158)),NOT(ISNUMBER('Price History'!D157)),'Price History'!D157=0),"",'Price History'!D158/'Price History'!D157-1),"")</f>
        <v>-7.2898940862448636E-2</v>
      </c>
      <c r="E157" s="69">
        <f>IFERROR(IF(OR(NOT(ISNUMBER('Price History'!E158)),NOT(ISNUMBER('Price History'!E157)),'Price History'!E157=0),"",'Price History'!E158/'Price History'!E157-1),"")</f>
        <v>1.9271051529115901E-2</v>
      </c>
      <c r="F157" s="69">
        <f>IFERROR(IF(OR(NOT(ISNUMBER('Price History'!F158)),NOT(ISNUMBER('Price History'!F157)),'Price History'!F157=0),"",'Price History'!F158/'Price History'!F157-1),"")</f>
        <v>4.1357485814055073E-2</v>
      </c>
      <c r="G157" s="69">
        <f>IFERROR(IF(OR(NOT(ISNUMBER('Price History'!G158)),NOT(ISNUMBER('Price History'!G157)),'Price History'!G157=0),"",'Price History'!G158/'Price History'!G157-1),"")</f>
        <v>-0.13157894736842113</v>
      </c>
      <c r="H157" s="69">
        <f>IFERROR(IF(OR(NOT(ISNUMBER('Price History'!H158)),NOT(ISNUMBER('Price History'!H157)),'Price History'!H157=0),"",'Price History'!H158/'Price History'!H157-1),"")</f>
        <v>-0.1063249904989414</v>
      </c>
      <c r="I157" s="69">
        <f>IFERROR(IF(OR(NOT(ISNUMBER('Price History'!I158)),NOT(ISNUMBER('Price History'!I157)),'Price History'!I157=0),"",'Price History'!I158/'Price History'!I157-1),"")</f>
        <v>-2.9443047766389507E-2</v>
      </c>
      <c r="J157" s="69">
        <f>IFERROR(IF(OR(NOT(ISNUMBER('Price History'!J158)),NOT(ISNUMBER('Price History'!J157)),'Price History'!J157=0),"",'Price History'!J158/'Price History'!J157-1),"")</f>
        <v>-2.0456546772336104E-2</v>
      </c>
      <c r="K157" s="69">
        <f>IFERROR(IF(OR(NOT(ISNUMBER('Price History'!K158)),NOT(ISNUMBER('Price History'!K157)),'Price History'!K157=0),"",'Price History'!K158/'Price History'!K157-1),"")</f>
        <v>1.138952164009055E-3</v>
      </c>
      <c r="L157" s="69">
        <f>IFERROR(IF(OR(NOT(ISNUMBER('Price History'!L158)),NOT(ISNUMBER('Price History'!L157)),'Price History'!L157=0),"",'Price History'!L158/'Price History'!L157-1),"")</f>
        <v>2.0822488287348673E-3</v>
      </c>
      <c r="M157" s="69">
        <f>IFERROR(IF(OR(NOT(ISNUMBER('Price History'!M158)),NOT(ISNUMBER('Price History'!M157)),'Price History'!M157=0),"",'Price History'!M158/'Price History'!M157-1),"")</f>
        <v>-0.16803278688524592</v>
      </c>
      <c r="N157" s="69">
        <f>IFERROR(IF(OR(NOT(ISNUMBER('Price History'!N158)),NOT(ISNUMBER('Price History'!N157)),'Price History'!N157=0),"",'Price History'!N158/'Price History'!N157-1),"")</f>
        <v>-5.4466230936822679E-4</v>
      </c>
      <c r="O157" s="69">
        <f>IFERROR(IF(OR(NOT(ISNUMBER('Price History'!O158)),NOT(ISNUMBER('Price History'!O157)),'Price History'!O157=0),"",'Price History'!O158/'Price History'!O157-1),"")</f>
        <v>0</v>
      </c>
      <c r="P157" s="69" t="str">
        <f>IFERROR(IF(OR(NOT(ISNUMBER('Price History'!P158)),NOT(ISNUMBER('Price History'!P157)),'Price History'!P157=0),"",'Price History'!P158/'Price History'!P157-1),"")</f>
        <v/>
      </c>
      <c r="Q157" s="69" t="str">
        <f>IFERROR(IF(OR(NOT(ISNUMBER('Price History'!Q158)),NOT(ISNUMBER('Price History'!Q157)),'Price History'!Q157=0),"",'Price History'!Q158/'Price History'!Q157-1),"")</f>
        <v/>
      </c>
      <c r="R157" s="69">
        <f>IFERROR(IF(OR(NOT(ISNUMBER('Price History'!R158)),NOT(ISNUMBER('Price History'!R157)),'Price History'!R157=0),"",'Price History'!R158/'Price History'!R157-1),"")</f>
        <v>5.003450655624464E-3</v>
      </c>
      <c r="S157" s="69">
        <f>IFERROR(IF(OR(NOT(ISNUMBER('Price History'!S158)),NOT(ISNUMBER('Price History'!S157)),'Price History'!S157=0),"",'Price History'!S158/'Price History'!S157-1),"")</f>
        <v>-1.8292266739471597E-2</v>
      </c>
      <c r="T157" s="69">
        <f>IFERROR(IF(OR(NOT(ISNUMBER('Price History'!T158)),NOT(ISNUMBER('Price History'!T157)),'Price History'!T157=0),"",'Price History'!T158/'Price History'!T157-1),"")</f>
        <v>3.3236393851267199E-2</v>
      </c>
      <c r="U157" s="69" t="str">
        <f>IFERROR(IF(OR(NOT(ISNUMBER('Price History'!U158)),NOT(ISNUMBER('Price History'!U157)),'Price History'!U157=0),"",'Price History'!U158/'Price History'!U157-1),"")</f>
        <v/>
      </c>
    </row>
    <row r="158" spans="1:21" ht="15" customHeight="1" x14ac:dyDescent="0.2">
      <c r="A158" s="52">
        <f>'Price History'!A159</f>
        <v>0</v>
      </c>
      <c r="B158" s="69" t="str">
        <f>IFERROR(IF(OR(NOT(ISNUMBER('Price History'!B159)),NOT(ISNUMBER('Price History'!B158)),'Price History'!B158=0),"",'Price History'!B159/'Price History'!B158-1),"")</f>
        <v/>
      </c>
      <c r="C158" s="69" t="str">
        <f>IFERROR(IF(OR(NOT(ISNUMBER('Price History'!C159)),NOT(ISNUMBER('Price History'!C158)),'Price History'!C158=0),"",'Price History'!C159/'Price History'!C158-1),"")</f>
        <v/>
      </c>
      <c r="D158" s="69" t="str">
        <f>IFERROR(IF(OR(NOT(ISNUMBER('Price History'!D159)),NOT(ISNUMBER('Price History'!D158)),'Price History'!D158=0),"",'Price History'!D159/'Price History'!D158-1),"")</f>
        <v/>
      </c>
      <c r="E158" s="69" t="str">
        <f>IFERROR(IF(OR(NOT(ISNUMBER('Price History'!E159)),NOT(ISNUMBER('Price History'!E158)),'Price History'!E158=0),"",'Price History'!E159/'Price History'!E158-1),"")</f>
        <v/>
      </c>
      <c r="F158" s="69" t="str">
        <f>IFERROR(IF(OR(NOT(ISNUMBER('Price History'!F159)),NOT(ISNUMBER('Price History'!F158)),'Price History'!F158=0),"",'Price History'!F159/'Price History'!F158-1),"")</f>
        <v/>
      </c>
      <c r="G158" s="69" t="str">
        <f>IFERROR(IF(OR(NOT(ISNUMBER('Price History'!G159)),NOT(ISNUMBER('Price History'!G158)),'Price History'!G158=0),"",'Price History'!G159/'Price History'!G158-1),"")</f>
        <v/>
      </c>
      <c r="H158" s="69" t="str">
        <f>IFERROR(IF(OR(NOT(ISNUMBER('Price History'!H159)),NOT(ISNUMBER('Price History'!H158)),'Price History'!H158=0),"",'Price History'!H159/'Price History'!H158-1),"")</f>
        <v/>
      </c>
      <c r="I158" s="69" t="str">
        <f>IFERROR(IF(OR(NOT(ISNUMBER('Price History'!I159)),NOT(ISNUMBER('Price History'!I158)),'Price History'!I158=0),"",'Price History'!I159/'Price History'!I158-1),"")</f>
        <v/>
      </c>
      <c r="J158" s="69" t="str">
        <f>IFERROR(IF(OR(NOT(ISNUMBER('Price History'!J159)),NOT(ISNUMBER('Price History'!J158)),'Price History'!J158=0),"",'Price History'!J159/'Price History'!J158-1),"")</f>
        <v/>
      </c>
      <c r="K158" s="69" t="str">
        <f>IFERROR(IF(OR(NOT(ISNUMBER('Price History'!K159)),NOT(ISNUMBER('Price History'!K158)),'Price History'!K158=0),"",'Price History'!K159/'Price History'!K158-1),"")</f>
        <v/>
      </c>
      <c r="L158" s="69" t="str">
        <f>IFERROR(IF(OR(NOT(ISNUMBER('Price History'!L159)),NOT(ISNUMBER('Price History'!L158)),'Price History'!L158=0),"",'Price History'!L159/'Price History'!L158-1),"")</f>
        <v/>
      </c>
      <c r="M158" s="69" t="str">
        <f>IFERROR(IF(OR(NOT(ISNUMBER('Price History'!M159)),NOT(ISNUMBER('Price History'!M158)),'Price History'!M158=0),"",'Price History'!M159/'Price History'!M158-1),"")</f>
        <v/>
      </c>
      <c r="N158" s="69" t="str">
        <f>IFERROR(IF(OR(NOT(ISNUMBER('Price History'!N159)),NOT(ISNUMBER('Price History'!N158)),'Price History'!N158=0),"",'Price History'!N159/'Price History'!N158-1),"")</f>
        <v/>
      </c>
      <c r="O158" s="69" t="str">
        <f>IFERROR(IF(OR(NOT(ISNUMBER('Price History'!O159)),NOT(ISNUMBER('Price History'!O158)),'Price History'!O158=0),"",'Price History'!O159/'Price History'!O158-1),"")</f>
        <v/>
      </c>
      <c r="P158" s="69" t="str">
        <f>IFERROR(IF(OR(NOT(ISNUMBER('Price History'!P159)),NOT(ISNUMBER('Price History'!P158)),'Price History'!P158=0),"",'Price History'!P159/'Price History'!P158-1),"")</f>
        <v/>
      </c>
      <c r="Q158" s="69" t="str">
        <f>IFERROR(IF(OR(NOT(ISNUMBER('Price History'!Q159)),NOT(ISNUMBER('Price History'!Q158)),'Price History'!Q158=0),"",'Price History'!Q159/'Price History'!Q158-1),"")</f>
        <v/>
      </c>
      <c r="R158" s="69" t="str">
        <f>IFERROR(IF(OR(NOT(ISNUMBER('Price History'!R159)),NOT(ISNUMBER('Price History'!R158)),'Price History'!R158=0),"",'Price History'!R159/'Price History'!R158-1),"")</f>
        <v/>
      </c>
      <c r="S158" s="69" t="str">
        <f>IFERROR(IF(OR(NOT(ISNUMBER('Price History'!S159)),NOT(ISNUMBER('Price History'!S158)),'Price History'!S158=0),"",'Price History'!S159/'Price History'!S158-1),"")</f>
        <v/>
      </c>
      <c r="T158" s="69" t="str">
        <f>IFERROR(IF(OR(NOT(ISNUMBER('Price History'!T159)),NOT(ISNUMBER('Price History'!T158)),'Price History'!T158=0),"",'Price History'!T159/'Price History'!T158-1),"")</f>
        <v/>
      </c>
      <c r="U158" s="69" t="str">
        <f>IFERROR(IF(OR(NOT(ISNUMBER('Price History'!U159)),NOT(ISNUMBER('Price History'!U158)),'Price History'!U158=0),"",'Price History'!U159/'Price History'!U158-1),"")</f>
        <v/>
      </c>
    </row>
    <row r="159" spans="1:21" ht="15" customHeight="1" x14ac:dyDescent="0.2">
      <c r="A159" s="52">
        <f>'Price History'!A160</f>
        <v>0</v>
      </c>
      <c r="B159" s="69" t="str">
        <f>IFERROR(IF(OR(NOT(ISNUMBER('Price History'!B160)),NOT(ISNUMBER('Price History'!B159)),'Price History'!B159=0),"",'Price History'!B160/'Price History'!B159-1),"")</f>
        <v/>
      </c>
      <c r="C159" s="69" t="str">
        <f>IFERROR(IF(OR(NOT(ISNUMBER('Price History'!C160)),NOT(ISNUMBER('Price History'!C159)),'Price History'!C159=0),"",'Price History'!C160/'Price History'!C159-1),"")</f>
        <v/>
      </c>
      <c r="D159" s="69" t="str">
        <f>IFERROR(IF(OR(NOT(ISNUMBER('Price History'!D160)),NOT(ISNUMBER('Price History'!D159)),'Price History'!D159=0),"",'Price History'!D160/'Price History'!D159-1),"")</f>
        <v/>
      </c>
      <c r="E159" s="69" t="str">
        <f>IFERROR(IF(OR(NOT(ISNUMBER('Price History'!E160)),NOT(ISNUMBER('Price History'!E159)),'Price History'!E159=0),"",'Price History'!E160/'Price History'!E159-1),"")</f>
        <v/>
      </c>
      <c r="F159" s="69" t="str">
        <f>IFERROR(IF(OR(NOT(ISNUMBER('Price History'!F160)),NOT(ISNUMBER('Price History'!F159)),'Price History'!F159=0),"",'Price History'!F160/'Price History'!F159-1),"")</f>
        <v/>
      </c>
      <c r="G159" s="69" t="str">
        <f>IFERROR(IF(OR(NOT(ISNUMBER('Price History'!G160)),NOT(ISNUMBER('Price History'!G159)),'Price History'!G159=0),"",'Price History'!G160/'Price History'!G159-1),"")</f>
        <v/>
      </c>
      <c r="H159" s="69" t="str">
        <f>IFERROR(IF(OR(NOT(ISNUMBER('Price History'!H160)),NOT(ISNUMBER('Price History'!H159)),'Price History'!H159=0),"",'Price History'!H160/'Price History'!H159-1),"")</f>
        <v/>
      </c>
      <c r="I159" s="69" t="str">
        <f>IFERROR(IF(OR(NOT(ISNUMBER('Price History'!I160)),NOT(ISNUMBER('Price History'!I159)),'Price History'!I159=0),"",'Price History'!I160/'Price History'!I159-1),"")</f>
        <v/>
      </c>
      <c r="J159" s="69" t="str">
        <f>IFERROR(IF(OR(NOT(ISNUMBER('Price History'!J160)),NOT(ISNUMBER('Price History'!J159)),'Price History'!J159=0),"",'Price History'!J160/'Price History'!J159-1),"")</f>
        <v/>
      </c>
      <c r="K159" s="69" t="str">
        <f>IFERROR(IF(OR(NOT(ISNUMBER('Price History'!K160)),NOT(ISNUMBER('Price History'!K159)),'Price History'!K159=0),"",'Price History'!K160/'Price History'!K159-1),"")</f>
        <v/>
      </c>
      <c r="L159" s="69" t="str">
        <f>IFERROR(IF(OR(NOT(ISNUMBER('Price History'!L160)),NOT(ISNUMBER('Price History'!L159)),'Price History'!L159=0),"",'Price History'!L160/'Price History'!L159-1),"")</f>
        <v/>
      </c>
      <c r="M159" s="69" t="str">
        <f>IFERROR(IF(OR(NOT(ISNUMBER('Price History'!M160)),NOT(ISNUMBER('Price History'!M159)),'Price History'!M159=0),"",'Price History'!M160/'Price History'!M159-1),"")</f>
        <v/>
      </c>
      <c r="N159" s="69" t="str">
        <f>IFERROR(IF(OR(NOT(ISNUMBER('Price History'!N160)),NOT(ISNUMBER('Price History'!N159)),'Price History'!N159=0),"",'Price History'!N160/'Price History'!N159-1),"")</f>
        <v/>
      </c>
      <c r="O159" s="69" t="str">
        <f>IFERROR(IF(OR(NOT(ISNUMBER('Price History'!O160)),NOT(ISNUMBER('Price History'!O159)),'Price History'!O159=0),"",'Price History'!O160/'Price History'!O159-1),"")</f>
        <v/>
      </c>
      <c r="P159" s="69" t="str">
        <f>IFERROR(IF(OR(NOT(ISNUMBER('Price History'!P160)),NOT(ISNUMBER('Price History'!P159)),'Price History'!P159=0),"",'Price History'!P160/'Price History'!P159-1),"")</f>
        <v/>
      </c>
      <c r="Q159" s="69" t="str">
        <f>IFERROR(IF(OR(NOT(ISNUMBER('Price History'!Q160)),NOT(ISNUMBER('Price History'!Q159)),'Price History'!Q159=0),"",'Price History'!Q160/'Price History'!Q159-1),"")</f>
        <v/>
      </c>
      <c r="R159" s="69" t="str">
        <f>IFERROR(IF(OR(NOT(ISNUMBER('Price History'!R160)),NOT(ISNUMBER('Price History'!R159)),'Price History'!R159=0),"",'Price History'!R160/'Price History'!R159-1),"")</f>
        <v/>
      </c>
      <c r="S159" s="69" t="str">
        <f>IFERROR(IF(OR(NOT(ISNUMBER('Price History'!S160)),NOT(ISNUMBER('Price History'!S159)),'Price History'!S159=0),"",'Price History'!S160/'Price History'!S159-1),"")</f>
        <v/>
      </c>
      <c r="T159" s="69" t="str">
        <f>IFERROR(IF(OR(NOT(ISNUMBER('Price History'!T160)),NOT(ISNUMBER('Price History'!T159)),'Price History'!T159=0),"",'Price History'!T160/'Price History'!T159-1),"")</f>
        <v/>
      </c>
      <c r="U159" s="69" t="str">
        <f>IFERROR(IF(OR(NOT(ISNUMBER('Price History'!U160)),NOT(ISNUMBER('Price History'!U159)),'Price History'!U159=0),"",'Price History'!U160/'Price History'!U159-1),"")</f>
        <v/>
      </c>
    </row>
    <row r="160" spans="1:21" ht="15" customHeight="1" x14ac:dyDescent="0.2">
      <c r="A160" s="52">
        <f>'Price History'!A161</f>
        <v>0</v>
      </c>
      <c r="B160" s="69" t="str">
        <f>IFERROR(IF(OR(NOT(ISNUMBER('Price History'!B161)),NOT(ISNUMBER('Price History'!B160)),'Price History'!B160=0),"",'Price History'!B161/'Price History'!B160-1),"")</f>
        <v/>
      </c>
      <c r="C160" s="69" t="str">
        <f>IFERROR(IF(OR(NOT(ISNUMBER('Price History'!C161)),NOT(ISNUMBER('Price History'!C160)),'Price History'!C160=0),"",'Price History'!C161/'Price History'!C160-1),"")</f>
        <v/>
      </c>
      <c r="D160" s="69" t="str">
        <f>IFERROR(IF(OR(NOT(ISNUMBER('Price History'!D161)),NOT(ISNUMBER('Price History'!D160)),'Price History'!D160=0),"",'Price History'!D161/'Price History'!D160-1),"")</f>
        <v/>
      </c>
      <c r="E160" s="69" t="str">
        <f>IFERROR(IF(OR(NOT(ISNUMBER('Price History'!E161)),NOT(ISNUMBER('Price History'!E160)),'Price History'!E160=0),"",'Price History'!E161/'Price History'!E160-1),"")</f>
        <v/>
      </c>
      <c r="F160" s="69" t="str">
        <f>IFERROR(IF(OR(NOT(ISNUMBER('Price History'!F161)),NOT(ISNUMBER('Price History'!F160)),'Price History'!F160=0),"",'Price History'!F161/'Price History'!F160-1),"")</f>
        <v/>
      </c>
      <c r="G160" s="69" t="str">
        <f>IFERROR(IF(OR(NOT(ISNUMBER('Price History'!G161)),NOT(ISNUMBER('Price History'!G160)),'Price History'!G160=0),"",'Price History'!G161/'Price History'!G160-1),"")</f>
        <v/>
      </c>
      <c r="H160" s="69" t="str">
        <f>IFERROR(IF(OR(NOT(ISNUMBER('Price History'!H161)),NOT(ISNUMBER('Price History'!H160)),'Price History'!H160=0),"",'Price History'!H161/'Price History'!H160-1),"")</f>
        <v/>
      </c>
      <c r="I160" s="69" t="str">
        <f>IFERROR(IF(OR(NOT(ISNUMBER('Price History'!I161)),NOT(ISNUMBER('Price History'!I160)),'Price History'!I160=0),"",'Price History'!I161/'Price History'!I160-1),"")</f>
        <v/>
      </c>
      <c r="J160" s="69" t="str">
        <f>IFERROR(IF(OR(NOT(ISNUMBER('Price History'!J161)),NOT(ISNUMBER('Price History'!J160)),'Price History'!J160=0),"",'Price History'!J161/'Price History'!J160-1),"")</f>
        <v/>
      </c>
      <c r="K160" s="69" t="str">
        <f>IFERROR(IF(OR(NOT(ISNUMBER('Price History'!K161)),NOT(ISNUMBER('Price History'!K160)),'Price History'!K160=0),"",'Price History'!K161/'Price History'!K160-1),"")</f>
        <v/>
      </c>
      <c r="L160" s="69" t="str">
        <f>IFERROR(IF(OR(NOT(ISNUMBER('Price History'!L161)),NOT(ISNUMBER('Price History'!L160)),'Price History'!L160=0),"",'Price History'!L161/'Price History'!L160-1),"")</f>
        <v/>
      </c>
      <c r="M160" s="69" t="str">
        <f>IFERROR(IF(OR(NOT(ISNUMBER('Price History'!M161)),NOT(ISNUMBER('Price History'!M160)),'Price History'!M160=0),"",'Price History'!M161/'Price History'!M160-1),"")</f>
        <v/>
      </c>
      <c r="N160" s="69" t="str">
        <f>IFERROR(IF(OR(NOT(ISNUMBER('Price History'!N161)),NOT(ISNUMBER('Price History'!N160)),'Price History'!N160=0),"",'Price History'!N161/'Price History'!N160-1),"")</f>
        <v/>
      </c>
      <c r="O160" s="69" t="str">
        <f>IFERROR(IF(OR(NOT(ISNUMBER('Price History'!O161)),NOT(ISNUMBER('Price History'!O160)),'Price History'!O160=0),"",'Price History'!O161/'Price History'!O160-1),"")</f>
        <v/>
      </c>
      <c r="P160" s="69" t="str">
        <f>IFERROR(IF(OR(NOT(ISNUMBER('Price History'!P161)),NOT(ISNUMBER('Price History'!P160)),'Price History'!P160=0),"",'Price History'!P161/'Price History'!P160-1),"")</f>
        <v/>
      </c>
      <c r="Q160" s="69" t="str">
        <f>IFERROR(IF(OR(NOT(ISNUMBER('Price History'!Q161)),NOT(ISNUMBER('Price History'!Q160)),'Price History'!Q160=0),"",'Price History'!Q161/'Price History'!Q160-1),"")</f>
        <v/>
      </c>
      <c r="R160" s="69" t="str">
        <f>IFERROR(IF(OR(NOT(ISNUMBER('Price History'!R161)),NOT(ISNUMBER('Price History'!R160)),'Price History'!R160=0),"",'Price History'!R161/'Price History'!R160-1),"")</f>
        <v/>
      </c>
      <c r="S160" s="69" t="str">
        <f>IFERROR(IF(OR(NOT(ISNUMBER('Price History'!S161)),NOT(ISNUMBER('Price History'!S160)),'Price History'!S160=0),"",'Price History'!S161/'Price History'!S160-1),"")</f>
        <v/>
      </c>
      <c r="T160" s="69" t="str">
        <f>IFERROR(IF(OR(NOT(ISNUMBER('Price History'!T161)),NOT(ISNUMBER('Price History'!T160)),'Price History'!T160=0),"",'Price History'!T161/'Price History'!T160-1),"")</f>
        <v/>
      </c>
      <c r="U160" s="69" t="str">
        <f>IFERROR(IF(OR(NOT(ISNUMBER('Price History'!U161)),NOT(ISNUMBER('Price History'!U160)),'Price History'!U160=0),"",'Price History'!U161/'Price History'!U160-1),"")</f>
        <v/>
      </c>
    </row>
    <row r="161" spans="1:21" ht="15" customHeight="1" x14ac:dyDescent="0.2">
      <c r="A161" s="52">
        <f>'Price History'!A162</f>
        <v>0</v>
      </c>
      <c r="B161" s="69" t="str">
        <f>IFERROR(IF(OR(NOT(ISNUMBER('Price History'!B162)),NOT(ISNUMBER('Price History'!B161)),'Price History'!B161=0),"",'Price History'!B162/'Price History'!B161-1),"")</f>
        <v/>
      </c>
      <c r="C161" s="69" t="str">
        <f>IFERROR(IF(OR(NOT(ISNUMBER('Price History'!C162)),NOT(ISNUMBER('Price History'!C161)),'Price History'!C161=0),"",'Price History'!C162/'Price History'!C161-1),"")</f>
        <v/>
      </c>
      <c r="D161" s="69" t="str">
        <f>IFERROR(IF(OR(NOT(ISNUMBER('Price History'!D162)),NOT(ISNUMBER('Price History'!D161)),'Price History'!D161=0),"",'Price History'!D162/'Price History'!D161-1),"")</f>
        <v/>
      </c>
      <c r="E161" s="69" t="str">
        <f>IFERROR(IF(OR(NOT(ISNUMBER('Price History'!E162)),NOT(ISNUMBER('Price History'!E161)),'Price History'!E161=0),"",'Price History'!E162/'Price History'!E161-1),"")</f>
        <v/>
      </c>
      <c r="F161" s="69" t="str">
        <f>IFERROR(IF(OR(NOT(ISNUMBER('Price History'!F162)),NOT(ISNUMBER('Price History'!F161)),'Price History'!F161=0),"",'Price History'!F162/'Price History'!F161-1),"")</f>
        <v/>
      </c>
      <c r="G161" s="69" t="str">
        <f>IFERROR(IF(OR(NOT(ISNUMBER('Price History'!G162)),NOT(ISNUMBER('Price History'!G161)),'Price History'!G161=0),"",'Price History'!G162/'Price History'!G161-1),"")</f>
        <v/>
      </c>
      <c r="H161" s="69" t="str">
        <f>IFERROR(IF(OR(NOT(ISNUMBER('Price History'!H162)),NOT(ISNUMBER('Price History'!H161)),'Price History'!H161=0),"",'Price History'!H162/'Price History'!H161-1),"")</f>
        <v/>
      </c>
      <c r="I161" s="69" t="str">
        <f>IFERROR(IF(OR(NOT(ISNUMBER('Price History'!I162)),NOT(ISNUMBER('Price History'!I161)),'Price History'!I161=0),"",'Price History'!I162/'Price History'!I161-1),"")</f>
        <v/>
      </c>
      <c r="J161" s="69" t="str">
        <f>IFERROR(IF(OR(NOT(ISNUMBER('Price History'!J162)),NOT(ISNUMBER('Price History'!J161)),'Price History'!J161=0),"",'Price History'!J162/'Price History'!J161-1),"")</f>
        <v/>
      </c>
      <c r="K161" s="69" t="str">
        <f>IFERROR(IF(OR(NOT(ISNUMBER('Price History'!K162)),NOT(ISNUMBER('Price History'!K161)),'Price History'!K161=0),"",'Price History'!K162/'Price History'!K161-1),"")</f>
        <v/>
      </c>
      <c r="L161" s="69" t="str">
        <f>IFERROR(IF(OR(NOT(ISNUMBER('Price History'!L162)),NOT(ISNUMBER('Price History'!L161)),'Price History'!L161=0),"",'Price History'!L162/'Price History'!L161-1),"")</f>
        <v/>
      </c>
      <c r="M161" s="69" t="str">
        <f>IFERROR(IF(OR(NOT(ISNUMBER('Price History'!M162)),NOT(ISNUMBER('Price History'!M161)),'Price History'!M161=0),"",'Price History'!M162/'Price History'!M161-1),"")</f>
        <v/>
      </c>
      <c r="N161" s="69" t="str">
        <f>IFERROR(IF(OR(NOT(ISNUMBER('Price History'!N162)),NOT(ISNUMBER('Price History'!N161)),'Price History'!N161=0),"",'Price History'!N162/'Price History'!N161-1),"")</f>
        <v/>
      </c>
      <c r="O161" s="69" t="str">
        <f>IFERROR(IF(OR(NOT(ISNUMBER('Price History'!O162)),NOT(ISNUMBER('Price History'!O161)),'Price History'!O161=0),"",'Price History'!O162/'Price History'!O161-1),"")</f>
        <v/>
      </c>
      <c r="P161" s="69" t="str">
        <f>IFERROR(IF(OR(NOT(ISNUMBER('Price History'!P162)),NOT(ISNUMBER('Price History'!P161)),'Price History'!P161=0),"",'Price History'!P162/'Price History'!P161-1),"")</f>
        <v/>
      </c>
      <c r="Q161" s="69" t="str">
        <f>IFERROR(IF(OR(NOT(ISNUMBER('Price History'!Q162)),NOT(ISNUMBER('Price History'!Q161)),'Price History'!Q161=0),"",'Price History'!Q162/'Price History'!Q161-1),"")</f>
        <v/>
      </c>
      <c r="R161" s="69" t="str">
        <f>IFERROR(IF(OR(NOT(ISNUMBER('Price History'!R162)),NOT(ISNUMBER('Price History'!R161)),'Price History'!R161=0),"",'Price History'!R162/'Price History'!R161-1),"")</f>
        <v/>
      </c>
      <c r="S161" s="69" t="str">
        <f>IFERROR(IF(OR(NOT(ISNUMBER('Price History'!S162)),NOT(ISNUMBER('Price History'!S161)),'Price History'!S161=0),"",'Price History'!S162/'Price History'!S161-1),"")</f>
        <v/>
      </c>
      <c r="T161" s="69" t="str">
        <f>IFERROR(IF(OR(NOT(ISNUMBER('Price History'!T162)),NOT(ISNUMBER('Price History'!T161)),'Price History'!T161=0),"",'Price History'!T162/'Price History'!T161-1),"")</f>
        <v/>
      </c>
      <c r="U161" s="69" t="str">
        <f>IFERROR(IF(OR(NOT(ISNUMBER('Price History'!U162)),NOT(ISNUMBER('Price History'!U161)),'Price History'!U161=0),"",'Price History'!U162/'Price History'!U161-1),"")</f>
        <v/>
      </c>
    </row>
  </sheetData>
  <mergeCells count="1">
    <mergeCell ref="A1:U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25"/>
  <sheetViews>
    <sheetView showGridLines="0" zoomScaleNormal="100" workbookViewId="0">
      <pane xSplit="1" ySplit="2" topLeftCell="B3" activePane="bottomRight" state="frozen"/>
      <selection pane="topRight" activeCell="B1" sqref="B1"/>
      <selection pane="bottomLeft" activeCell="A3" sqref="A3"/>
      <selection pane="bottomRight"/>
    </sheetView>
  </sheetViews>
  <sheetFormatPr baseColWidth="10" defaultColWidth="8.6640625" defaultRowHeight="15" x14ac:dyDescent="0.2"/>
  <cols>
    <col min="1" max="1" width="10" customWidth="1"/>
    <col min="2" max="21" width="8" customWidth="1"/>
    <col min="22" max="22" width="16" customWidth="1"/>
  </cols>
  <sheetData>
    <row r="1" spans="1:22" ht="15" customHeight="1" x14ac:dyDescent="0.2">
      <c r="A1" s="6" t="s">
        <v>277</v>
      </c>
      <c r="B1" s="6"/>
      <c r="C1" s="6"/>
      <c r="D1" s="6"/>
      <c r="E1" s="6"/>
      <c r="F1" s="6"/>
      <c r="G1" s="6"/>
      <c r="H1" s="6"/>
      <c r="I1" s="6"/>
      <c r="J1" s="6"/>
      <c r="K1" s="6"/>
      <c r="L1" s="6"/>
      <c r="M1" s="6"/>
      <c r="N1" s="6"/>
      <c r="O1" s="6"/>
      <c r="P1" s="6"/>
      <c r="Q1" s="6"/>
      <c r="R1" s="6"/>
      <c r="S1" s="6"/>
      <c r="T1" s="6"/>
      <c r="U1" s="6"/>
      <c r="V1" s="6"/>
    </row>
    <row r="2" spans="1:22" ht="15" customHeight="1" x14ac:dyDescent="0.2">
      <c r="A2" s="22" t="s">
        <v>57</v>
      </c>
      <c r="B2" s="22" t="str">
        <f>'Returns (Calc)'!B2</f>
        <v>ADBE</v>
      </c>
      <c r="C2" s="22" t="str">
        <f>'Returns (Calc)'!C2</f>
        <v>ANET</v>
      </c>
      <c r="D2" s="22" t="str">
        <f>'Returns (Calc)'!D2</f>
        <v>ASML</v>
      </c>
      <c r="E2" s="22" t="str">
        <f>'Returns (Calc)'!E2</f>
        <v>AVGO</v>
      </c>
      <c r="F2" s="22" t="str">
        <f>'Returns (Calc)'!F2</f>
        <v>CRWD</v>
      </c>
      <c r="G2" s="22" t="str">
        <f>'Returns (Calc)'!G2</f>
        <v>KLAC</v>
      </c>
      <c r="H2" s="22" t="str">
        <f>'Returns (Calc)'!H2</f>
        <v>MU</v>
      </c>
      <c r="I2" s="22" t="str">
        <f>'Returns (Calc)'!I2</f>
        <v>NVDA</v>
      </c>
      <c r="J2" s="22" t="str">
        <f>'Returns (Calc)'!J2</f>
        <v>PLD</v>
      </c>
      <c r="K2" s="22" t="str">
        <f>'Returns (Calc)'!K2</f>
        <v>PLTR</v>
      </c>
      <c r="L2" s="22" t="str">
        <f>'Returns (Calc)'!L2</f>
        <v>TSM</v>
      </c>
      <c r="M2" s="22" t="str">
        <f>'Returns (Calc)'!M2</f>
        <v>VRT</v>
      </c>
      <c r="N2" s="22" t="str">
        <f>'Returns (Calc)'!N2</f>
        <v>VRTX</v>
      </c>
      <c r="O2" s="22" t="str">
        <f>'Returns (Calc)'!O2</f>
        <v>AVUV</v>
      </c>
      <c r="P2" s="22">
        <f>'Returns (Calc)'!P2</f>
        <v>0</v>
      </c>
      <c r="Q2" s="22" t="str">
        <f>'Returns (Calc)'!Q2</f>
        <v>HELO</v>
      </c>
      <c r="R2" s="22" t="str">
        <f>'Returns (Calc)'!R2</f>
        <v>JEPQ</v>
      </c>
      <c r="S2" s="22" t="str">
        <f>'Returns (Calc)'!S2</f>
        <v>SPMO</v>
      </c>
      <c r="T2" s="22" t="str">
        <f>'Returns (Calc)'!T2</f>
        <v>VFLO</v>
      </c>
      <c r="U2" s="22">
        <f>'Returns (Calc)'!U2</f>
        <v>0</v>
      </c>
      <c r="V2" s="22" t="s">
        <v>278</v>
      </c>
    </row>
    <row r="3" spans="1:22" ht="15" customHeight="1" x14ac:dyDescent="0.2">
      <c r="A3" s="70" t="str">
        <f>'Returns (Calc)'!B2</f>
        <v>ADBE</v>
      </c>
      <c r="B3" s="56">
        <v>1</v>
      </c>
      <c r="C3" s="56">
        <f>IFERROR(ROUND(CORREL('Returns (Calc)'!$B$3:$B$161,'Returns (Calc)'!$C$3:$C$161),2),"")</f>
        <v>0.22</v>
      </c>
      <c r="D3" s="56">
        <f>IFERROR(ROUND(CORREL('Returns (Calc)'!$B$3:$B$161,'Returns (Calc)'!$D$3:$D$161),2),"")</f>
        <v>0.03</v>
      </c>
      <c r="E3" s="56">
        <f>IFERROR(ROUND(CORREL('Returns (Calc)'!$B$3:$B$161,'Returns (Calc)'!$E$3:$E$161),2),"")</f>
        <v>0.16</v>
      </c>
      <c r="F3" s="56">
        <f>IFERROR(ROUND(CORREL('Returns (Calc)'!$B$3:$B$161,'Returns (Calc)'!$F$3:$F$161),2),"")</f>
        <v>0.42</v>
      </c>
      <c r="G3" s="56">
        <f>IFERROR(ROUND(CORREL('Returns (Calc)'!$B$3:$B$161,'Returns (Calc)'!$G$3:$G$161),2),"")</f>
        <v>-0.03</v>
      </c>
      <c r="H3" s="56">
        <f>IFERROR(ROUND(CORREL('Returns (Calc)'!$B$3:$B$161,'Returns (Calc)'!$H$3:$H$161),2),"")</f>
        <v>7.0000000000000007E-2</v>
      </c>
      <c r="I3" s="56">
        <f>IFERROR(ROUND(CORREL('Returns (Calc)'!$B$3:$B$161,'Returns (Calc)'!$I$3:$I$161),2),"")</f>
        <v>0.23</v>
      </c>
      <c r="J3" s="56">
        <f>IFERROR(ROUND(CORREL('Returns (Calc)'!$B$3:$B$161,'Returns (Calc)'!$J$3:$J$161),2),"")</f>
        <v>0.19</v>
      </c>
      <c r="K3" s="56">
        <f>IFERROR(ROUND(CORREL('Returns (Calc)'!$B$3:$B$161,'Returns (Calc)'!$K$3:$K$161),2),"")</f>
        <v>0.36</v>
      </c>
      <c r="L3" s="56">
        <f>IFERROR(ROUND(CORREL('Returns (Calc)'!$B$3:$B$161,'Returns (Calc)'!$L$3:$L$161),2),"")</f>
        <v>0.17</v>
      </c>
      <c r="M3" s="56">
        <f>IFERROR(ROUND(CORREL('Returns (Calc)'!$B$3:$B$161,'Returns (Calc)'!$M$3:$M$161),2),"")</f>
        <v>0.08</v>
      </c>
      <c r="N3" s="56">
        <f>IFERROR(ROUND(CORREL('Returns (Calc)'!$B$3:$B$161,'Returns (Calc)'!$N$3:$N$161),2),"")</f>
        <v>0.13</v>
      </c>
      <c r="O3" s="56">
        <f>IFERROR(ROUND(CORREL('Returns (Calc)'!$B$3:$B$161,'Returns (Calc)'!$O$3:$O$161),2),"")</f>
        <v>0.17</v>
      </c>
      <c r="P3" s="56" t="str">
        <f>IFERROR(ROUND(CORREL('Returns (Calc)'!$B$3:$B$161,'Returns (Calc)'!$P$3:$P$161),2),"")</f>
        <v/>
      </c>
      <c r="Q3" s="56">
        <f>IFERROR(ROUND(CORREL('Returns (Calc)'!$B$3:$B$161,'Returns (Calc)'!$Q$3:$Q$161),2),"")</f>
        <v>-0.1</v>
      </c>
      <c r="R3" s="56">
        <f>IFERROR(ROUND(CORREL('Returns (Calc)'!$B$3:$B$161,'Returns (Calc)'!$R$3:$R$161),2),"")</f>
        <v>0.32</v>
      </c>
      <c r="S3" s="56">
        <f>IFERROR(ROUND(CORREL('Returns (Calc)'!$B$3:$B$161,'Returns (Calc)'!$S$3:$S$161),2),"")</f>
        <v>0.25</v>
      </c>
      <c r="T3" s="56">
        <f>IFERROR(ROUND(CORREL('Returns (Calc)'!$B$3:$B$161,'Returns (Calc)'!$T$3:$T$161),2),"")</f>
        <v>0.41</v>
      </c>
      <c r="U3" s="56" t="str">
        <f>IFERROR(ROUND(CORREL('Returns (Calc)'!$B$3:$B$161,'Returns (Calc)'!$U$3:$U$161),2),"")</f>
        <v/>
      </c>
      <c r="V3" s="44">
        <f t="shared" ref="V3:V22" si="0">COUNTIF(B3:U3,"&gt;0.7")-1</f>
        <v>0</v>
      </c>
    </row>
    <row r="4" spans="1:22" ht="15" customHeight="1" x14ac:dyDescent="0.2">
      <c r="A4" s="70" t="str">
        <f>'Returns (Calc)'!C2</f>
        <v>ANET</v>
      </c>
      <c r="B4" s="56">
        <f>IFERROR(ROUND(CORREL('Returns (Calc)'!$C$3:$C$161,'Returns (Calc)'!$B$3:$B$161),2),"")</f>
        <v>0.22</v>
      </c>
      <c r="C4" s="56">
        <v>1</v>
      </c>
      <c r="D4" s="56">
        <f>IFERROR(ROUND(CORREL('Returns (Calc)'!$C$3:$C$161,'Returns (Calc)'!$D$3:$D$161),2),"")</f>
        <v>0.39</v>
      </c>
      <c r="E4" s="56">
        <f>IFERROR(ROUND(CORREL('Returns (Calc)'!$C$3:$C$161,'Returns (Calc)'!$E$3:$E$161),2),"")</f>
        <v>0.59</v>
      </c>
      <c r="F4" s="56">
        <f>IFERROR(ROUND(CORREL('Returns (Calc)'!$C$3:$C$161,'Returns (Calc)'!$F$3:$F$161),2),"")</f>
        <v>0.38</v>
      </c>
      <c r="G4" s="56">
        <f>IFERROR(ROUND(CORREL('Returns (Calc)'!$C$3:$C$161,'Returns (Calc)'!$G$3:$G$161),2),"")</f>
        <v>0.44</v>
      </c>
      <c r="H4" s="56">
        <f>IFERROR(ROUND(CORREL('Returns (Calc)'!$C$3:$C$161,'Returns (Calc)'!$H$3:$H$161),2),"")</f>
        <v>0.35</v>
      </c>
      <c r="I4" s="56">
        <f>IFERROR(ROUND(CORREL('Returns (Calc)'!$C$3:$C$161,'Returns (Calc)'!$I$3:$I$161),2),"")</f>
        <v>0.53</v>
      </c>
      <c r="J4" s="56">
        <f>IFERROR(ROUND(CORREL('Returns (Calc)'!$C$3:$C$161,'Returns (Calc)'!$J$3:$J$161),2),"")</f>
        <v>0.19</v>
      </c>
      <c r="K4" s="56">
        <f>IFERROR(ROUND(CORREL('Returns (Calc)'!$C$3:$C$161,'Returns (Calc)'!$K$3:$K$161),2),"")</f>
        <v>0.34</v>
      </c>
      <c r="L4" s="56">
        <f>IFERROR(ROUND(CORREL('Returns (Calc)'!$C$3:$C$161,'Returns (Calc)'!$L$3:$L$161),2),"")</f>
        <v>0.55000000000000004</v>
      </c>
      <c r="M4" s="56">
        <f>IFERROR(ROUND(CORREL('Returns (Calc)'!$C$3:$C$161,'Returns (Calc)'!$M$3:$M$161),2),"")</f>
        <v>0.59</v>
      </c>
      <c r="N4" s="56">
        <f>IFERROR(ROUND(CORREL('Returns (Calc)'!$C$3:$C$161,'Returns (Calc)'!$N$3:$N$161),2),"")</f>
        <v>0.05</v>
      </c>
      <c r="O4" s="56">
        <f>IFERROR(ROUND(CORREL('Returns (Calc)'!$C$3:$C$161,'Returns (Calc)'!$O$3:$O$161),2),"")</f>
        <v>0.35</v>
      </c>
      <c r="P4" s="56" t="str">
        <f>IFERROR(ROUND(CORREL('Returns (Calc)'!$C$3:$C$161,'Returns (Calc)'!$P$3:$P$161),2),"")</f>
        <v/>
      </c>
      <c r="Q4" s="56">
        <f>IFERROR(ROUND(CORREL('Returns (Calc)'!$C$3:$C$161,'Returns (Calc)'!$Q$3:$Q$161),2),"")</f>
        <v>-0.01</v>
      </c>
      <c r="R4" s="56">
        <f>IFERROR(ROUND(CORREL('Returns (Calc)'!$C$3:$C$161,'Returns (Calc)'!$R$3:$R$161),2),"")</f>
        <v>0.64</v>
      </c>
      <c r="S4" s="56">
        <f>IFERROR(ROUND(CORREL('Returns (Calc)'!$C$3:$C$161,'Returns (Calc)'!$S$3:$S$161),2),"")</f>
        <v>0.64</v>
      </c>
      <c r="T4" s="56">
        <f>IFERROR(ROUND(CORREL('Returns (Calc)'!$C$3:$C$161,'Returns (Calc)'!$T$3:$T$161),2),"")</f>
        <v>0.35</v>
      </c>
      <c r="U4" s="56" t="str">
        <f>IFERROR(ROUND(CORREL('Returns (Calc)'!$C$3:$C$161,'Returns (Calc)'!$U$3:$U$161),2),"")</f>
        <v/>
      </c>
      <c r="V4" s="44">
        <f t="shared" si="0"/>
        <v>0</v>
      </c>
    </row>
    <row r="5" spans="1:22" ht="15" customHeight="1" x14ac:dyDescent="0.2">
      <c r="A5" s="70" t="str">
        <f>'Returns (Calc)'!D2</f>
        <v>ASML</v>
      </c>
      <c r="B5" s="56">
        <f>IFERROR(ROUND(CORREL('Returns (Calc)'!$D$3:$D$161,'Returns (Calc)'!$B$3:$B$161),2),"")</f>
        <v>0.03</v>
      </c>
      <c r="C5" s="56">
        <f>IFERROR(ROUND(CORREL('Returns (Calc)'!$D$3:$D$161,'Returns (Calc)'!$C$3:$C$161),2),"")</f>
        <v>0.39</v>
      </c>
      <c r="D5" s="56">
        <v>1</v>
      </c>
      <c r="E5" s="56">
        <f>IFERROR(ROUND(CORREL('Returns (Calc)'!$D$3:$D$161,'Returns (Calc)'!$E$3:$E$161),2),"")</f>
        <v>0.5</v>
      </c>
      <c r="F5" s="56">
        <f>IFERROR(ROUND(CORREL('Returns (Calc)'!$D$3:$D$161,'Returns (Calc)'!$F$3:$F$161),2),"")</f>
        <v>0.33</v>
      </c>
      <c r="G5" s="56">
        <f>IFERROR(ROUND(CORREL('Returns (Calc)'!$D$3:$D$161,'Returns (Calc)'!$G$3:$G$161),2),"")</f>
        <v>0.77</v>
      </c>
      <c r="H5" s="56">
        <f>IFERROR(ROUND(CORREL('Returns (Calc)'!$D$3:$D$161,'Returns (Calc)'!$H$3:$H$161),2),"")</f>
        <v>0.6</v>
      </c>
      <c r="I5" s="56">
        <f>IFERROR(ROUND(CORREL('Returns (Calc)'!$D$3:$D$161,'Returns (Calc)'!$I$3:$I$161),2),"")</f>
        <v>0.48</v>
      </c>
      <c r="J5" s="56">
        <f>IFERROR(ROUND(CORREL('Returns (Calc)'!$D$3:$D$161,'Returns (Calc)'!$J$3:$J$161),2),"")</f>
        <v>0.28999999999999998</v>
      </c>
      <c r="K5" s="56">
        <f>IFERROR(ROUND(CORREL('Returns (Calc)'!$D$3:$D$161,'Returns (Calc)'!$K$3:$K$161),2),"")</f>
        <v>0.2</v>
      </c>
      <c r="L5" s="56">
        <f>IFERROR(ROUND(CORREL('Returns (Calc)'!$D$3:$D$161,'Returns (Calc)'!$L$3:$L$161),2),"")</f>
        <v>0.63</v>
      </c>
      <c r="M5" s="56">
        <f>IFERROR(ROUND(CORREL('Returns (Calc)'!$D$3:$D$161,'Returns (Calc)'!$M$3:$M$161),2),"")</f>
        <v>0.41</v>
      </c>
      <c r="N5" s="56">
        <f>IFERROR(ROUND(CORREL('Returns (Calc)'!$D$3:$D$161,'Returns (Calc)'!$N$3:$N$161),2),"")</f>
        <v>0.12</v>
      </c>
      <c r="O5" s="56">
        <f>IFERROR(ROUND(CORREL('Returns (Calc)'!$D$3:$D$161,'Returns (Calc)'!$O$3:$O$161),2),"")</f>
        <v>0.38</v>
      </c>
      <c r="P5" s="56" t="str">
        <f>IFERROR(ROUND(CORREL('Returns (Calc)'!$D$3:$D$161,'Returns (Calc)'!$P$3:$P$161),2),"")</f>
        <v/>
      </c>
      <c r="Q5" s="56">
        <f>IFERROR(ROUND(CORREL('Returns (Calc)'!$D$3:$D$161,'Returns (Calc)'!$Q$3:$Q$161),2),"")</f>
        <v>-0.06</v>
      </c>
      <c r="R5" s="56">
        <f>IFERROR(ROUND(CORREL('Returns (Calc)'!$D$3:$D$161,'Returns (Calc)'!$R$3:$R$161),2),"")</f>
        <v>0.6</v>
      </c>
      <c r="S5" s="56">
        <f>IFERROR(ROUND(CORREL('Returns (Calc)'!$D$3:$D$161,'Returns (Calc)'!$S$3:$S$161),2),"")</f>
        <v>0.6</v>
      </c>
      <c r="T5" s="56">
        <f>IFERROR(ROUND(CORREL('Returns (Calc)'!$D$3:$D$161,'Returns (Calc)'!$T$3:$T$161),2),"")</f>
        <v>0.31</v>
      </c>
      <c r="U5" s="56" t="str">
        <f>IFERROR(ROUND(CORREL('Returns (Calc)'!$D$3:$D$161,'Returns (Calc)'!$U$3:$U$161),2),"")</f>
        <v/>
      </c>
      <c r="V5" s="44">
        <f t="shared" si="0"/>
        <v>1</v>
      </c>
    </row>
    <row r="6" spans="1:22" ht="15" customHeight="1" x14ac:dyDescent="0.2">
      <c r="A6" s="70" t="str">
        <f>'Returns (Calc)'!E2</f>
        <v>AVGO</v>
      </c>
      <c r="B6" s="56">
        <f>IFERROR(ROUND(CORREL('Returns (Calc)'!$E$3:$E$161,'Returns (Calc)'!$B$3:$B$161),2),"")</f>
        <v>0.16</v>
      </c>
      <c r="C6" s="56">
        <f>IFERROR(ROUND(CORREL('Returns (Calc)'!$E$3:$E$161,'Returns (Calc)'!$C$3:$C$161),2),"")</f>
        <v>0.59</v>
      </c>
      <c r="D6" s="56">
        <f>IFERROR(ROUND(CORREL('Returns (Calc)'!$E$3:$E$161,'Returns (Calc)'!$D$3:$D$161),2),"")</f>
        <v>0.5</v>
      </c>
      <c r="E6" s="56">
        <v>1</v>
      </c>
      <c r="F6" s="56">
        <f>IFERROR(ROUND(CORREL('Returns (Calc)'!$E$3:$E$161,'Returns (Calc)'!$F$3:$F$161),2),"")</f>
        <v>0.4</v>
      </c>
      <c r="G6" s="56">
        <f>IFERROR(ROUND(CORREL('Returns (Calc)'!$E$3:$E$161,'Returns (Calc)'!$G$3:$G$161),2),"")</f>
        <v>0.54</v>
      </c>
      <c r="H6" s="56">
        <f>IFERROR(ROUND(CORREL('Returns (Calc)'!$E$3:$E$161,'Returns (Calc)'!$H$3:$H$161),2),"")</f>
        <v>0.5</v>
      </c>
      <c r="I6" s="56">
        <f>IFERROR(ROUND(CORREL('Returns (Calc)'!$E$3:$E$161,'Returns (Calc)'!$I$3:$I$161),2),"")</f>
        <v>0.62</v>
      </c>
      <c r="J6" s="56">
        <f>IFERROR(ROUND(CORREL('Returns (Calc)'!$E$3:$E$161,'Returns (Calc)'!$J$3:$J$161),2),"")</f>
        <v>0.23</v>
      </c>
      <c r="K6" s="56">
        <f>IFERROR(ROUND(CORREL('Returns (Calc)'!$E$3:$E$161,'Returns (Calc)'!$K$3:$K$161),2),"")</f>
        <v>0.37</v>
      </c>
      <c r="L6" s="56">
        <f>IFERROR(ROUND(CORREL('Returns (Calc)'!$E$3:$E$161,'Returns (Calc)'!$L$3:$L$161),2),"")</f>
        <v>0.63</v>
      </c>
      <c r="M6" s="56">
        <f>IFERROR(ROUND(CORREL('Returns (Calc)'!$E$3:$E$161,'Returns (Calc)'!$M$3:$M$161),2),"")</f>
        <v>0.53</v>
      </c>
      <c r="N6" s="56">
        <f>IFERROR(ROUND(CORREL('Returns (Calc)'!$E$3:$E$161,'Returns (Calc)'!$N$3:$N$161),2),"")</f>
        <v>0.16</v>
      </c>
      <c r="O6" s="56">
        <f>IFERROR(ROUND(CORREL('Returns (Calc)'!$E$3:$E$161,'Returns (Calc)'!$O$3:$O$161),2),"")</f>
        <v>0.28999999999999998</v>
      </c>
      <c r="P6" s="56" t="str">
        <f>IFERROR(ROUND(CORREL('Returns (Calc)'!$E$3:$E$161,'Returns (Calc)'!$P$3:$P$161),2),"")</f>
        <v/>
      </c>
      <c r="Q6" s="56">
        <f>IFERROR(ROUND(CORREL('Returns (Calc)'!$E$3:$E$161,'Returns (Calc)'!$Q$3:$Q$161),2),"")</f>
        <v>-0.08</v>
      </c>
      <c r="R6" s="56">
        <f>IFERROR(ROUND(CORREL('Returns (Calc)'!$E$3:$E$161,'Returns (Calc)'!$R$3:$R$161),2),"")</f>
        <v>0.73</v>
      </c>
      <c r="S6" s="56">
        <f>IFERROR(ROUND(CORREL('Returns (Calc)'!$E$3:$E$161,'Returns (Calc)'!$S$3:$S$161),2),"")</f>
        <v>0.74</v>
      </c>
      <c r="T6" s="56">
        <f>IFERROR(ROUND(CORREL('Returns (Calc)'!$E$3:$E$161,'Returns (Calc)'!$T$3:$T$161),2),"")</f>
        <v>0.28999999999999998</v>
      </c>
      <c r="U6" s="56" t="str">
        <f>IFERROR(ROUND(CORREL('Returns (Calc)'!$E$3:$E$161,'Returns (Calc)'!$U$3:$U$161),2),"")</f>
        <v/>
      </c>
      <c r="V6" s="44">
        <f t="shared" si="0"/>
        <v>2</v>
      </c>
    </row>
    <row r="7" spans="1:22" ht="15" customHeight="1" x14ac:dyDescent="0.2">
      <c r="A7" s="70" t="str">
        <f>'Returns (Calc)'!F2</f>
        <v>CRWD</v>
      </c>
      <c r="B7" s="56">
        <f>IFERROR(ROUND(CORREL('Returns (Calc)'!$F$3:$F$161,'Returns (Calc)'!$B$3:$B$161),2),"")</f>
        <v>0.42</v>
      </c>
      <c r="C7" s="56">
        <f>IFERROR(ROUND(CORREL('Returns (Calc)'!$F$3:$F$161,'Returns (Calc)'!$C$3:$C$161),2),"")</f>
        <v>0.38</v>
      </c>
      <c r="D7" s="56">
        <f>IFERROR(ROUND(CORREL('Returns (Calc)'!$F$3:$F$161,'Returns (Calc)'!$D$3:$D$161),2),"")</f>
        <v>0.33</v>
      </c>
      <c r="E7" s="56">
        <f>IFERROR(ROUND(CORREL('Returns (Calc)'!$F$3:$F$161,'Returns (Calc)'!$E$3:$E$161),2),"")</f>
        <v>0.4</v>
      </c>
      <c r="F7" s="56">
        <v>1</v>
      </c>
      <c r="G7" s="56">
        <f>IFERROR(ROUND(CORREL('Returns (Calc)'!$F$3:$F$161,'Returns (Calc)'!$G$3:$G$161),2),"")</f>
        <v>0.34</v>
      </c>
      <c r="H7" s="56">
        <f>IFERROR(ROUND(CORREL('Returns (Calc)'!$F$3:$F$161,'Returns (Calc)'!$H$3:$H$161),2),"")</f>
        <v>0.34</v>
      </c>
      <c r="I7" s="56">
        <f>IFERROR(ROUND(CORREL('Returns (Calc)'!$F$3:$F$161,'Returns (Calc)'!$I$3:$I$161),2),"")</f>
        <v>0.45</v>
      </c>
      <c r="J7" s="56">
        <f>IFERROR(ROUND(CORREL('Returns (Calc)'!$F$3:$F$161,'Returns (Calc)'!$J$3:$J$161),2),"")</f>
        <v>0.12</v>
      </c>
      <c r="K7" s="56">
        <f>IFERROR(ROUND(CORREL('Returns (Calc)'!$F$3:$F$161,'Returns (Calc)'!$K$3:$K$161),2),"")</f>
        <v>0.5</v>
      </c>
      <c r="L7" s="56">
        <f>IFERROR(ROUND(CORREL('Returns (Calc)'!$F$3:$F$161,'Returns (Calc)'!$L$3:$L$161),2),"")</f>
        <v>0.39</v>
      </c>
      <c r="M7" s="56">
        <f>IFERROR(ROUND(CORREL('Returns (Calc)'!$F$3:$F$161,'Returns (Calc)'!$M$3:$M$161),2),"")</f>
        <v>0.41</v>
      </c>
      <c r="N7" s="56">
        <f>IFERROR(ROUND(CORREL('Returns (Calc)'!$F$3:$F$161,'Returns (Calc)'!$N$3:$N$161),2),"")</f>
        <v>0.21</v>
      </c>
      <c r="O7" s="56">
        <f>IFERROR(ROUND(CORREL('Returns (Calc)'!$F$3:$F$161,'Returns (Calc)'!$O$3:$O$161),2),"")</f>
        <v>0.22</v>
      </c>
      <c r="P7" s="56" t="str">
        <f>IFERROR(ROUND(CORREL('Returns (Calc)'!$F$3:$F$161,'Returns (Calc)'!$P$3:$P$161),2),"")</f>
        <v/>
      </c>
      <c r="Q7" s="56">
        <f>IFERROR(ROUND(CORREL('Returns (Calc)'!$F$3:$F$161,'Returns (Calc)'!$Q$3:$Q$161),2),"")</f>
        <v>-7.0000000000000007E-2</v>
      </c>
      <c r="R7" s="56">
        <f>IFERROR(ROUND(CORREL('Returns (Calc)'!$F$3:$F$161,'Returns (Calc)'!$R$3:$R$161),2),"")</f>
        <v>0.54</v>
      </c>
      <c r="S7" s="56">
        <f>IFERROR(ROUND(CORREL('Returns (Calc)'!$F$3:$F$161,'Returns (Calc)'!$S$3:$S$161),2),"")</f>
        <v>0.53</v>
      </c>
      <c r="T7" s="56">
        <f>IFERROR(ROUND(CORREL('Returns (Calc)'!$F$3:$F$161,'Returns (Calc)'!$T$3:$T$161),2),"")</f>
        <v>0.33</v>
      </c>
      <c r="U7" s="56" t="str">
        <f>IFERROR(ROUND(CORREL('Returns (Calc)'!$F$3:$F$161,'Returns (Calc)'!$U$3:$U$161),2),"")</f>
        <v/>
      </c>
      <c r="V7" s="44">
        <f t="shared" si="0"/>
        <v>0</v>
      </c>
    </row>
    <row r="8" spans="1:22" ht="15" customHeight="1" x14ac:dyDescent="0.2">
      <c r="A8" s="70" t="str">
        <f>'Returns (Calc)'!G2</f>
        <v>KLAC</v>
      </c>
      <c r="B8" s="56">
        <f>IFERROR(ROUND(CORREL('Returns (Calc)'!$G$3:$G$161,'Returns (Calc)'!$B$3:$B$161),2),"")</f>
        <v>-0.03</v>
      </c>
      <c r="C8" s="56">
        <f>IFERROR(ROUND(CORREL('Returns (Calc)'!$G$3:$G$161,'Returns (Calc)'!$C$3:$C$161),2),"")</f>
        <v>0.44</v>
      </c>
      <c r="D8" s="56">
        <f>IFERROR(ROUND(CORREL('Returns (Calc)'!$G$3:$G$161,'Returns (Calc)'!$D$3:$D$161),2),"")</f>
        <v>0.77</v>
      </c>
      <c r="E8" s="56">
        <f>IFERROR(ROUND(CORREL('Returns (Calc)'!$G$3:$G$161,'Returns (Calc)'!$E$3:$E$161),2),"")</f>
        <v>0.54</v>
      </c>
      <c r="F8" s="56">
        <f>IFERROR(ROUND(CORREL('Returns (Calc)'!$G$3:$G$161,'Returns (Calc)'!$F$3:$F$161),2),"")</f>
        <v>0.34</v>
      </c>
      <c r="G8" s="56">
        <v>1</v>
      </c>
      <c r="H8" s="56">
        <f>IFERROR(ROUND(CORREL('Returns (Calc)'!$G$3:$G$161,'Returns (Calc)'!$H$3:$H$161),2),"")</f>
        <v>0.6</v>
      </c>
      <c r="I8" s="56">
        <f>IFERROR(ROUND(CORREL('Returns (Calc)'!$G$3:$G$161,'Returns (Calc)'!$I$3:$I$161),2),"")</f>
        <v>0.51</v>
      </c>
      <c r="J8" s="56">
        <f>IFERROR(ROUND(CORREL('Returns (Calc)'!$G$3:$G$161,'Returns (Calc)'!$J$3:$J$161),2),"")</f>
        <v>0.28999999999999998</v>
      </c>
      <c r="K8" s="56">
        <f>IFERROR(ROUND(CORREL('Returns (Calc)'!$G$3:$G$161,'Returns (Calc)'!$K$3:$K$161),2),"")</f>
        <v>0.24</v>
      </c>
      <c r="L8" s="56">
        <f>IFERROR(ROUND(CORREL('Returns (Calc)'!$G$3:$G$161,'Returns (Calc)'!$L$3:$L$161),2),"")</f>
        <v>0.61</v>
      </c>
      <c r="M8" s="56">
        <f>IFERROR(ROUND(CORREL('Returns (Calc)'!$G$3:$G$161,'Returns (Calc)'!$M$3:$M$161),2),"")</f>
        <v>0.49</v>
      </c>
      <c r="N8" s="56">
        <f>IFERROR(ROUND(CORREL('Returns (Calc)'!$G$3:$G$161,'Returns (Calc)'!$N$3:$N$161),2),"")</f>
        <v>0.18</v>
      </c>
      <c r="O8" s="56">
        <f>IFERROR(ROUND(CORREL('Returns (Calc)'!$G$3:$G$161,'Returns (Calc)'!$O$3:$O$161),2),"")</f>
        <v>0.43</v>
      </c>
      <c r="P8" s="56" t="str">
        <f>IFERROR(ROUND(CORREL('Returns (Calc)'!$G$3:$G$161,'Returns (Calc)'!$P$3:$P$161),2),"")</f>
        <v/>
      </c>
      <c r="Q8" s="56">
        <f>IFERROR(ROUND(CORREL('Returns (Calc)'!$G$3:$G$161,'Returns (Calc)'!$Q$3:$Q$161),2),"")</f>
        <v>-0.04</v>
      </c>
      <c r="R8" s="56">
        <f>IFERROR(ROUND(CORREL('Returns (Calc)'!$G$3:$G$161,'Returns (Calc)'!$R$3:$R$161),2),"")</f>
        <v>0.62</v>
      </c>
      <c r="S8" s="56">
        <f>IFERROR(ROUND(CORREL('Returns (Calc)'!$G$3:$G$161,'Returns (Calc)'!$S$3:$S$161),2),"")</f>
        <v>0.66</v>
      </c>
      <c r="T8" s="56">
        <f>IFERROR(ROUND(CORREL('Returns (Calc)'!$G$3:$G$161,'Returns (Calc)'!$T$3:$T$161),2),"")</f>
        <v>0.33</v>
      </c>
      <c r="U8" s="56" t="str">
        <f>IFERROR(ROUND(CORREL('Returns (Calc)'!$G$3:$G$161,'Returns (Calc)'!$U$3:$U$161),2),"")</f>
        <v/>
      </c>
      <c r="V8" s="44">
        <f t="shared" si="0"/>
        <v>1</v>
      </c>
    </row>
    <row r="9" spans="1:22" ht="15" customHeight="1" x14ac:dyDescent="0.2">
      <c r="A9" s="70" t="str">
        <f>'Returns (Calc)'!H2</f>
        <v>MU</v>
      </c>
      <c r="B9" s="56">
        <f>IFERROR(ROUND(CORREL('Returns (Calc)'!$H$3:$H$161,'Returns (Calc)'!$B$3:$B$161),2),"")</f>
        <v>7.0000000000000007E-2</v>
      </c>
      <c r="C9" s="56">
        <f>IFERROR(ROUND(CORREL('Returns (Calc)'!$H$3:$H$161,'Returns (Calc)'!$C$3:$C$161),2),"")</f>
        <v>0.35</v>
      </c>
      <c r="D9" s="56">
        <f>IFERROR(ROUND(CORREL('Returns (Calc)'!$H$3:$H$161,'Returns (Calc)'!$D$3:$D$161),2),"")</f>
        <v>0.6</v>
      </c>
      <c r="E9" s="56">
        <f>IFERROR(ROUND(CORREL('Returns (Calc)'!$H$3:$H$161,'Returns (Calc)'!$E$3:$E$161),2),"")</f>
        <v>0.5</v>
      </c>
      <c r="F9" s="56">
        <f>IFERROR(ROUND(CORREL('Returns (Calc)'!$H$3:$H$161,'Returns (Calc)'!$F$3:$F$161),2),"")</f>
        <v>0.34</v>
      </c>
      <c r="G9" s="56">
        <f>IFERROR(ROUND(CORREL('Returns (Calc)'!$H$3:$H$161,'Returns (Calc)'!$G$3:$G$161),2),"")</f>
        <v>0.6</v>
      </c>
      <c r="H9" s="56">
        <v>1</v>
      </c>
      <c r="I9" s="56">
        <f>IFERROR(ROUND(CORREL('Returns (Calc)'!$H$3:$H$161,'Returns (Calc)'!$I$3:$I$161),2),"")</f>
        <v>0.5</v>
      </c>
      <c r="J9" s="56">
        <f>IFERROR(ROUND(CORREL('Returns (Calc)'!$H$3:$H$161,'Returns (Calc)'!$J$3:$J$161),2),"")</f>
        <v>0.21</v>
      </c>
      <c r="K9" s="56">
        <f>IFERROR(ROUND(CORREL('Returns (Calc)'!$H$3:$H$161,'Returns (Calc)'!$K$3:$K$161),2),"")</f>
        <v>0.17</v>
      </c>
      <c r="L9" s="56">
        <f>IFERROR(ROUND(CORREL('Returns (Calc)'!$H$3:$H$161,'Returns (Calc)'!$L$3:$L$161),2),"")</f>
        <v>0.55000000000000004</v>
      </c>
      <c r="M9" s="56">
        <f>IFERROR(ROUND(CORREL('Returns (Calc)'!$H$3:$H$161,'Returns (Calc)'!$M$3:$M$161),2),"")</f>
        <v>0.49</v>
      </c>
      <c r="N9" s="56">
        <f>IFERROR(ROUND(CORREL('Returns (Calc)'!$H$3:$H$161,'Returns (Calc)'!$N$3:$N$161),2),"")</f>
        <v>0.18</v>
      </c>
      <c r="O9" s="56">
        <f>IFERROR(ROUND(CORREL('Returns (Calc)'!$H$3:$H$161,'Returns (Calc)'!$O$3:$O$161),2),"")</f>
        <v>0.36</v>
      </c>
      <c r="P9" s="56" t="str">
        <f>IFERROR(ROUND(CORREL('Returns (Calc)'!$H$3:$H$161,'Returns (Calc)'!$P$3:$P$161),2),"")</f>
        <v/>
      </c>
      <c r="Q9" s="56">
        <f>IFERROR(ROUND(CORREL('Returns (Calc)'!$H$3:$H$161,'Returns (Calc)'!$Q$3:$Q$161),2),"")</f>
        <v>-0.12</v>
      </c>
      <c r="R9" s="56">
        <f>IFERROR(ROUND(CORREL('Returns (Calc)'!$H$3:$H$161,'Returns (Calc)'!$R$3:$R$161),2),"")</f>
        <v>0.61</v>
      </c>
      <c r="S9" s="56">
        <f>IFERROR(ROUND(CORREL('Returns (Calc)'!$H$3:$H$161,'Returns (Calc)'!$S$3:$S$161),2),"")</f>
        <v>0.66</v>
      </c>
      <c r="T9" s="56">
        <f>IFERROR(ROUND(CORREL('Returns (Calc)'!$H$3:$H$161,'Returns (Calc)'!$T$3:$T$161),2),"")</f>
        <v>0.43</v>
      </c>
      <c r="U9" s="56" t="str">
        <f>IFERROR(ROUND(CORREL('Returns (Calc)'!$H$3:$H$161,'Returns (Calc)'!$U$3:$U$161),2),"")</f>
        <v/>
      </c>
      <c r="V9" s="44">
        <f t="shared" si="0"/>
        <v>0</v>
      </c>
    </row>
    <row r="10" spans="1:22" ht="15" customHeight="1" x14ac:dyDescent="0.2">
      <c r="A10" s="70" t="str">
        <f>'Returns (Calc)'!I2</f>
        <v>NVDA</v>
      </c>
      <c r="B10" s="56">
        <f>IFERROR(ROUND(CORREL('Returns (Calc)'!$I$3:$I$161,'Returns (Calc)'!$B$3:$B$161),2),"")</f>
        <v>0.23</v>
      </c>
      <c r="C10" s="56">
        <f>IFERROR(ROUND(CORREL('Returns (Calc)'!$I$3:$I$161,'Returns (Calc)'!$C$3:$C$161),2),"")</f>
        <v>0.53</v>
      </c>
      <c r="D10" s="56">
        <f>IFERROR(ROUND(CORREL('Returns (Calc)'!$I$3:$I$161,'Returns (Calc)'!$D$3:$D$161),2),"")</f>
        <v>0.48</v>
      </c>
      <c r="E10" s="56">
        <f>IFERROR(ROUND(CORREL('Returns (Calc)'!$I$3:$I$161,'Returns (Calc)'!$E$3:$E$161),2),"")</f>
        <v>0.62</v>
      </c>
      <c r="F10" s="56">
        <f>IFERROR(ROUND(CORREL('Returns (Calc)'!$I$3:$I$161,'Returns (Calc)'!$F$3:$F$161),2),"")</f>
        <v>0.45</v>
      </c>
      <c r="G10" s="56">
        <f>IFERROR(ROUND(CORREL('Returns (Calc)'!$I$3:$I$161,'Returns (Calc)'!$G$3:$G$161),2),"")</f>
        <v>0.51</v>
      </c>
      <c r="H10" s="56">
        <f>IFERROR(ROUND(CORREL('Returns (Calc)'!$I$3:$I$161,'Returns (Calc)'!$H$3:$H$161),2),"")</f>
        <v>0.5</v>
      </c>
      <c r="I10" s="56">
        <v>1</v>
      </c>
      <c r="J10" s="56">
        <f>IFERROR(ROUND(CORREL('Returns (Calc)'!$I$3:$I$161,'Returns (Calc)'!$J$3:$J$161),2),"")</f>
        <v>0.19</v>
      </c>
      <c r="K10" s="56">
        <f>IFERROR(ROUND(CORREL('Returns (Calc)'!$I$3:$I$161,'Returns (Calc)'!$K$3:$K$161),2),"")</f>
        <v>0.44</v>
      </c>
      <c r="L10" s="56">
        <f>IFERROR(ROUND(CORREL('Returns (Calc)'!$I$3:$I$161,'Returns (Calc)'!$L$3:$L$161),2),"")</f>
        <v>0.64</v>
      </c>
      <c r="M10" s="56">
        <f>IFERROR(ROUND(CORREL('Returns (Calc)'!$I$3:$I$161,'Returns (Calc)'!$M$3:$M$161),2),"")</f>
        <v>0.65</v>
      </c>
      <c r="N10" s="56">
        <f>IFERROR(ROUND(CORREL('Returns (Calc)'!$I$3:$I$161,'Returns (Calc)'!$N$3:$N$161),2),"")</f>
        <v>0.14000000000000001</v>
      </c>
      <c r="O10" s="56">
        <f>IFERROR(ROUND(CORREL('Returns (Calc)'!$I$3:$I$161,'Returns (Calc)'!$O$3:$O$161),2),"")</f>
        <v>0.27</v>
      </c>
      <c r="P10" s="56" t="str">
        <f>IFERROR(ROUND(CORREL('Returns (Calc)'!$I$3:$I$161,'Returns (Calc)'!$P$3:$P$161),2),"")</f>
        <v/>
      </c>
      <c r="Q10" s="56">
        <f>IFERROR(ROUND(CORREL('Returns (Calc)'!$I$3:$I$161,'Returns (Calc)'!$Q$3:$Q$161),2),"")</f>
        <v>-0.1</v>
      </c>
      <c r="R10" s="56">
        <f>IFERROR(ROUND(CORREL('Returns (Calc)'!$I$3:$I$161,'Returns (Calc)'!$R$3:$R$161),2),"")</f>
        <v>0.71</v>
      </c>
      <c r="S10" s="56">
        <f>IFERROR(ROUND(CORREL('Returns (Calc)'!$I$3:$I$161,'Returns (Calc)'!$S$3:$S$161),2),"")</f>
        <v>0.73</v>
      </c>
      <c r="T10" s="56">
        <f>IFERROR(ROUND(CORREL('Returns (Calc)'!$I$3:$I$161,'Returns (Calc)'!$T$3:$T$161),2),"")</f>
        <v>0.3</v>
      </c>
      <c r="U10" s="56" t="str">
        <f>IFERROR(ROUND(CORREL('Returns (Calc)'!$I$3:$I$161,'Returns (Calc)'!$U$3:$U$161),2),"")</f>
        <v/>
      </c>
      <c r="V10" s="44">
        <f t="shared" si="0"/>
        <v>2</v>
      </c>
    </row>
    <row r="11" spans="1:22" ht="15" customHeight="1" x14ac:dyDescent="0.2">
      <c r="A11" s="70" t="str">
        <f>'Returns (Calc)'!J2</f>
        <v>PLD</v>
      </c>
      <c r="B11" s="56">
        <f>IFERROR(ROUND(CORREL('Returns (Calc)'!$J$3:$J$161,'Returns (Calc)'!$B$3:$B$161),2),"")</f>
        <v>0.19</v>
      </c>
      <c r="C11" s="56">
        <f>IFERROR(ROUND(CORREL('Returns (Calc)'!$J$3:$J$161,'Returns (Calc)'!$C$3:$C$161),2),"")</f>
        <v>0.19</v>
      </c>
      <c r="D11" s="56">
        <f>IFERROR(ROUND(CORREL('Returns (Calc)'!$J$3:$J$161,'Returns (Calc)'!$D$3:$D$161),2),"")</f>
        <v>0.28999999999999998</v>
      </c>
      <c r="E11" s="56">
        <f>IFERROR(ROUND(CORREL('Returns (Calc)'!$J$3:$J$161,'Returns (Calc)'!$E$3:$E$161),2),"")</f>
        <v>0.23</v>
      </c>
      <c r="F11" s="56">
        <f>IFERROR(ROUND(CORREL('Returns (Calc)'!$J$3:$J$161,'Returns (Calc)'!$F$3:$F$161),2),"")</f>
        <v>0.12</v>
      </c>
      <c r="G11" s="56">
        <f>IFERROR(ROUND(CORREL('Returns (Calc)'!$J$3:$J$161,'Returns (Calc)'!$G$3:$G$161),2),"")</f>
        <v>0.28999999999999998</v>
      </c>
      <c r="H11" s="56">
        <f>IFERROR(ROUND(CORREL('Returns (Calc)'!$J$3:$J$161,'Returns (Calc)'!$H$3:$H$161),2),"")</f>
        <v>0.21</v>
      </c>
      <c r="I11" s="56">
        <f>IFERROR(ROUND(CORREL('Returns (Calc)'!$J$3:$J$161,'Returns (Calc)'!$I$3:$I$161),2),"")</f>
        <v>0.19</v>
      </c>
      <c r="J11" s="56">
        <v>1</v>
      </c>
      <c r="K11" s="56">
        <f>IFERROR(ROUND(CORREL('Returns (Calc)'!$J$3:$J$161,'Returns (Calc)'!$K$3:$K$161),2),"")</f>
        <v>0.16</v>
      </c>
      <c r="L11" s="56">
        <f>IFERROR(ROUND(CORREL('Returns (Calc)'!$J$3:$J$161,'Returns (Calc)'!$L$3:$L$161),2),"")</f>
        <v>0.22</v>
      </c>
      <c r="M11" s="56">
        <f>IFERROR(ROUND(CORREL('Returns (Calc)'!$J$3:$J$161,'Returns (Calc)'!$M$3:$M$161),2),"")</f>
        <v>0.16</v>
      </c>
      <c r="N11" s="56">
        <f>IFERROR(ROUND(CORREL('Returns (Calc)'!$J$3:$J$161,'Returns (Calc)'!$N$3:$N$161),2),"")</f>
        <v>0.26</v>
      </c>
      <c r="O11" s="56">
        <f>IFERROR(ROUND(CORREL('Returns (Calc)'!$J$3:$J$161,'Returns (Calc)'!$O$3:$O$161),2),"")</f>
        <v>0.62</v>
      </c>
      <c r="P11" s="56" t="str">
        <f>IFERROR(ROUND(CORREL('Returns (Calc)'!$J$3:$J$161,'Returns (Calc)'!$P$3:$P$161),2),"")</f>
        <v/>
      </c>
      <c r="Q11" s="56">
        <f>IFERROR(ROUND(CORREL('Returns (Calc)'!$J$3:$J$161,'Returns (Calc)'!$Q$3:$Q$161),2),"")</f>
        <v>-0.09</v>
      </c>
      <c r="R11" s="56">
        <f>IFERROR(ROUND(CORREL('Returns (Calc)'!$J$3:$J$161,'Returns (Calc)'!$R$3:$R$161),2),"")</f>
        <v>0.38</v>
      </c>
      <c r="S11" s="56">
        <f>IFERROR(ROUND(CORREL('Returns (Calc)'!$J$3:$J$161,'Returns (Calc)'!$S$3:$S$161),2),"")</f>
        <v>0.36</v>
      </c>
      <c r="T11" s="56">
        <f>IFERROR(ROUND(CORREL('Returns (Calc)'!$J$3:$J$161,'Returns (Calc)'!$T$3:$T$161),2),"")</f>
        <v>0.54</v>
      </c>
      <c r="U11" s="56" t="str">
        <f>IFERROR(ROUND(CORREL('Returns (Calc)'!$J$3:$J$161,'Returns (Calc)'!$U$3:$U$161),2),"")</f>
        <v/>
      </c>
      <c r="V11" s="44">
        <f t="shared" si="0"/>
        <v>0</v>
      </c>
    </row>
    <row r="12" spans="1:22" ht="15" customHeight="1" x14ac:dyDescent="0.2">
      <c r="A12" s="70" t="str">
        <f>'Returns (Calc)'!K2</f>
        <v>PLTR</v>
      </c>
      <c r="B12" s="56">
        <f>IFERROR(ROUND(CORREL('Returns (Calc)'!$K$3:$K$161,'Returns (Calc)'!$B$3:$B$161),2),"")</f>
        <v>0.36</v>
      </c>
      <c r="C12" s="56">
        <f>IFERROR(ROUND(CORREL('Returns (Calc)'!$K$3:$K$161,'Returns (Calc)'!$C$3:$C$161),2),"")</f>
        <v>0.34</v>
      </c>
      <c r="D12" s="56">
        <f>IFERROR(ROUND(CORREL('Returns (Calc)'!$K$3:$K$161,'Returns (Calc)'!$D$3:$D$161),2),"")</f>
        <v>0.2</v>
      </c>
      <c r="E12" s="56">
        <f>IFERROR(ROUND(CORREL('Returns (Calc)'!$K$3:$K$161,'Returns (Calc)'!$E$3:$E$161),2),"")</f>
        <v>0.37</v>
      </c>
      <c r="F12" s="56">
        <f>IFERROR(ROUND(CORREL('Returns (Calc)'!$K$3:$K$161,'Returns (Calc)'!$F$3:$F$161),2),"")</f>
        <v>0.5</v>
      </c>
      <c r="G12" s="56">
        <f>IFERROR(ROUND(CORREL('Returns (Calc)'!$K$3:$K$161,'Returns (Calc)'!$G$3:$G$161),2),"")</f>
        <v>0.24</v>
      </c>
      <c r="H12" s="56">
        <f>IFERROR(ROUND(CORREL('Returns (Calc)'!$K$3:$K$161,'Returns (Calc)'!$H$3:$H$161),2),"")</f>
        <v>0.17</v>
      </c>
      <c r="I12" s="56">
        <f>IFERROR(ROUND(CORREL('Returns (Calc)'!$K$3:$K$161,'Returns (Calc)'!$I$3:$I$161),2),"")</f>
        <v>0.44</v>
      </c>
      <c r="J12" s="56">
        <f>IFERROR(ROUND(CORREL('Returns (Calc)'!$K$3:$K$161,'Returns (Calc)'!$J$3:$J$161),2),"")</f>
        <v>0.16</v>
      </c>
      <c r="K12" s="56">
        <v>1</v>
      </c>
      <c r="L12" s="56">
        <f>IFERROR(ROUND(CORREL('Returns (Calc)'!$K$3:$K$161,'Returns (Calc)'!$L$3:$L$161),2),"")</f>
        <v>0.39</v>
      </c>
      <c r="M12" s="56">
        <f>IFERROR(ROUND(CORREL('Returns (Calc)'!$K$3:$K$161,'Returns (Calc)'!$M$3:$M$161),2),"")</f>
        <v>0.32</v>
      </c>
      <c r="N12" s="56">
        <f>IFERROR(ROUND(CORREL('Returns (Calc)'!$K$3:$K$161,'Returns (Calc)'!$N$3:$N$161),2),"")</f>
        <v>0.05</v>
      </c>
      <c r="O12" s="56">
        <f>IFERROR(ROUND(CORREL('Returns (Calc)'!$K$3:$K$161,'Returns (Calc)'!$O$3:$O$161),2),"")</f>
        <v>0.25</v>
      </c>
      <c r="P12" s="56" t="str">
        <f>IFERROR(ROUND(CORREL('Returns (Calc)'!$K$3:$K$161,'Returns (Calc)'!$P$3:$P$161),2),"")</f>
        <v/>
      </c>
      <c r="Q12" s="56">
        <f>IFERROR(ROUND(CORREL('Returns (Calc)'!$K$3:$K$161,'Returns (Calc)'!$Q$3:$Q$161),2),"")</f>
        <v>-0.08</v>
      </c>
      <c r="R12" s="56">
        <f>IFERROR(ROUND(CORREL('Returns (Calc)'!$K$3:$K$161,'Returns (Calc)'!$R$3:$R$161),2),"")</f>
        <v>0.48</v>
      </c>
      <c r="S12" s="56">
        <f>IFERROR(ROUND(CORREL('Returns (Calc)'!$K$3:$K$161,'Returns (Calc)'!$S$3:$S$161),2),"")</f>
        <v>0.45</v>
      </c>
      <c r="T12" s="56">
        <f>IFERROR(ROUND(CORREL('Returns (Calc)'!$K$3:$K$161,'Returns (Calc)'!$T$3:$T$161),2),"")</f>
        <v>0.34</v>
      </c>
      <c r="U12" s="56" t="str">
        <f>IFERROR(ROUND(CORREL('Returns (Calc)'!$K$3:$K$161,'Returns (Calc)'!$U$3:$U$161),2),"")</f>
        <v/>
      </c>
      <c r="V12" s="44">
        <f t="shared" si="0"/>
        <v>0</v>
      </c>
    </row>
    <row r="13" spans="1:22" ht="15" customHeight="1" x14ac:dyDescent="0.2">
      <c r="A13" s="70" t="str">
        <f>'Returns (Calc)'!L2</f>
        <v>TSM</v>
      </c>
      <c r="B13" s="56">
        <f>IFERROR(ROUND(CORREL('Returns (Calc)'!$L$3:$L$161,'Returns (Calc)'!$B$3:$B$161),2),"")</f>
        <v>0.17</v>
      </c>
      <c r="C13" s="56">
        <f>IFERROR(ROUND(CORREL('Returns (Calc)'!$L$3:$L$161,'Returns (Calc)'!$C$3:$C$161),2),"")</f>
        <v>0.55000000000000004</v>
      </c>
      <c r="D13" s="56">
        <f>IFERROR(ROUND(CORREL('Returns (Calc)'!$L$3:$L$161,'Returns (Calc)'!$D$3:$D$161),2),"")</f>
        <v>0.63</v>
      </c>
      <c r="E13" s="56">
        <f>IFERROR(ROUND(CORREL('Returns (Calc)'!$L$3:$L$161,'Returns (Calc)'!$E$3:$E$161),2),"")</f>
        <v>0.63</v>
      </c>
      <c r="F13" s="56">
        <f>IFERROR(ROUND(CORREL('Returns (Calc)'!$L$3:$L$161,'Returns (Calc)'!$F$3:$F$161),2),"")</f>
        <v>0.39</v>
      </c>
      <c r="G13" s="56">
        <f>IFERROR(ROUND(CORREL('Returns (Calc)'!$L$3:$L$161,'Returns (Calc)'!$G$3:$G$161),2),"")</f>
        <v>0.61</v>
      </c>
      <c r="H13" s="56">
        <f>IFERROR(ROUND(CORREL('Returns (Calc)'!$L$3:$L$161,'Returns (Calc)'!$H$3:$H$161),2),"")</f>
        <v>0.55000000000000004</v>
      </c>
      <c r="I13" s="56">
        <f>IFERROR(ROUND(CORREL('Returns (Calc)'!$L$3:$L$161,'Returns (Calc)'!$I$3:$I$161),2),"")</f>
        <v>0.64</v>
      </c>
      <c r="J13" s="56">
        <f>IFERROR(ROUND(CORREL('Returns (Calc)'!$L$3:$L$161,'Returns (Calc)'!$J$3:$J$161),2),"")</f>
        <v>0.22</v>
      </c>
      <c r="K13" s="56">
        <f>IFERROR(ROUND(CORREL('Returns (Calc)'!$L$3:$L$161,'Returns (Calc)'!$K$3:$K$161),2),"")</f>
        <v>0.39</v>
      </c>
      <c r="L13" s="56">
        <v>1</v>
      </c>
      <c r="M13" s="56">
        <f>IFERROR(ROUND(CORREL('Returns (Calc)'!$L$3:$L$161,'Returns (Calc)'!$M$3:$M$161),2),"")</f>
        <v>0.6</v>
      </c>
      <c r="N13" s="56">
        <f>IFERROR(ROUND(CORREL('Returns (Calc)'!$L$3:$L$161,'Returns (Calc)'!$N$3:$N$161),2),"")</f>
        <v>0.16</v>
      </c>
      <c r="O13" s="56">
        <f>IFERROR(ROUND(CORREL('Returns (Calc)'!$L$3:$L$161,'Returns (Calc)'!$O$3:$O$161),2),"")</f>
        <v>0.33</v>
      </c>
      <c r="P13" s="56" t="str">
        <f>IFERROR(ROUND(CORREL('Returns (Calc)'!$L$3:$L$161,'Returns (Calc)'!$P$3:$P$161),2),"")</f>
        <v/>
      </c>
      <c r="Q13" s="56">
        <f>IFERROR(ROUND(CORREL('Returns (Calc)'!$L$3:$L$161,'Returns (Calc)'!$Q$3:$Q$161),2),"")</f>
        <v>0</v>
      </c>
      <c r="R13" s="56">
        <f>IFERROR(ROUND(CORREL('Returns (Calc)'!$L$3:$L$161,'Returns (Calc)'!$R$3:$R$161),2),"")</f>
        <v>0.66</v>
      </c>
      <c r="S13" s="56">
        <f>IFERROR(ROUND(CORREL('Returns (Calc)'!$L$3:$L$161,'Returns (Calc)'!$S$3:$S$161),2),"")</f>
        <v>0.69</v>
      </c>
      <c r="T13" s="56">
        <f>IFERROR(ROUND(CORREL('Returns (Calc)'!$L$3:$L$161,'Returns (Calc)'!$T$3:$T$161),2),"")</f>
        <v>0.28999999999999998</v>
      </c>
      <c r="U13" s="56" t="str">
        <f>IFERROR(ROUND(CORREL('Returns (Calc)'!$L$3:$L$161,'Returns (Calc)'!$U$3:$U$161),2),"")</f>
        <v/>
      </c>
      <c r="V13" s="44">
        <f t="shared" si="0"/>
        <v>0</v>
      </c>
    </row>
    <row r="14" spans="1:22" ht="15" customHeight="1" x14ac:dyDescent="0.2">
      <c r="A14" s="70" t="str">
        <f>'Returns (Calc)'!M2</f>
        <v>VRT</v>
      </c>
      <c r="B14" s="56">
        <f>IFERROR(ROUND(CORREL('Returns (Calc)'!$M$3:$M$161,'Returns (Calc)'!$B$3:$B$161),2),"")</f>
        <v>0.08</v>
      </c>
      <c r="C14" s="56">
        <f>IFERROR(ROUND(CORREL('Returns (Calc)'!$M$3:$M$161,'Returns (Calc)'!$C$3:$C$161),2),"")</f>
        <v>0.59</v>
      </c>
      <c r="D14" s="56">
        <f>IFERROR(ROUND(CORREL('Returns (Calc)'!$M$3:$M$161,'Returns (Calc)'!$D$3:$D$161),2),"")</f>
        <v>0.41</v>
      </c>
      <c r="E14" s="56">
        <f>IFERROR(ROUND(CORREL('Returns (Calc)'!$M$3:$M$161,'Returns (Calc)'!$E$3:$E$161),2),"")</f>
        <v>0.53</v>
      </c>
      <c r="F14" s="56">
        <f>IFERROR(ROUND(CORREL('Returns (Calc)'!$M$3:$M$161,'Returns (Calc)'!$F$3:$F$161),2),"")</f>
        <v>0.41</v>
      </c>
      <c r="G14" s="56">
        <f>IFERROR(ROUND(CORREL('Returns (Calc)'!$M$3:$M$161,'Returns (Calc)'!$G$3:$G$161),2),"")</f>
        <v>0.49</v>
      </c>
      <c r="H14" s="56">
        <f>IFERROR(ROUND(CORREL('Returns (Calc)'!$M$3:$M$161,'Returns (Calc)'!$H$3:$H$161),2),"")</f>
        <v>0.49</v>
      </c>
      <c r="I14" s="56">
        <f>IFERROR(ROUND(CORREL('Returns (Calc)'!$M$3:$M$161,'Returns (Calc)'!$I$3:$I$161),2),"")</f>
        <v>0.65</v>
      </c>
      <c r="J14" s="56">
        <f>IFERROR(ROUND(CORREL('Returns (Calc)'!$M$3:$M$161,'Returns (Calc)'!$J$3:$J$161),2),"")</f>
        <v>0.16</v>
      </c>
      <c r="K14" s="56">
        <f>IFERROR(ROUND(CORREL('Returns (Calc)'!$M$3:$M$161,'Returns (Calc)'!$K$3:$K$161),2),"")</f>
        <v>0.32</v>
      </c>
      <c r="L14" s="56">
        <f>IFERROR(ROUND(CORREL('Returns (Calc)'!$M$3:$M$161,'Returns (Calc)'!$L$3:$L$161),2),"")</f>
        <v>0.6</v>
      </c>
      <c r="M14" s="56">
        <v>1</v>
      </c>
      <c r="N14" s="56">
        <f>IFERROR(ROUND(CORREL('Returns (Calc)'!$M$3:$M$161,'Returns (Calc)'!$N$3:$N$161),2),"")</f>
        <v>0.12</v>
      </c>
      <c r="O14" s="56">
        <f>IFERROR(ROUND(CORREL('Returns (Calc)'!$M$3:$M$161,'Returns (Calc)'!$O$3:$O$161),2),"")</f>
        <v>0.34</v>
      </c>
      <c r="P14" s="56" t="str">
        <f>IFERROR(ROUND(CORREL('Returns (Calc)'!$M$3:$M$161,'Returns (Calc)'!$P$3:$P$161),2),"")</f>
        <v/>
      </c>
      <c r="Q14" s="56">
        <f>IFERROR(ROUND(CORREL('Returns (Calc)'!$M$3:$M$161,'Returns (Calc)'!$Q$3:$Q$161),2),"")</f>
        <v>-0.02</v>
      </c>
      <c r="R14" s="56">
        <f>IFERROR(ROUND(CORREL('Returns (Calc)'!$M$3:$M$161,'Returns (Calc)'!$R$3:$R$161),2),"")</f>
        <v>0.61</v>
      </c>
      <c r="S14" s="56">
        <f>IFERROR(ROUND(CORREL('Returns (Calc)'!$M$3:$M$161,'Returns (Calc)'!$S$3:$S$161),2),"")</f>
        <v>0.65</v>
      </c>
      <c r="T14" s="56">
        <f>IFERROR(ROUND(CORREL('Returns (Calc)'!$M$3:$M$161,'Returns (Calc)'!$T$3:$T$161),2),"")</f>
        <v>0.28999999999999998</v>
      </c>
      <c r="U14" s="56" t="str">
        <f>IFERROR(ROUND(CORREL('Returns (Calc)'!$M$3:$M$161,'Returns (Calc)'!$U$3:$U$161),2),"")</f>
        <v/>
      </c>
      <c r="V14" s="44">
        <f t="shared" si="0"/>
        <v>0</v>
      </c>
    </row>
    <row r="15" spans="1:22" ht="15" customHeight="1" x14ac:dyDescent="0.2">
      <c r="A15" s="70" t="str">
        <f>'Returns (Calc)'!N2</f>
        <v>VRTX</v>
      </c>
      <c r="B15" s="56">
        <f>IFERROR(ROUND(CORREL('Returns (Calc)'!$N$3:$N$161,'Returns (Calc)'!$B$3:$B$161),2),"")</f>
        <v>0.13</v>
      </c>
      <c r="C15" s="56">
        <f>IFERROR(ROUND(CORREL('Returns (Calc)'!$N$3:$N$161,'Returns (Calc)'!$C$3:$C$161),2),"")</f>
        <v>0.05</v>
      </c>
      <c r="D15" s="56">
        <f>IFERROR(ROUND(CORREL('Returns (Calc)'!$N$3:$N$161,'Returns (Calc)'!$D$3:$D$161),2),"")</f>
        <v>0.12</v>
      </c>
      <c r="E15" s="56">
        <f>IFERROR(ROUND(CORREL('Returns (Calc)'!$N$3:$N$161,'Returns (Calc)'!$E$3:$E$161),2),"")</f>
        <v>0.16</v>
      </c>
      <c r="F15" s="56">
        <f>IFERROR(ROUND(CORREL('Returns (Calc)'!$N$3:$N$161,'Returns (Calc)'!$F$3:$F$161),2),"")</f>
        <v>0.21</v>
      </c>
      <c r="G15" s="56">
        <f>IFERROR(ROUND(CORREL('Returns (Calc)'!$N$3:$N$161,'Returns (Calc)'!$G$3:$G$161),2),"")</f>
        <v>0.18</v>
      </c>
      <c r="H15" s="56">
        <f>IFERROR(ROUND(CORREL('Returns (Calc)'!$N$3:$N$161,'Returns (Calc)'!$H$3:$H$161),2),"")</f>
        <v>0.18</v>
      </c>
      <c r="I15" s="56">
        <f>IFERROR(ROUND(CORREL('Returns (Calc)'!$N$3:$N$161,'Returns (Calc)'!$I$3:$I$161),2),"")</f>
        <v>0.14000000000000001</v>
      </c>
      <c r="J15" s="56">
        <f>IFERROR(ROUND(CORREL('Returns (Calc)'!$N$3:$N$161,'Returns (Calc)'!$J$3:$J$161),2),"")</f>
        <v>0.26</v>
      </c>
      <c r="K15" s="56">
        <f>IFERROR(ROUND(CORREL('Returns (Calc)'!$N$3:$N$161,'Returns (Calc)'!$K$3:$K$161),2),"")</f>
        <v>0.05</v>
      </c>
      <c r="L15" s="56">
        <f>IFERROR(ROUND(CORREL('Returns (Calc)'!$N$3:$N$161,'Returns (Calc)'!$L$3:$L$161),2),"")</f>
        <v>0.16</v>
      </c>
      <c r="M15" s="56">
        <f>IFERROR(ROUND(CORREL('Returns (Calc)'!$N$3:$N$161,'Returns (Calc)'!$M$3:$M$161),2),"")</f>
        <v>0.12</v>
      </c>
      <c r="N15" s="56">
        <v>1</v>
      </c>
      <c r="O15" s="56">
        <f>IFERROR(ROUND(CORREL('Returns (Calc)'!$N$3:$N$161,'Returns (Calc)'!$O$3:$O$161),2),"")</f>
        <v>0.24</v>
      </c>
      <c r="P15" s="56" t="str">
        <f>IFERROR(ROUND(CORREL('Returns (Calc)'!$N$3:$N$161,'Returns (Calc)'!$P$3:$P$161),2),"")</f>
        <v/>
      </c>
      <c r="Q15" s="56">
        <f>IFERROR(ROUND(CORREL('Returns (Calc)'!$N$3:$N$161,'Returns (Calc)'!$Q$3:$Q$161),2),"")</f>
        <v>0.04</v>
      </c>
      <c r="R15" s="56">
        <f>IFERROR(ROUND(CORREL('Returns (Calc)'!$N$3:$N$161,'Returns (Calc)'!$R$3:$R$161),2),"")</f>
        <v>0.2</v>
      </c>
      <c r="S15" s="56">
        <f>IFERROR(ROUND(CORREL('Returns (Calc)'!$N$3:$N$161,'Returns (Calc)'!$S$3:$S$161),2),"")</f>
        <v>0.17</v>
      </c>
      <c r="T15" s="56">
        <f>IFERROR(ROUND(CORREL('Returns (Calc)'!$N$3:$N$161,'Returns (Calc)'!$T$3:$T$161),2),"")</f>
        <v>0.31</v>
      </c>
      <c r="U15" s="56" t="str">
        <f>IFERROR(ROUND(CORREL('Returns (Calc)'!$N$3:$N$161,'Returns (Calc)'!$U$3:$U$161),2),"")</f>
        <v/>
      </c>
      <c r="V15" s="44">
        <f t="shared" si="0"/>
        <v>0</v>
      </c>
    </row>
    <row r="16" spans="1:22" ht="15" customHeight="1" x14ac:dyDescent="0.2">
      <c r="A16" s="70" t="str">
        <f>'Returns (Calc)'!O2</f>
        <v>AVUV</v>
      </c>
      <c r="B16" s="56">
        <f>IFERROR(ROUND(CORREL('Returns (Calc)'!$O$3:$O$161,'Returns (Calc)'!$B$3:$B$161),2),"")</f>
        <v>0.17</v>
      </c>
      <c r="C16" s="56">
        <f>IFERROR(ROUND(CORREL('Returns (Calc)'!$O$3:$O$161,'Returns (Calc)'!$C$3:$C$161),2),"")</f>
        <v>0.35</v>
      </c>
      <c r="D16" s="56">
        <f>IFERROR(ROUND(CORREL('Returns (Calc)'!$O$3:$O$161,'Returns (Calc)'!$D$3:$D$161),2),"")</f>
        <v>0.38</v>
      </c>
      <c r="E16" s="56">
        <f>IFERROR(ROUND(CORREL('Returns (Calc)'!$O$3:$O$161,'Returns (Calc)'!$E$3:$E$161),2),"")</f>
        <v>0.28999999999999998</v>
      </c>
      <c r="F16" s="56">
        <f>IFERROR(ROUND(CORREL('Returns (Calc)'!$O$3:$O$161,'Returns (Calc)'!$F$3:$F$161),2),"")</f>
        <v>0.22</v>
      </c>
      <c r="G16" s="56">
        <f>IFERROR(ROUND(CORREL('Returns (Calc)'!$O$3:$O$161,'Returns (Calc)'!$G$3:$G$161),2),"")</f>
        <v>0.43</v>
      </c>
      <c r="H16" s="56">
        <f>IFERROR(ROUND(CORREL('Returns (Calc)'!$O$3:$O$161,'Returns (Calc)'!$H$3:$H$161),2),"")</f>
        <v>0.36</v>
      </c>
      <c r="I16" s="56">
        <f>IFERROR(ROUND(CORREL('Returns (Calc)'!$O$3:$O$161,'Returns (Calc)'!$I$3:$I$161),2),"")</f>
        <v>0.27</v>
      </c>
      <c r="J16" s="56">
        <f>IFERROR(ROUND(CORREL('Returns (Calc)'!$O$3:$O$161,'Returns (Calc)'!$J$3:$J$161),2),"")</f>
        <v>0.62</v>
      </c>
      <c r="K16" s="56">
        <f>IFERROR(ROUND(CORREL('Returns (Calc)'!$O$3:$O$161,'Returns (Calc)'!$K$3:$K$161),2),"")</f>
        <v>0.25</v>
      </c>
      <c r="L16" s="56">
        <f>IFERROR(ROUND(CORREL('Returns (Calc)'!$O$3:$O$161,'Returns (Calc)'!$L$3:$L$161),2),"")</f>
        <v>0.33</v>
      </c>
      <c r="M16" s="56">
        <f>IFERROR(ROUND(CORREL('Returns (Calc)'!$O$3:$O$161,'Returns (Calc)'!$M$3:$M$161),2),"")</f>
        <v>0.34</v>
      </c>
      <c r="N16" s="56">
        <f>IFERROR(ROUND(CORREL('Returns (Calc)'!$O$3:$O$161,'Returns (Calc)'!$N$3:$N$161),2),"")</f>
        <v>0.24</v>
      </c>
      <c r="O16" s="56">
        <v>1</v>
      </c>
      <c r="P16" s="56" t="str">
        <f>IFERROR(ROUND(CORREL('Returns (Calc)'!$O$3:$O$161,'Returns (Calc)'!$P$3:$P$161),2),"")</f>
        <v/>
      </c>
      <c r="Q16" s="56">
        <f>IFERROR(ROUND(CORREL('Returns (Calc)'!$O$3:$O$161,'Returns (Calc)'!$Q$3:$Q$161),2),"")</f>
        <v>-0.04</v>
      </c>
      <c r="R16" s="56">
        <f>IFERROR(ROUND(CORREL('Returns (Calc)'!$O$3:$O$161,'Returns (Calc)'!$R$3:$R$161),2),"")</f>
        <v>0.54</v>
      </c>
      <c r="S16" s="56">
        <f>IFERROR(ROUND(CORREL('Returns (Calc)'!$O$3:$O$161,'Returns (Calc)'!$S$3:$S$161),2),"")</f>
        <v>0.49</v>
      </c>
      <c r="T16" s="56">
        <f>IFERROR(ROUND(CORREL('Returns (Calc)'!$O$3:$O$161,'Returns (Calc)'!$T$3:$T$161),2),"")</f>
        <v>0.81</v>
      </c>
      <c r="U16" s="56" t="str">
        <f>IFERROR(ROUND(CORREL('Returns (Calc)'!$O$3:$O$161,'Returns (Calc)'!$U$3:$U$161),2),"")</f>
        <v/>
      </c>
      <c r="V16" s="44">
        <f t="shared" si="0"/>
        <v>1</v>
      </c>
    </row>
    <row r="17" spans="1:22" ht="15" customHeight="1" x14ac:dyDescent="0.2">
      <c r="A17" s="70">
        <f>'Returns (Calc)'!P2</f>
        <v>0</v>
      </c>
      <c r="B17" s="56" t="str">
        <f>IFERROR(ROUND(CORREL('Returns (Calc)'!$P$3:$P$161,'Returns (Calc)'!$B$3:$B$161),2),"")</f>
        <v/>
      </c>
      <c r="C17" s="56" t="str">
        <f>IFERROR(ROUND(CORREL('Returns (Calc)'!$P$3:$P$161,'Returns (Calc)'!$C$3:$C$161),2),"")</f>
        <v/>
      </c>
      <c r="D17" s="56" t="str">
        <f>IFERROR(ROUND(CORREL('Returns (Calc)'!$P$3:$P$161,'Returns (Calc)'!$D$3:$D$161),2),"")</f>
        <v/>
      </c>
      <c r="E17" s="56" t="str">
        <f>IFERROR(ROUND(CORREL('Returns (Calc)'!$P$3:$P$161,'Returns (Calc)'!$E$3:$E$161),2),"")</f>
        <v/>
      </c>
      <c r="F17" s="56" t="str">
        <f>IFERROR(ROUND(CORREL('Returns (Calc)'!$P$3:$P$161,'Returns (Calc)'!$F$3:$F$161),2),"")</f>
        <v/>
      </c>
      <c r="G17" s="56" t="str">
        <f>IFERROR(ROUND(CORREL('Returns (Calc)'!$P$3:$P$161,'Returns (Calc)'!$G$3:$G$161),2),"")</f>
        <v/>
      </c>
      <c r="H17" s="56" t="str">
        <f>IFERROR(ROUND(CORREL('Returns (Calc)'!$P$3:$P$161,'Returns (Calc)'!$H$3:$H$161),2),"")</f>
        <v/>
      </c>
      <c r="I17" s="56" t="str">
        <f>IFERROR(ROUND(CORREL('Returns (Calc)'!$P$3:$P$161,'Returns (Calc)'!$I$3:$I$161),2),"")</f>
        <v/>
      </c>
      <c r="J17" s="56" t="str">
        <f>IFERROR(ROUND(CORREL('Returns (Calc)'!$P$3:$P$161,'Returns (Calc)'!$J$3:$J$161),2),"")</f>
        <v/>
      </c>
      <c r="K17" s="56" t="str">
        <f>IFERROR(ROUND(CORREL('Returns (Calc)'!$P$3:$P$161,'Returns (Calc)'!$K$3:$K$161),2),"")</f>
        <v/>
      </c>
      <c r="L17" s="56" t="str">
        <f>IFERROR(ROUND(CORREL('Returns (Calc)'!$P$3:$P$161,'Returns (Calc)'!$L$3:$L$161),2),"")</f>
        <v/>
      </c>
      <c r="M17" s="56" t="str">
        <f>IFERROR(ROUND(CORREL('Returns (Calc)'!$P$3:$P$161,'Returns (Calc)'!$M$3:$M$161),2),"")</f>
        <v/>
      </c>
      <c r="N17" s="56" t="str">
        <f>IFERROR(ROUND(CORREL('Returns (Calc)'!$P$3:$P$161,'Returns (Calc)'!$N$3:$N$161),2),"")</f>
        <v/>
      </c>
      <c r="O17" s="56" t="str">
        <f>IFERROR(ROUND(CORREL('Returns (Calc)'!$P$3:$P$161,'Returns (Calc)'!$O$3:$O$161),2),"")</f>
        <v/>
      </c>
      <c r="P17" s="56">
        <v>1</v>
      </c>
      <c r="Q17" s="56" t="str">
        <f>IFERROR(ROUND(CORREL('Returns (Calc)'!$P$3:$P$161,'Returns (Calc)'!$Q$3:$Q$161),2),"")</f>
        <v/>
      </c>
      <c r="R17" s="56" t="str">
        <f>IFERROR(ROUND(CORREL('Returns (Calc)'!$P$3:$P$161,'Returns (Calc)'!$R$3:$R$161),2),"")</f>
        <v/>
      </c>
      <c r="S17" s="56" t="str">
        <f>IFERROR(ROUND(CORREL('Returns (Calc)'!$P$3:$P$161,'Returns (Calc)'!$S$3:$S$161),2),"")</f>
        <v/>
      </c>
      <c r="T17" s="56" t="str">
        <f>IFERROR(ROUND(CORREL('Returns (Calc)'!$P$3:$P$161,'Returns (Calc)'!$T$3:$T$161),2),"")</f>
        <v/>
      </c>
      <c r="U17" s="56" t="str">
        <f>IFERROR(ROUND(CORREL('Returns (Calc)'!$P$3:$P$161,'Returns (Calc)'!$U$3:$U$161),2),"")</f>
        <v/>
      </c>
      <c r="V17" s="44">
        <f t="shared" si="0"/>
        <v>0</v>
      </c>
    </row>
    <row r="18" spans="1:22" ht="15" customHeight="1" x14ac:dyDescent="0.2">
      <c r="A18" s="70" t="str">
        <f>'Returns (Calc)'!Q2</f>
        <v>HELO</v>
      </c>
      <c r="B18" s="56">
        <f>IFERROR(ROUND(CORREL('Returns (Calc)'!$Q$3:$Q$161,'Returns (Calc)'!$B$3:$B$161),2),"")</f>
        <v>-0.1</v>
      </c>
      <c r="C18" s="56">
        <f>IFERROR(ROUND(CORREL('Returns (Calc)'!$Q$3:$Q$161,'Returns (Calc)'!$C$3:$C$161),2),"")</f>
        <v>-0.01</v>
      </c>
      <c r="D18" s="56">
        <f>IFERROR(ROUND(CORREL('Returns (Calc)'!$Q$3:$Q$161,'Returns (Calc)'!$D$3:$D$161),2),"")</f>
        <v>-0.06</v>
      </c>
      <c r="E18" s="56">
        <f>IFERROR(ROUND(CORREL('Returns (Calc)'!$Q$3:$Q$161,'Returns (Calc)'!$E$3:$E$161),2),"")</f>
        <v>-0.08</v>
      </c>
      <c r="F18" s="56">
        <f>IFERROR(ROUND(CORREL('Returns (Calc)'!$Q$3:$Q$161,'Returns (Calc)'!$F$3:$F$161),2),"")</f>
        <v>-7.0000000000000007E-2</v>
      </c>
      <c r="G18" s="56">
        <f>IFERROR(ROUND(CORREL('Returns (Calc)'!$Q$3:$Q$161,'Returns (Calc)'!$G$3:$G$161),2),"")</f>
        <v>-0.04</v>
      </c>
      <c r="H18" s="56">
        <f>IFERROR(ROUND(CORREL('Returns (Calc)'!$Q$3:$Q$161,'Returns (Calc)'!$H$3:$H$161),2),"")</f>
        <v>-0.12</v>
      </c>
      <c r="I18" s="56">
        <f>IFERROR(ROUND(CORREL('Returns (Calc)'!$Q$3:$Q$161,'Returns (Calc)'!$I$3:$I$161),2),"")</f>
        <v>-0.1</v>
      </c>
      <c r="J18" s="56">
        <f>IFERROR(ROUND(CORREL('Returns (Calc)'!$Q$3:$Q$161,'Returns (Calc)'!$J$3:$J$161),2),"")</f>
        <v>-0.09</v>
      </c>
      <c r="K18" s="56">
        <f>IFERROR(ROUND(CORREL('Returns (Calc)'!$Q$3:$Q$161,'Returns (Calc)'!$K$3:$K$161),2),"")</f>
        <v>-0.08</v>
      </c>
      <c r="L18" s="56">
        <f>IFERROR(ROUND(CORREL('Returns (Calc)'!$Q$3:$Q$161,'Returns (Calc)'!$L$3:$L$161),2),"")</f>
        <v>0</v>
      </c>
      <c r="M18" s="56">
        <f>IFERROR(ROUND(CORREL('Returns (Calc)'!$Q$3:$Q$161,'Returns (Calc)'!$M$3:$M$161),2),"")</f>
        <v>-0.02</v>
      </c>
      <c r="N18" s="56">
        <f>IFERROR(ROUND(CORREL('Returns (Calc)'!$Q$3:$Q$161,'Returns (Calc)'!$N$3:$N$161),2),"")</f>
        <v>0.04</v>
      </c>
      <c r="O18" s="56">
        <f>IFERROR(ROUND(CORREL('Returns (Calc)'!$Q$3:$Q$161,'Returns (Calc)'!$O$3:$O$161),2),"")</f>
        <v>-0.04</v>
      </c>
      <c r="P18" s="56" t="str">
        <f>IFERROR(ROUND(CORREL('Returns (Calc)'!$Q$3:$Q$161,'Returns (Calc)'!$P$3:$P$161),2),"")</f>
        <v/>
      </c>
      <c r="Q18" s="56">
        <v>1</v>
      </c>
      <c r="R18" s="56">
        <f>IFERROR(ROUND(CORREL('Returns (Calc)'!$Q$3:$Q$161,'Returns (Calc)'!$R$3:$R$161),2),"")</f>
        <v>-0.04</v>
      </c>
      <c r="S18" s="56">
        <f>IFERROR(ROUND(CORREL('Returns (Calc)'!$Q$3:$Q$161,'Returns (Calc)'!$S$3:$S$161),2),"")</f>
        <v>-0.05</v>
      </c>
      <c r="T18" s="56">
        <f>IFERROR(ROUND(CORREL('Returns (Calc)'!$Q$3:$Q$161,'Returns (Calc)'!$T$3:$T$161),2),"")</f>
        <v>-0.08</v>
      </c>
      <c r="U18" s="56" t="str">
        <f>IFERROR(ROUND(CORREL('Returns (Calc)'!$Q$3:$Q$161,'Returns (Calc)'!$U$3:$U$161),2),"")</f>
        <v/>
      </c>
      <c r="V18" s="44">
        <f t="shared" si="0"/>
        <v>0</v>
      </c>
    </row>
    <row r="19" spans="1:22" ht="15" customHeight="1" x14ac:dyDescent="0.2">
      <c r="A19" s="70" t="str">
        <f>'Returns (Calc)'!R2</f>
        <v>JEPQ</v>
      </c>
      <c r="B19" s="56">
        <f>IFERROR(ROUND(CORREL('Returns (Calc)'!$R$3:$R$161,'Returns (Calc)'!$B$3:$B$161),2),"")</f>
        <v>0.32</v>
      </c>
      <c r="C19" s="56">
        <f>IFERROR(ROUND(CORREL('Returns (Calc)'!$R$3:$R$161,'Returns (Calc)'!$C$3:$C$161),2),"")</f>
        <v>0.64</v>
      </c>
      <c r="D19" s="56">
        <f>IFERROR(ROUND(CORREL('Returns (Calc)'!$R$3:$R$161,'Returns (Calc)'!$D$3:$D$161),2),"")</f>
        <v>0.6</v>
      </c>
      <c r="E19" s="56">
        <f>IFERROR(ROUND(CORREL('Returns (Calc)'!$R$3:$R$161,'Returns (Calc)'!$E$3:$E$161),2),"")</f>
        <v>0.73</v>
      </c>
      <c r="F19" s="56">
        <f>IFERROR(ROUND(CORREL('Returns (Calc)'!$R$3:$R$161,'Returns (Calc)'!$F$3:$F$161),2),"")</f>
        <v>0.54</v>
      </c>
      <c r="G19" s="56">
        <f>IFERROR(ROUND(CORREL('Returns (Calc)'!$R$3:$R$161,'Returns (Calc)'!$G$3:$G$161),2),"")</f>
        <v>0.62</v>
      </c>
      <c r="H19" s="56">
        <f>IFERROR(ROUND(CORREL('Returns (Calc)'!$R$3:$R$161,'Returns (Calc)'!$H$3:$H$161),2),"")</f>
        <v>0.61</v>
      </c>
      <c r="I19" s="56">
        <f>IFERROR(ROUND(CORREL('Returns (Calc)'!$R$3:$R$161,'Returns (Calc)'!$I$3:$I$161),2),"")</f>
        <v>0.71</v>
      </c>
      <c r="J19" s="56">
        <f>IFERROR(ROUND(CORREL('Returns (Calc)'!$R$3:$R$161,'Returns (Calc)'!$J$3:$J$161),2),"")</f>
        <v>0.38</v>
      </c>
      <c r="K19" s="56">
        <f>IFERROR(ROUND(CORREL('Returns (Calc)'!$R$3:$R$161,'Returns (Calc)'!$K$3:$K$161),2),"")</f>
        <v>0.48</v>
      </c>
      <c r="L19" s="56">
        <f>IFERROR(ROUND(CORREL('Returns (Calc)'!$R$3:$R$161,'Returns (Calc)'!$L$3:$L$161),2),"")</f>
        <v>0.66</v>
      </c>
      <c r="M19" s="56">
        <f>IFERROR(ROUND(CORREL('Returns (Calc)'!$R$3:$R$161,'Returns (Calc)'!$M$3:$M$161),2),"")</f>
        <v>0.61</v>
      </c>
      <c r="N19" s="56">
        <f>IFERROR(ROUND(CORREL('Returns (Calc)'!$R$3:$R$161,'Returns (Calc)'!$N$3:$N$161),2),"")</f>
        <v>0.2</v>
      </c>
      <c r="O19" s="56">
        <f>IFERROR(ROUND(CORREL('Returns (Calc)'!$R$3:$R$161,'Returns (Calc)'!$O$3:$O$161),2),"")</f>
        <v>0.54</v>
      </c>
      <c r="P19" s="56" t="str">
        <f>IFERROR(ROUND(CORREL('Returns (Calc)'!$R$3:$R$161,'Returns (Calc)'!$P$3:$P$161),2),"")</f>
        <v/>
      </c>
      <c r="Q19" s="56">
        <f>IFERROR(ROUND(CORREL('Returns (Calc)'!$R$3:$R$161,'Returns (Calc)'!$Q$3:$Q$161),2),"")</f>
        <v>-0.04</v>
      </c>
      <c r="R19" s="56">
        <v>1</v>
      </c>
      <c r="S19" s="56">
        <f>IFERROR(ROUND(CORREL('Returns (Calc)'!$R$3:$R$161,'Returns (Calc)'!$S$3:$S$161),2),"")</f>
        <v>0.88</v>
      </c>
      <c r="T19" s="56">
        <f>IFERROR(ROUND(CORREL('Returns (Calc)'!$R$3:$R$161,'Returns (Calc)'!$T$3:$T$161),2),"")</f>
        <v>0.56999999999999995</v>
      </c>
      <c r="U19" s="56" t="str">
        <f>IFERROR(ROUND(CORREL('Returns (Calc)'!$R$3:$R$161,'Returns (Calc)'!$U$3:$U$161),2),"")</f>
        <v/>
      </c>
      <c r="V19" s="44">
        <f t="shared" si="0"/>
        <v>3</v>
      </c>
    </row>
    <row r="20" spans="1:22" ht="15" customHeight="1" x14ac:dyDescent="0.2">
      <c r="A20" s="70" t="str">
        <f>'Returns (Calc)'!S2</f>
        <v>SPMO</v>
      </c>
      <c r="B20" s="56">
        <f>IFERROR(ROUND(CORREL('Returns (Calc)'!$S$3:$S$161,'Returns (Calc)'!$B$3:$B$161),2),"")</f>
        <v>0.25</v>
      </c>
      <c r="C20" s="56">
        <f>IFERROR(ROUND(CORREL('Returns (Calc)'!$S$3:$S$161,'Returns (Calc)'!$C$3:$C$161),2),"")</f>
        <v>0.64</v>
      </c>
      <c r="D20" s="56">
        <f>IFERROR(ROUND(CORREL('Returns (Calc)'!$S$3:$S$161,'Returns (Calc)'!$D$3:$D$161),2),"")</f>
        <v>0.6</v>
      </c>
      <c r="E20" s="56">
        <f>IFERROR(ROUND(CORREL('Returns (Calc)'!$S$3:$S$161,'Returns (Calc)'!$E$3:$E$161),2),"")</f>
        <v>0.74</v>
      </c>
      <c r="F20" s="56">
        <f>IFERROR(ROUND(CORREL('Returns (Calc)'!$S$3:$S$161,'Returns (Calc)'!$F$3:$F$161),2),"")</f>
        <v>0.53</v>
      </c>
      <c r="G20" s="56">
        <f>IFERROR(ROUND(CORREL('Returns (Calc)'!$S$3:$S$161,'Returns (Calc)'!$G$3:$G$161),2),"")</f>
        <v>0.66</v>
      </c>
      <c r="H20" s="56">
        <f>IFERROR(ROUND(CORREL('Returns (Calc)'!$S$3:$S$161,'Returns (Calc)'!$H$3:$H$161),2),"")</f>
        <v>0.66</v>
      </c>
      <c r="I20" s="56">
        <f>IFERROR(ROUND(CORREL('Returns (Calc)'!$S$3:$S$161,'Returns (Calc)'!$I$3:$I$161),2),"")</f>
        <v>0.73</v>
      </c>
      <c r="J20" s="56">
        <f>IFERROR(ROUND(CORREL('Returns (Calc)'!$S$3:$S$161,'Returns (Calc)'!$J$3:$J$161),2),"")</f>
        <v>0.36</v>
      </c>
      <c r="K20" s="56">
        <f>IFERROR(ROUND(CORREL('Returns (Calc)'!$S$3:$S$161,'Returns (Calc)'!$K$3:$K$161),2),"")</f>
        <v>0.45</v>
      </c>
      <c r="L20" s="56">
        <f>IFERROR(ROUND(CORREL('Returns (Calc)'!$S$3:$S$161,'Returns (Calc)'!$L$3:$L$161),2),"")</f>
        <v>0.69</v>
      </c>
      <c r="M20" s="56">
        <f>IFERROR(ROUND(CORREL('Returns (Calc)'!$S$3:$S$161,'Returns (Calc)'!$M$3:$M$161),2),"")</f>
        <v>0.65</v>
      </c>
      <c r="N20" s="56">
        <f>IFERROR(ROUND(CORREL('Returns (Calc)'!$S$3:$S$161,'Returns (Calc)'!$N$3:$N$161),2),"")</f>
        <v>0.17</v>
      </c>
      <c r="O20" s="56">
        <f>IFERROR(ROUND(CORREL('Returns (Calc)'!$S$3:$S$161,'Returns (Calc)'!$O$3:$O$161),2),"")</f>
        <v>0.49</v>
      </c>
      <c r="P20" s="56" t="str">
        <f>IFERROR(ROUND(CORREL('Returns (Calc)'!$S$3:$S$161,'Returns (Calc)'!$P$3:$P$161),2),"")</f>
        <v/>
      </c>
      <c r="Q20" s="56">
        <f>IFERROR(ROUND(CORREL('Returns (Calc)'!$S$3:$S$161,'Returns (Calc)'!$Q$3:$Q$161),2),"")</f>
        <v>-0.05</v>
      </c>
      <c r="R20" s="56">
        <f>IFERROR(ROUND(CORREL('Returns (Calc)'!$S$3:$S$161,'Returns (Calc)'!$R$3:$R$161),2),"")</f>
        <v>0.88</v>
      </c>
      <c r="S20" s="56">
        <v>1</v>
      </c>
      <c r="T20" s="56">
        <f>IFERROR(ROUND(CORREL('Returns (Calc)'!$S$3:$S$161,'Returns (Calc)'!$T$3:$T$161),2),"")</f>
        <v>0.53</v>
      </c>
      <c r="U20" s="56" t="str">
        <f>IFERROR(ROUND(CORREL('Returns (Calc)'!$S$3:$S$161,'Returns (Calc)'!$U$3:$U$161),2),"")</f>
        <v/>
      </c>
      <c r="V20" s="44">
        <f t="shared" si="0"/>
        <v>3</v>
      </c>
    </row>
    <row r="21" spans="1:22" ht="15" customHeight="1" x14ac:dyDescent="0.2">
      <c r="A21" s="70" t="str">
        <f>'Returns (Calc)'!T2</f>
        <v>VFLO</v>
      </c>
      <c r="B21" s="56">
        <f>IFERROR(ROUND(CORREL('Returns (Calc)'!$T$3:$T$161,'Returns (Calc)'!$B$3:$B$161),2),"")</f>
        <v>0.41</v>
      </c>
      <c r="C21" s="56">
        <f>IFERROR(ROUND(CORREL('Returns (Calc)'!$T$3:$T$161,'Returns (Calc)'!$C$3:$C$161),2),"")</f>
        <v>0.35</v>
      </c>
      <c r="D21" s="56">
        <f>IFERROR(ROUND(CORREL('Returns (Calc)'!$T$3:$T$161,'Returns (Calc)'!$D$3:$D$161),2),"")</f>
        <v>0.31</v>
      </c>
      <c r="E21" s="56">
        <f>IFERROR(ROUND(CORREL('Returns (Calc)'!$T$3:$T$161,'Returns (Calc)'!$E$3:$E$161),2),"")</f>
        <v>0.28999999999999998</v>
      </c>
      <c r="F21" s="56">
        <f>IFERROR(ROUND(CORREL('Returns (Calc)'!$T$3:$T$161,'Returns (Calc)'!$F$3:$F$161),2),"")</f>
        <v>0.33</v>
      </c>
      <c r="G21" s="56">
        <f>IFERROR(ROUND(CORREL('Returns (Calc)'!$T$3:$T$161,'Returns (Calc)'!$G$3:$G$161),2),"")</f>
        <v>0.33</v>
      </c>
      <c r="H21" s="56">
        <f>IFERROR(ROUND(CORREL('Returns (Calc)'!$T$3:$T$161,'Returns (Calc)'!$H$3:$H$161),2),"")</f>
        <v>0.43</v>
      </c>
      <c r="I21" s="56">
        <f>IFERROR(ROUND(CORREL('Returns (Calc)'!$T$3:$T$161,'Returns (Calc)'!$I$3:$I$161),2),"")</f>
        <v>0.3</v>
      </c>
      <c r="J21" s="56">
        <f>IFERROR(ROUND(CORREL('Returns (Calc)'!$T$3:$T$161,'Returns (Calc)'!$J$3:$J$161),2),"")</f>
        <v>0.54</v>
      </c>
      <c r="K21" s="56">
        <f>IFERROR(ROUND(CORREL('Returns (Calc)'!$T$3:$T$161,'Returns (Calc)'!$K$3:$K$161),2),"")</f>
        <v>0.34</v>
      </c>
      <c r="L21" s="56">
        <f>IFERROR(ROUND(CORREL('Returns (Calc)'!$T$3:$T$161,'Returns (Calc)'!$L$3:$L$161),2),"")</f>
        <v>0.28999999999999998</v>
      </c>
      <c r="M21" s="56">
        <f>IFERROR(ROUND(CORREL('Returns (Calc)'!$T$3:$T$161,'Returns (Calc)'!$M$3:$M$161),2),"")</f>
        <v>0.28999999999999998</v>
      </c>
      <c r="N21" s="56">
        <f>IFERROR(ROUND(CORREL('Returns (Calc)'!$T$3:$T$161,'Returns (Calc)'!$N$3:$N$161),2),"")</f>
        <v>0.31</v>
      </c>
      <c r="O21" s="56">
        <f>IFERROR(ROUND(CORREL('Returns (Calc)'!$T$3:$T$161,'Returns (Calc)'!$O$3:$O$161),2),"")</f>
        <v>0.81</v>
      </c>
      <c r="P21" s="56" t="str">
        <f>IFERROR(ROUND(CORREL('Returns (Calc)'!$T$3:$T$161,'Returns (Calc)'!$P$3:$P$161),2),"")</f>
        <v/>
      </c>
      <c r="Q21" s="56">
        <f>IFERROR(ROUND(CORREL('Returns (Calc)'!$T$3:$T$161,'Returns (Calc)'!$Q$3:$Q$161),2),"")</f>
        <v>-0.08</v>
      </c>
      <c r="R21" s="56">
        <f>IFERROR(ROUND(CORREL('Returns (Calc)'!$T$3:$T$161,'Returns (Calc)'!$R$3:$R$161),2),"")</f>
        <v>0.56999999999999995</v>
      </c>
      <c r="S21" s="56">
        <f>IFERROR(ROUND(CORREL('Returns (Calc)'!$T$3:$T$161,'Returns (Calc)'!$S$3:$S$161),2),"")</f>
        <v>0.53</v>
      </c>
      <c r="T21" s="56">
        <v>1</v>
      </c>
      <c r="U21" s="56" t="str">
        <f>IFERROR(ROUND(CORREL('Returns (Calc)'!$T$3:$T$161,'Returns (Calc)'!$U$3:$U$161),2),"")</f>
        <v/>
      </c>
      <c r="V21" s="44">
        <f t="shared" si="0"/>
        <v>1</v>
      </c>
    </row>
    <row r="22" spans="1:22" ht="15" customHeight="1" x14ac:dyDescent="0.2">
      <c r="A22" s="70">
        <f>'Returns (Calc)'!U2</f>
        <v>0</v>
      </c>
      <c r="B22" s="56" t="str">
        <f>IFERROR(ROUND(CORREL('Returns (Calc)'!$U$3:$U$161,'Returns (Calc)'!$B$3:$B$161),2),"")</f>
        <v/>
      </c>
      <c r="C22" s="56" t="str">
        <f>IFERROR(ROUND(CORREL('Returns (Calc)'!$U$3:$U$161,'Returns (Calc)'!$C$3:$C$161),2),"")</f>
        <v/>
      </c>
      <c r="D22" s="56" t="str">
        <f>IFERROR(ROUND(CORREL('Returns (Calc)'!$U$3:$U$161,'Returns (Calc)'!$D$3:$D$161),2),"")</f>
        <v/>
      </c>
      <c r="E22" s="56" t="str">
        <f>IFERROR(ROUND(CORREL('Returns (Calc)'!$U$3:$U$161,'Returns (Calc)'!$E$3:$E$161),2),"")</f>
        <v/>
      </c>
      <c r="F22" s="56" t="str">
        <f>IFERROR(ROUND(CORREL('Returns (Calc)'!$U$3:$U$161,'Returns (Calc)'!$F$3:$F$161),2),"")</f>
        <v/>
      </c>
      <c r="G22" s="56" t="str">
        <f>IFERROR(ROUND(CORREL('Returns (Calc)'!$U$3:$U$161,'Returns (Calc)'!$G$3:$G$161),2),"")</f>
        <v/>
      </c>
      <c r="H22" s="56" t="str">
        <f>IFERROR(ROUND(CORREL('Returns (Calc)'!$U$3:$U$161,'Returns (Calc)'!$H$3:$H$161),2),"")</f>
        <v/>
      </c>
      <c r="I22" s="56" t="str">
        <f>IFERROR(ROUND(CORREL('Returns (Calc)'!$U$3:$U$161,'Returns (Calc)'!$I$3:$I$161),2),"")</f>
        <v/>
      </c>
      <c r="J22" s="56" t="str">
        <f>IFERROR(ROUND(CORREL('Returns (Calc)'!$U$3:$U$161,'Returns (Calc)'!$J$3:$J$161),2),"")</f>
        <v/>
      </c>
      <c r="K22" s="56" t="str">
        <f>IFERROR(ROUND(CORREL('Returns (Calc)'!$U$3:$U$161,'Returns (Calc)'!$K$3:$K$161),2),"")</f>
        <v/>
      </c>
      <c r="L22" s="56" t="str">
        <f>IFERROR(ROUND(CORREL('Returns (Calc)'!$U$3:$U$161,'Returns (Calc)'!$L$3:$L$161),2),"")</f>
        <v/>
      </c>
      <c r="M22" s="56" t="str">
        <f>IFERROR(ROUND(CORREL('Returns (Calc)'!$U$3:$U$161,'Returns (Calc)'!$M$3:$M$161),2),"")</f>
        <v/>
      </c>
      <c r="N22" s="56" t="str">
        <f>IFERROR(ROUND(CORREL('Returns (Calc)'!$U$3:$U$161,'Returns (Calc)'!$N$3:$N$161),2),"")</f>
        <v/>
      </c>
      <c r="O22" s="56" t="str">
        <f>IFERROR(ROUND(CORREL('Returns (Calc)'!$U$3:$U$161,'Returns (Calc)'!$O$3:$O$161),2),"")</f>
        <v/>
      </c>
      <c r="P22" s="56" t="str">
        <f>IFERROR(ROUND(CORREL('Returns (Calc)'!$U$3:$U$161,'Returns (Calc)'!$P$3:$P$161),2),"")</f>
        <v/>
      </c>
      <c r="Q22" s="56" t="str">
        <f>IFERROR(ROUND(CORREL('Returns (Calc)'!$U$3:$U$161,'Returns (Calc)'!$Q$3:$Q$161),2),"")</f>
        <v/>
      </c>
      <c r="R22" s="56" t="str">
        <f>IFERROR(ROUND(CORREL('Returns (Calc)'!$U$3:$U$161,'Returns (Calc)'!$R$3:$R$161),2),"")</f>
        <v/>
      </c>
      <c r="S22" s="56" t="str">
        <f>IFERROR(ROUND(CORREL('Returns (Calc)'!$U$3:$U$161,'Returns (Calc)'!$S$3:$S$161),2),"")</f>
        <v/>
      </c>
      <c r="T22" s="56" t="str">
        <f>IFERROR(ROUND(CORREL('Returns (Calc)'!$U$3:$U$161,'Returns (Calc)'!$T$3:$T$161),2),"")</f>
        <v/>
      </c>
      <c r="U22" s="56">
        <v>1</v>
      </c>
      <c r="V22" s="44">
        <f t="shared" si="0"/>
        <v>0</v>
      </c>
    </row>
    <row r="24" spans="1:22" ht="15" customHeight="1" x14ac:dyDescent="0.2">
      <c r="A24" s="71" t="s">
        <v>279</v>
      </c>
      <c r="B24" s="72">
        <f>COUNTIF(V3:V22,"&gt;1")</f>
        <v>4</v>
      </c>
    </row>
    <row r="25" spans="1:22" ht="15" customHeight="1" x14ac:dyDescent="0.2">
      <c r="A25" s="71" t="s">
        <v>280</v>
      </c>
      <c r="B25" s="45" t="str">
        <f>IF(B24&gt;0,"REVIEW REQUIRED","OK")</f>
        <v>REVIEW REQUIRED</v>
      </c>
    </row>
  </sheetData>
  <mergeCells count="1">
    <mergeCell ref="A1:V1"/>
  </mergeCells>
  <conditionalFormatting sqref="B25">
    <cfRule type="cellIs" dxfId="31" priority="4" operator="equal">
      <formula>"REVIEW REQUIRED"</formula>
    </cfRule>
    <cfRule type="cellIs" dxfId="30" priority="5" operator="equal">
      <formula>"OK"</formula>
    </cfRule>
  </conditionalFormatting>
  <conditionalFormatting sqref="B3:U22">
    <cfRule type="expression" dxfId="29" priority="2">
      <formula>AND(B3&lt;&gt;1,ABS(B3)&gt;0.7)</formula>
    </cfRule>
  </conditionalFormatting>
  <conditionalFormatting sqref="V3:V22">
    <cfRule type="cellIs" dxfId="28" priority="3" operator="greaterThan">
      <formula>1</formula>
    </cfRule>
  </conditionalFormatting>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2" customWidth="1"/>
    <col min="2" max="3" width="15" customWidth="1"/>
    <col min="4" max="4" width="12" customWidth="1"/>
    <col min="5" max="6" width="13" customWidth="1"/>
    <col min="7" max="7" width="22" customWidth="1"/>
    <col min="8" max="8" width="30" customWidth="1"/>
  </cols>
  <sheetData>
    <row r="1" spans="1:8" ht="15" customHeight="1" x14ac:dyDescent="0.2">
      <c r="A1" s="6" t="s">
        <v>281</v>
      </c>
      <c r="B1" s="6"/>
      <c r="C1" s="6"/>
      <c r="D1" s="6"/>
      <c r="E1" s="6"/>
      <c r="F1" s="6"/>
      <c r="G1" s="6"/>
      <c r="H1" s="6"/>
    </row>
    <row r="2" spans="1:8" ht="21.75" customHeight="1" x14ac:dyDescent="0.2">
      <c r="A2" s="49" t="s">
        <v>282</v>
      </c>
      <c r="B2" s="49" t="s">
        <v>283</v>
      </c>
      <c r="C2" s="49" t="s">
        <v>284</v>
      </c>
      <c r="D2" s="49" t="s">
        <v>285</v>
      </c>
      <c r="E2" s="49" t="s">
        <v>286</v>
      </c>
      <c r="F2" s="49" t="s">
        <v>287</v>
      </c>
      <c r="G2" s="49" t="s">
        <v>288</v>
      </c>
      <c r="H2" s="49" t="s">
        <v>158</v>
      </c>
    </row>
    <row r="3" spans="1:8" ht="15" customHeight="1" x14ac:dyDescent="0.2">
      <c r="A3" s="47">
        <v>46245</v>
      </c>
      <c r="B3" s="24">
        <v>700739.19</v>
      </c>
      <c r="C3" s="73">
        <f>IF(B3="","",B3)</f>
        <v>700739.19</v>
      </c>
      <c r="D3" s="74">
        <f t="shared" ref="D3:D42" si="0">IF(OR(B3="",C3=""),"",B3/C3-1)</f>
        <v>0</v>
      </c>
      <c r="E3" s="61" t="str">
        <f t="shared" ref="E3:E42" si="1">IF(D3="","",IF(D3&gt;=-0.1,"Normal",IF(D3&gt;=-0.2,"Elevated",IF(D3&gt;=-0.3,"Severe","Critical"))))</f>
        <v>Normal</v>
      </c>
      <c r="F3" s="50" t="str">
        <f t="shared" ref="F3:F42" si="2">IF(E3="","",IF(E3="Normal","5-15%",IF(E3="Elevated","15%",IF(E3="Severe","20%","25%"))))</f>
        <v>5-15%</v>
      </c>
      <c r="G3" s="50" t="str">
        <f t="shared" ref="G3:G42" si="3">IF(E3="","",IF(E3="Normal","Standard (score &gt;=65)",IF(E3="Elevated","Restricted (score &gt;=80 only)","Suspended")))</f>
        <v>Standard (score &gt;=65)</v>
      </c>
      <c r="H3" s="59"/>
    </row>
    <row r="4" spans="1:8" ht="15" customHeight="1" x14ac:dyDescent="0.2">
      <c r="A4" s="47"/>
      <c r="B4" s="24"/>
      <c r="C4" s="73" t="str">
        <f t="shared" ref="C4:C42" si="4">IF(B4="","",MAX(C3,B4))</f>
        <v/>
      </c>
      <c r="D4" s="74" t="str">
        <f t="shared" si="0"/>
        <v/>
      </c>
      <c r="E4" s="61" t="str">
        <f t="shared" si="1"/>
        <v/>
      </c>
      <c r="F4" s="50" t="str">
        <f t="shared" si="2"/>
        <v/>
      </c>
      <c r="G4" s="50" t="str">
        <f t="shared" si="3"/>
        <v/>
      </c>
      <c r="H4" s="59"/>
    </row>
    <row r="5" spans="1:8" ht="15" customHeight="1" x14ac:dyDescent="0.2">
      <c r="A5" s="47"/>
      <c r="B5" s="24"/>
      <c r="C5" s="73" t="str">
        <f t="shared" si="4"/>
        <v/>
      </c>
      <c r="D5" s="74" t="str">
        <f t="shared" si="0"/>
        <v/>
      </c>
      <c r="E5" s="61" t="str">
        <f t="shared" si="1"/>
        <v/>
      </c>
      <c r="F5" s="50" t="str">
        <f t="shared" si="2"/>
        <v/>
      </c>
      <c r="G5" s="50" t="str">
        <f t="shared" si="3"/>
        <v/>
      </c>
      <c r="H5" s="59"/>
    </row>
    <row r="6" spans="1:8" ht="15" customHeight="1" x14ac:dyDescent="0.2">
      <c r="A6" s="47"/>
      <c r="B6" s="24"/>
      <c r="C6" s="73" t="str">
        <f t="shared" si="4"/>
        <v/>
      </c>
      <c r="D6" s="74" t="str">
        <f t="shared" si="0"/>
        <v/>
      </c>
      <c r="E6" s="61" t="str">
        <f t="shared" si="1"/>
        <v/>
      </c>
      <c r="F6" s="50" t="str">
        <f t="shared" si="2"/>
        <v/>
      </c>
      <c r="G6" s="50" t="str">
        <f t="shared" si="3"/>
        <v/>
      </c>
      <c r="H6" s="59"/>
    </row>
    <row r="7" spans="1:8" ht="15" customHeight="1" x14ac:dyDescent="0.2">
      <c r="A7" s="47"/>
      <c r="B7" s="24"/>
      <c r="C7" s="73" t="str">
        <f t="shared" si="4"/>
        <v/>
      </c>
      <c r="D7" s="74" t="str">
        <f t="shared" si="0"/>
        <v/>
      </c>
      <c r="E7" s="61" t="str">
        <f t="shared" si="1"/>
        <v/>
      </c>
      <c r="F7" s="50" t="str">
        <f t="shared" si="2"/>
        <v/>
      </c>
      <c r="G7" s="50" t="str">
        <f t="shared" si="3"/>
        <v/>
      </c>
      <c r="H7" s="59"/>
    </row>
    <row r="8" spans="1:8" ht="15" customHeight="1" x14ac:dyDescent="0.2">
      <c r="A8" s="47"/>
      <c r="B8" s="24"/>
      <c r="C8" s="73" t="str">
        <f t="shared" si="4"/>
        <v/>
      </c>
      <c r="D8" s="74" t="str">
        <f t="shared" si="0"/>
        <v/>
      </c>
      <c r="E8" s="61" t="str">
        <f t="shared" si="1"/>
        <v/>
      </c>
      <c r="F8" s="50" t="str">
        <f t="shared" si="2"/>
        <v/>
      </c>
      <c r="G8" s="50" t="str">
        <f t="shared" si="3"/>
        <v/>
      </c>
      <c r="H8" s="59"/>
    </row>
    <row r="9" spans="1:8" ht="15" customHeight="1" x14ac:dyDescent="0.2">
      <c r="A9" s="47"/>
      <c r="B9" s="24"/>
      <c r="C9" s="73" t="str">
        <f t="shared" si="4"/>
        <v/>
      </c>
      <c r="D9" s="74" t="str">
        <f t="shared" si="0"/>
        <v/>
      </c>
      <c r="E9" s="61" t="str">
        <f t="shared" si="1"/>
        <v/>
      </c>
      <c r="F9" s="50" t="str">
        <f t="shared" si="2"/>
        <v/>
      </c>
      <c r="G9" s="50" t="str">
        <f t="shared" si="3"/>
        <v/>
      </c>
      <c r="H9" s="59"/>
    </row>
    <row r="10" spans="1:8" ht="15" customHeight="1" x14ac:dyDescent="0.2">
      <c r="A10" s="47"/>
      <c r="B10" s="24"/>
      <c r="C10" s="73" t="str">
        <f t="shared" si="4"/>
        <v/>
      </c>
      <c r="D10" s="74" t="str">
        <f t="shared" si="0"/>
        <v/>
      </c>
      <c r="E10" s="61" t="str">
        <f t="shared" si="1"/>
        <v/>
      </c>
      <c r="F10" s="50" t="str">
        <f t="shared" si="2"/>
        <v/>
      </c>
      <c r="G10" s="50" t="str">
        <f t="shared" si="3"/>
        <v/>
      </c>
      <c r="H10" s="59"/>
    </row>
    <row r="11" spans="1:8" ht="15" customHeight="1" x14ac:dyDescent="0.2">
      <c r="A11" s="47"/>
      <c r="B11" s="24"/>
      <c r="C11" s="73" t="str">
        <f t="shared" si="4"/>
        <v/>
      </c>
      <c r="D11" s="74" t="str">
        <f t="shared" si="0"/>
        <v/>
      </c>
      <c r="E11" s="61" t="str">
        <f t="shared" si="1"/>
        <v/>
      </c>
      <c r="F11" s="50" t="str">
        <f t="shared" si="2"/>
        <v/>
      </c>
      <c r="G11" s="50" t="str">
        <f t="shared" si="3"/>
        <v/>
      </c>
      <c r="H11" s="59"/>
    </row>
    <row r="12" spans="1:8" ht="15" customHeight="1" x14ac:dyDescent="0.2">
      <c r="A12" s="47"/>
      <c r="B12" s="24"/>
      <c r="C12" s="73" t="str">
        <f t="shared" si="4"/>
        <v/>
      </c>
      <c r="D12" s="74" t="str">
        <f t="shared" si="0"/>
        <v/>
      </c>
      <c r="E12" s="61" t="str">
        <f t="shared" si="1"/>
        <v/>
      </c>
      <c r="F12" s="50" t="str">
        <f t="shared" si="2"/>
        <v/>
      </c>
      <c r="G12" s="50" t="str">
        <f t="shared" si="3"/>
        <v/>
      </c>
      <c r="H12" s="59"/>
    </row>
    <row r="13" spans="1:8" ht="15" customHeight="1" x14ac:dyDescent="0.2">
      <c r="A13" s="47"/>
      <c r="B13" s="24"/>
      <c r="C13" s="73" t="str">
        <f t="shared" si="4"/>
        <v/>
      </c>
      <c r="D13" s="74" t="str">
        <f t="shared" si="0"/>
        <v/>
      </c>
      <c r="E13" s="61" t="str">
        <f t="shared" si="1"/>
        <v/>
      </c>
      <c r="F13" s="50" t="str">
        <f t="shared" si="2"/>
        <v/>
      </c>
      <c r="G13" s="50" t="str">
        <f t="shared" si="3"/>
        <v/>
      </c>
      <c r="H13" s="59"/>
    </row>
    <row r="14" spans="1:8" ht="15" customHeight="1" x14ac:dyDescent="0.2">
      <c r="A14" s="47"/>
      <c r="B14" s="24"/>
      <c r="C14" s="73" t="str">
        <f t="shared" si="4"/>
        <v/>
      </c>
      <c r="D14" s="74" t="str">
        <f t="shared" si="0"/>
        <v/>
      </c>
      <c r="E14" s="61" t="str">
        <f t="shared" si="1"/>
        <v/>
      </c>
      <c r="F14" s="50" t="str">
        <f t="shared" si="2"/>
        <v/>
      </c>
      <c r="G14" s="50" t="str">
        <f t="shared" si="3"/>
        <v/>
      </c>
      <c r="H14" s="59"/>
    </row>
    <row r="15" spans="1:8" ht="15" customHeight="1" x14ac:dyDescent="0.2">
      <c r="A15" s="47"/>
      <c r="B15" s="24"/>
      <c r="C15" s="73" t="str">
        <f t="shared" si="4"/>
        <v/>
      </c>
      <c r="D15" s="74" t="str">
        <f t="shared" si="0"/>
        <v/>
      </c>
      <c r="E15" s="61" t="str">
        <f t="shared" si="1"/>
        <v/>
      </c>
      <c r="F15" s="50" t="str">
        <f t="shared" si="2"/>
        <v/>
      </c>
      <c r="G15" s="50" t="str">
        <f t="shared" si="3"/>
        <v/>
      </c>
      <c r="H15" s="59"/>
    </row>
    <row r="16" spans="1:8" ht="15" customHeight="1" x14ac:dyDescent="0.2">
      <c r="A16" s="47"/>
      <c r="B16" s="24"/>
      <c r="C16" s="73" t="str">
        <f t="shared" si="4"/>
        <v/>
      </c>
      <c r="D16" s="74" t="str">
        <f t="shared" si="0"/>
        <v/>
      </c>
      <c r="E16" s="61" t="str">
        <f t="shared" si="1"/>
        <v/>
      </c>
      <c r="F16" s="50" t="str">
        <f t="shared" si="2"/>
        <v/>
      </c>
      <c r="G16" s="50" t="str">
        <f t="shared" si="3"/>
        <v/>
      </c>
      <c r="H16" s="59"/>
    </row>
    <row r="17" spans="1:8" ht="15" customHeight="1" x14ac:dyDescent="0.2">
      <c r="A17" s="47"/>
      <c r="B17" s="24"/>
      <c r="C17" s="73" t="str">
        <f t="shared" si="4"/>
        <v/>
      </c>
      <c r="D17" s="74" t="str">
        <f t="shared" si="0"/>
        <v/>
      </c>
      <c r="E17" s="61" t="str">
        <f t="shared" si="1"/>
        <v/>
      </c>
      <c r="F17" s="50" t="str">
        <f t="shared" si="2"/>
        <v/>
      </c>
      <c r="G17" s="50" t="str">
        <f t="shared" si="3"/>
        <v/>
      </c>
      <c r="H17" s="59"/>
    </row>
    <row r="18" spans="1:8" ht="15" customHeight="1" x14ac:dyDescent="0.2">
      <c r="A18" s="47"/>
      <c r="B18" s="24"/>
      <c r="C18" s="73" t="str">
        <f t="shared" si="4"/>
        <v/>
      </c>
      <c r="D18" s="74" t="str">
        <f t="shared" si="0"/>
        <v/>
      </c>
      <c r="E18" s="61" t="str">
        <f t="shared" si="1"/>
        <v/>
      </c>
      <c r="F18" s="50" t="str">
        <f t="shared" si="2"/>
        <v/>
      </c>
      <c r="G18" s="50" t="str">
        <f t="shared" si="3"/>
        <v/>
      </c>
      <c r="H18" s="59"/>
    </row>
    <row r="19" spans="1:8" ht="15" customHeight="1" x14ac:dyDescent="0.2">
      <c r="A19" s="47"/>
      <c r="B19" s="24"/>
      <c r="C19" s="73" t="str">
        <f t="shared" si="4"/>
        <v/>
      </c>
      <c r="D19" s="74" t="str">
        <f t="shared" si="0"/>
        <v/>
      </c>
      <c r="E19" s="61" t="str">
        <f t="shared" si="1"/>
        <v/>
      </c>
      <c r="F19" s="50" t="str">
        <f t="shared" si="2"/>
        <v/>
      </c>
      <c r="G19" s="50" t="str">
        <f t="shared" si="3"/>
        <v/>
      </c>
      <c r="H19" s="59"/>
    </row>
    <row r="20" spans="1:8" ht="15" customHeight="1" x14ac:dyDescent="0.2">
      <c r="A20" s="47"/>
      <c r="B20" s="24"/>
      <c r="C20" s="73" t="str">
        <f t="shared" si="4"/>
        <v/>
      </c>
      <c r="D20" s="74" t="str">
        <f t="shared" si="0"/>
        <v/>
      </c>
      <c r="E20" s="61" t="str">
        <f t="shared" si="1"/>
        <v/>
      </c>
      <c r="F20" s="50" t="str">
        <f t="shared" si="2"/>
        <v/>
      </c>
      <c r="G20" s="50" t="str">
        <f t="shared" si="3"/>
        <v/>
      </c>
      <c r="H20" s="59"/>
    </row>
    <row r="21" spans="1:8" ht="15" customHeight="1" x14ac:dyDescent="0.2">
      <c r="A21" s="47"/>
      <c r="B21" s="24"/>
      <c r="C21" s="73" t="str">
        <f t="shared" si="4"/>
        <v/>
      </c>
      <c r="D21" s="74" t="str">
        <f t="shared" si="0"/>
        <v/>
      </c>
      <c r="E21" s="61" t="str">
        <f t="shared" si="1"/>
        <v/>
      </c>
      <c r="F21" s="50" t="str">
        <f t="shared" si="2"/>
        <v/>
      </c>
      <c r="G21" s="50" t="str">
        <f t="shared" si="3"/>
        <v/>
      </c>
      <c r="H21" s="59"/>
    </row>
    <row r="22" spans="1:8" ht="15" customHeight="1" x14ac:dyDescent="0.2">
      <c r="A22" s="47"/>
      <c r="B22" s="24"/>
      <c r="C22" s="73" t="str">
        <f t="shared" si="4"/>
        <v/>
      </c>
      <c r="D22" s="74" t="str">
        <f t="shared" si="0"/>
        <v/>
      </c>
      <c r="E22" s="61" t="str">
        <f t="shared" si="1"/>
        <v/>
      </c>
      <c r="F22" s="50" t="str">
        <f t="shared" si="2"/>
        <v/>
      </c>
      <c r="G22" s="50" t="str">
        <f t="shared" si="3"/>
        <v/>
      </c>
      <c r="H22" s="59"/>
    </row>
    <row r="23" spans="1:8" ht="15" customHeight="1" x14ac:dyDescent="0.2">
      <c r="A23" s="47"/>
      <c r="B23" s="24"/>
      <c r="C23" s="73" t="str">
        <f t="shared" si="4"/>
        <v/>
      </c>
      <c r="D23" s="74" t="str">
        <f t="shared" si="0"/>
        <v/>
      </c>
      <c r="E23" s="61" t="str">
        <f t="shared" si="1"/>
        <v/>
      </c>
      <c r="F23" s="50" t="str">
        <f t="shared" si="2"/>
        <v/>
      </c>
      <c r="G23" s="50" t="str">
        <f t="shared" si="3"/>
        <v/>
      </c>
      <c r="H23" s="59"/>
    </row>
    <row r="24" spans="1:8" ht="15" customHeight="1" x14ac:dyDescent="0.2">
      <c r="A24" s="47"/>
      <c r="B24" s="24"/>
      <c r="C24" s="73" t="str">
        <f t="shared" si="4"/>
        <v/>
      </c>
      <c r="D24" s="74" t="str">
        <f t="shared" si="0"/>
        <v/>
      </c>
      <c r="E24" s="61" t="str">
        <f t="shared" si="1"/>
        <v/>
      </c>
      <c r="F24" s="50" t="str">
        <f t="shared" si="2"/>
        <v/>
      </c>
      <c r="G24" s="50" t="str">
        <f t="shared" si="3"/>
        <v/>
      </c>
      <c r="H24" s="59"/>
    </row>
    <row r="25" spans="1:8" ht="15" customHeight="1" x14ac:dyDescent="0.2">
      <c r="A25" s="47"/>
      <c r="B25" s="24"/>
      <c r="C25" s="73" t="str">
        <f t="shared" si="4"/>
        <v/>
      </c>
      <c r="D25" s="74" t="str">
        <f t="shared" si="0"/>
        <v/>
      </c>
      <c r="E25" s="61" t="str">
        <f t="shared" si="1"/>
        <v/>
      </c>
      <c r="F25" s="50" t="str">
        <f t="shared" si="2"/>
        <v/>
      </c>
      <c r="G25" s="50" t="str">
        <f t="shared" si="3"/>
        <v/>
      </c>
      <c r="H25" s="59"/>
    </row>
    <row r="26" spans="1:8" ht="15" customHeight="1" x14ac:dyDescent="0.2">
      <c r="A26" s="47"/>
      <c r="B26" s="24"/>
      <c r="C26" s="73" t="str">
        <f t="shared" si="4"/>
        <v/>
      </c>
      <c r="D26" s="74" t="str">
        <f t="shared" si="0"/>
        <v/>
      </c>
      <c r="E26" s="61" t="str">
        <f t="shared" si="1"/>
        <v/>
      </c>
      <c r="F26" s="50" t="str">
        <f t="shared" si="2"/>
        <v/>
      </c>
      <c r="G26" s="50" t="str">
        <f t="shared" si="3"/>
        <v/>
      </c>
      <c r="H26" s="59"/>
    </row>
    <row r="27" spans="1:8" ht="15" customHeight="1" x14ac:dyDescent="0.2">
      <c r="A27" s="47"/>
      <c r="B27" s="24"/>
      <c r="C27" s="73" t="str">
        <f t="shared" si="4"/>
        <v/>
      </c>
      <c r="D27" s="74" t="str">
        <f t="shared" si="0"/>
        <v/>
      </c>
      <c r="E27" s="61" t="str">
        <f t="shared" si="1"/>
        <v/>
      </c>
      <c r="F27" s="50" t="str">
        <f t="shared" si="2"/>
        <v/>
      </c>
      <c r="G27" s="50" t="str">
        <f t="shared" si="3"/>
        <v/>
      </c>
      <c r="H27" s="59"/>
    </row>
    <row r="28" spans="1:8" ht="15" customHeight="1" x14ac:dyDescent="0.2">
      <c r="A28" s="47"/>
      <c r="B28" s="24"/>
      <c r="C28" s="73" t="str">
        <f t="shared" si="4"/>
        <v/>
      </c>
      <c r="D28" s="74" t="str">
        <f t="shared" si="0"/>
        <v/>
      </c>
      <c r="E28" s="61" t="str">
        <f t="shared" si="1"/>
        <v/>
      </c>
      <c r="F28" s="50" t="str">
        <f t="shared" si="2"/>
        <v/>
      </c>
      <c r="G28" s="50" t="str">
        <f t="shared" si="3"/>
        <v/>
      </c>
      <c r="H28" s="59"/>
    </row>
    <row r="29" spans="1:8" ht="15" customHeight="1" x14ac:dyDescent="0.2">
      <c r="A29" s="47"/>
      <c r="B29" s="24"/>
      <c r="C29" s="73" t="str">
        <f t="shared" si="4"/>
        <v/>
      </c>
      <c r="D29" s="74" t="str">
        <f t="shared" si="0"/>
        <v/>
      </c>
      <c r="E29" s="61" t="str">
        <f t="shared" si="1"/>
        <v/>
      </c>
      <c r="F29" s="50" t="str">
        <f t="shared" si="2"/>
        <v/>
      </c>
      <c r="G29" s="50" t="str">
        <f t="shared" si="3"/>
        <v/>
      </c>
      <c r="H29" s="59"/>
    </row>
    <row r="30" spans="1:8" ht="15" customHeight="1" x14ac:dyDescent="0.2">
      <c r="A30" s="47"/>
      <c r="B30" s="24"/>
      <c r="C30" s="73" t="str">
        <f t="shared" si="4"/>
        <v/>
      </c>
      <c r="D30" s="74" t="str">
        <f t="shared" si="0"/>
        <v/>
      </c>
      <c r="E30" s="61" t="str">
        <f t="shared" si="1"/>
        <v/>
      </c>
      <c r="F30" s="50" t="str">
        <f t="shared" si="2"/>
        <v/>
      </c>
      <c r="G30" s="50" t="str">
        <f t="shared" si="3"/>
        <v/>
      </c>
      <c r="H30" s="59"/>
    </row>
    <row r="31" spans="1:8" ht="15" customHeight="1" x14ac:dyDescent="0.2">
      <c r="A31" s="47"/>
      <c r="B31" s="24"/>
      <c r="C31" s="73" t="str">
        <f t="shared" si="4"/>
        <v/>
      </c>
      <c r="D31" s="74" t="str">
        <f t="shared" si="0"/>
        <v/>
      </c>
      <c r="E31" s="61" t="str">
        <f t="shared" si="1"/>
        <v/>
      </c>
      <c r="F31" s="50" t="str">
        <f t="shared" si="2"/>
        <v/>
      </c>
      <c r="G31" s="50" t="str">
        <f t="shared" si="3"/>
        <v/>
      </c>
      <c r="H31" s="59"/>
    </row>
    <row r="32" spans="1:8" ht="15" customHeight="1" x14ac:dyDescent="0.2">
      <c r="A32" s="47"/>
      <c r="B32" s="24"/>
      <c r="C32" s="73" t="str">
        <f t="shared" si="4"/>
        <v/>
      </c>
      <c r="D32" s="74" t="str">
        <f t="shared" si="0"/>
        <v/>
      </c>
      <c r="E32" s="61" t="str">
        <f t="shared" si="1"/>
        <v/>
      </c>
      <c r="F32" s="50" t="str">
        <f t="shared" si="2"/>
        <v/>
      </c>
      <c r="G32" s="50" t="str">
        <f t="shared" si="3"/>
        <v/>
      </c>
      <c r="H32" s="59"/>
    </row>
    <row r="33" spans="1:8" ht="15" customHeight="1" x14ac:dyDescent="0.2">
      <c r="A33" s="47"/>
      <c r="B33" s="24"/>
      <c r="C33" s="73" t="str">
        <f t="shared" si="4"/>
        <v/>
      </c>
      <c r="D33" s="74" t="str">
        <f t="shared" si="0"/>
        <v/>
      </c>
      <c r="E33" s="61" t="str">
        <f t="shared" si="1"/>
        <v/>
      </c>
      <c r="F33" s="50" t="str">
        <f t="shared" si="2"/>
        <v/>
      </c>
      <c r="G33" s="50" t="str">
        <f t="shared" si="3"/>
        <v/>
      </c>
      <c r="H33" s="59"/>
    </row>
    <row r="34" spans="1:8" ht="15" customHeight="1" x14ac:dyDescent="0.2">
      <c r="A34" s="47"/>
      <c r="B34" s="24"/>
      <c r="C34" s="73" t="str">
        <f t="shared" si="4"/>
        <v/>
      </c>
      <c r="D34" s="74" t="str">
        <f t="shared" si="0"/>
        <v/>
      </c>
      <c r="E34" s="61" t="str">
        <f t="shared" si="1"/>
        <v/>
      </c>
      <c r="F34" s="50" t="str">
        <f t="shared" si="2"/>
        <v/>
      </c>
      <c r="G34" s="50" t="str">
        <f t="shared" si="3"/>
        <v/>
      </c>
      <c r="H34" s="59"/>
    </row>
    <row r="35" spans="1:8" ht="15" customHeight="1" x14ac:dyDescent="0.2">
      <c r="A35" s="47"/>
      <c r="B35" s="24"/>
      <c r="C35" s="73" t="str">
        <f t="shared" si="4"/>
        <v/>
      </c>
      <c r="D35" s="74" t="str">
        <f t="shared" si="0"/>
        <v/>
      </c>
      <c r="E35" s="61" t="str">
        <f t="shared" si="1"/>
        <v/>
      </c>
      <c r="F35" s="50" t="str">
        <f t="shared" si="2"/>
        <v/>
      </c>
      <c r="G35" s="50" t="str">
        <f t="shared" si="3"/>
        <v/>
      </c>
      <c r="H35" s="59"/>
    </row>
    <row r="36" spans="1:8" ht="15" customHeight="1" x14ac:dyDescent="0.2">
      <c r="A36" s="47"/>
      <c r="B36" s="24"/>
      <c r="C36" s="73" t="str">
        <f t="shared" si="4"/>
        <v/>
      </c>
      <c r="D36" s="74" t="str">
        <f t="shared" si="0"/>
        <v/>
      </c>
      <c r="E36" s="61" t="str">
        <f t="shared" si="1"/>
        <v/>
      </c>
      <c r="F36" s="50" t="str">
        <f t="shared" si="2"/>
        <v/>
      </c>
      <c r="G36" s="50" t="str">
        <f t="shared" si="3"/>
        <v/>
      </c>
      <c r="H36" s="59"/>
    </row>
    <row r="37" spans="1:8" ht="15" customHeight="1" x14ac:dyDescent="0.2">
      <c r="A37" s="47"/>
      <c r="B37" s="24"/>
      <c r="C37" s="73" t="str">
        <f t="shared" si="4"/>
        <v/>
      </c>
      <c r="D37" s="74" t="str">
        <f t="shared" si="0"/>
        <v/>
      </c>
      <c r="E37" s="61" t="str">
        <f t="shared" si="1"/>
        <v/>
      </c>
      <c r="F37" s="50" t="str">
        <f t="shared" si="2"/>
        <v/>
      </c>
      <c r="G37" s="50" t="str">
        <f t="shared" si="3"/>
        <v/>
      </c>
      <c r="H37" s="59"/>
    </row>
    <row r="38" spans="1:8" ht="15" customHeight="1" x14ac:dyDescent="0.2">
      <c r="A38" s="47"/>
      <c r="B38" s="24"/>
      <c r="C38" s="73" t="str">
        <f t="shared" si="4"/>
        <v/>
      </c>
      <c r="D38" s="74" t="str">
        <f t="shared" si="0"/>
        <v/>
      </c>
      <c r="E38" s="61" t="str">
        <f t="shared" si="1"/>
        <v/>
      </c>
      <c r="F38" s="50" t="str">
        <f t="shared" si="2"/>
        <v/>
      </c>
      <c r="G38" s="50" t="str">
        <f t="shared" si="3"/>
        <v/>
      </c>
      <c r="H38" s="59"/>
    </row>
    <row r="39" spans="1:8" ht="15" customHeight="1" x14ac:dyDescent="0.2">
      <c r="A39" s="47"/>
      <c r="B39" s="24"/>
      <c r="C39" s="73" t="str">
        <f t="shared" si="4"/>
        <v/>
      </c>
      <c r="D39" s="74" t="str">
        <f t="shared" si="0"/>
        <v/>
      </c>
      <c r="E39" s="61" t="str">
        <f t="shared" si="1"/>
        <v/>
      </c>
      <c r="F39" s="50" t="str">
        <f t="shared" si="2"/>
        <v/>
      </c>
      <c r="G39" s="50" t="str">
        <f t="shared" si="3"/>
        <v/>
      </c>
      <c r="H39" s="59"/>
    </row>
    <row r="40" spans="1:8" ht="15" customHeight="1" x14ac:dyDescent="0.2">
      <c r="A40" s="47"/>
      <c r="B40" s="24"/>
      <c r="C40" s="73" t="str">
        <f t="shared" si="4"/>
        <v/>
      </c>
      <c r="D40" s="74" t="str">
        <f t="shared" si="0"/>
        <v/>
      </c>
      <c r="E40" s="61" t="str">
        <f t="shared" si="1"/>
        <v/>
      </c>
      <c r="F40" s="50" t="str">
        <f t="shared" si="2"/>
        <v/>
      </c>
      <c r="G40" s="50" t="str">
        <f t="shared" si="3"/>
        <v/>
      </c>
      <c r="H40" s="59"/>
    </row>
    <row r="41" spans="1:8" ht="15" customHeight="1" x14ac:dyDescent="0.2">
      <c r="A41" s="47"/>
      <c r="B41" s="24"/>
      <c r="C41" s="73" t="str">
        <f t="shared" si="4"/>
        <v/>
      </c>
      <c r="D41" s="74" t="str">
        <f t="shared" si="0"/>
        <v/>
      </c>
      <c r="E41" s="61" t="str">
        <f t="shared" si="1"/>
        <v/>
      </c>
      <c r="F41" s="50" t="str">
        <f t="shared" si="2"/>
        <v/>
      </c>
      <c r="G41" s="50" t="str">
        <f t="shared" si="3"/>
        <v/>
      </c>
      <c r="H41" s="59"/>
    </row>
    <row r="42" spans="1:8" ht="15" customHeight="1" x14ac:dyDescent="0.2">
      <c r="A42" s="47"/>
      <c r="B42" s="24"/>
      <c r="C42" s="73" t="str">
        <f t="shared" si="4"/>
        <v/>
      </c>
      <c r="D42" s="74" t="str">
        <f t="shared" si="0"/>
        <v/>
      </c>
      <c r="E42" s="61" t="str">
        <f t="shared" si="1"/>
        <v/>
      </c>
      <c r="F42" s="50" t="str">
        <f t="shared" si="2"/>
        <v/>
      </c>
      <c r="G42" s="50" t="str">
        <f t="shared" si="3"/>
        <v/>
      </c>
      <c r="H42" s="59"/>
    </row>
  </sheetData>
  <mergeCells count="1">
    <mergeCell ref="A1:H1"/>
  </mergeCells>
  <conditionalFormatting sqref="E3:E42">
    <cfRule type="cellIs" dxfId="27" priority="2" operator="equal">
      <formula>"Normal"</formula>
    </cfRule>
    <cfRule type="cellIs" dxfId="26" priority="3" operator="equal">
      <formula>"Elevated"</formula>
    </cfRule>
    <cfRule type="cellIs" dxfId="25" priority="4" operator="equal">
      <formula>"Severe"</formula>
    </cfRule>
    <cfRule type="cellIs" dxfId="24" priority="5" operator="equal">
      <formula>"Critical"</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9" customWidth="1"/>
    <col min="2" max="2" width="16" customWidth="1"/>
    <col min="3" max="3" width="13" customWidth="1"/>
    <col min="4" max="4" width="12" customWidth="1"/>
    <col min="5" max="6" width="8" customWidth="1"/>
    <col min="7" max="9" width="12" customWidth="1"/>
    <col min="10" max="10" width="10" customWidth="1"/>
    <col min="11" max="11" width="20" customWidth="1"/>
    <col min="12" max="12" width="30" customWidth="1"/>
  </cols>
  <sheetData>
    <row r="1" spans="1:13" ht="25.5" customHeight="1" x14ac:dyDescent="0.2">
      <c r="A1" s="6" t="s">
        <v>289</v>
      </c>
      <c r="B1" s="6"/>
      <c r="C1" s="6"/>
      <c r="D1" s="6"/>
      <c r="E1" s="6"/>
      <c r="F1" s="6"/>
      <c r="G1" s="6"/>
      <c r="H1" s="6"/>
      <c r="I1" s="6"/>
      <c r="J1" s="6"/>
      <c r="K1" s="6"/>
      <c r="L1" s="6"/>
      <c r="M1" s="6"/>
    </row>
    <row r="2" spans="1:13" ht="33.75" customHeight="1" x14ac:dyDescent="0.2">
      <c r="A2" s="49" t="s">
        <v>57</v>
      </c>
      <c r="B2" s="49" t="s">
        <v>168</v>
      </c>
      <c r="C2" s="49" t="s">
        <v>290</v>
      </c>
      <c r="D2" s="49" t="s">
        <v>291</v>
      </c>
      <c r="E2" s="49" t="s">
        <v>292</v>
      </c>
      <c r="F2" s="49" t="s">
        <v>293</v>
      </c>
      <c r="G2" s="49" t="s">
        <v>294</v>
      </c>
      <c r="H2" s="49" t="s">
        <v>295</v>
      </c>
      <c r="I2" s="49" t="s">
        <v>296</v>
      </c>
      <c r="J2" s="49" t="s">
        <v>297</v>
      </c>
      <c r="K2" s="49" t="s">
        <v>298</v>
      </c>
      <c r="L2" s="49" t="s">
        <v>299</v>
      </c>
    </row>
    <row r="3" spans="1:13" ht="15" customHeight="1" x14ac:dyDescent="0.2">
      <c r="A3" s="59"/>
      <c r="B3" s="59"/>
      <c r="C3" s="59"/>
      <c r="D3" s="47"/>
      <c r="E3" s="59"/>
      <c r="F3" s="59"/>
      <c r="G3" s="47"/>
      <c r="H3" s="59"/>
      <c r="I3" s="52" t="str">
        <f t="shared" ref="I3:I22" si="0">IF(D3="","",D3+90)</f>
        <v/>
      </c>
      <c r="J3" s="75" t="str">
        <f t="shared" ref="J3:J22" ca="1" si="1">IF(I3="","",I3-TODAY())</f>
        <v/>
      </c>
      <c r="K3" s="61" t="str">
        <f t="shared" ref="K3:K22" si="2">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59"/>
    </row>
    <row r="4" spans="1:13" ht="15" customHeight="1" x14ac:dyDescent="0.2">
      <c r="A4" s="59"/>
      <c r="B4" s="59"/>
      <c r="C4" s="59"/>
      <c r="D4" s="47"/>
      <c r="E4" s="59"/>
      <c r="F4" s="59"/>
      <c r="G4" s="47"/>
      <c r="H4" s="59"/>
      <c r="I4" s="52" t="str">
        <f t="shared" si="0"/>
        <v/>
      </c>
      <c r="J4" s="75" t="str">
        <f t="shared" ca="1" si="1"/>
        <v/>
      </c>
      <c r="K4" s="61" t="str">
        <f t="shared" si="2"/>
        <v/>
      </c>
      <c r="L4" s="59"/>
    </row>
    <row r="5" spans="1:13" ht="15" customHeight="1" x14ac:dyDescent="0.2">
      <c r="A5" s="59"/>
      <c r="B5" s="59"/>
      <c r="C5" s="59"/>
      <c r="D5" s="47"/>
      <c r="E5" s="59"/>
      <c r="F5" s="59"/>
      <c r="G5" s="47"/>
      <c r="H5" s="59"/>
      <c r="I5" s="52" t="str">
        <f t="shared" si="0"/>
        <v/>
      </c>
      <c r="J5" s="75" t="str">
        <f t="shared" ca="1" si="1"/>
        <v/>
      </c>
      <c r="K5" s="61" t="str">
        <f t="shared" si="2"/>
        <v/>
      </c>
      <c r="L5" s="59"/>
    </row>
    <row r="6" spans="1:13" ht="15" customHeight="1" x14ac:dyDescent="0.2">
      <c r="A6" s="59"/>
      <c r="B6" s="59"/>
      <c r="C6" s="59"/>
      <c r="D6" s="47"/>
      <c r="E6" s="59"/>
      <c r="F6" s="59"/>
      <c r="G6" s="47"/>
      <c r="H6" s="59"/>
      <c r="I6" s="52" t="str">
        <f t="shared" si="0"/>
        <v/>
      </c>
      <c r="J6" s="75" t="str">
        <f t="shared" ca="1" si="1"/>
        <v/>
      </c>
      <c r="K6" s="61" t="str">
        <f t="shared" si="2"/>
        <v/>
      </c>
      <c r="L6" s="59"/>
    </row>
    <row r="7" spans="1:13" ht="15" customHeight="1" x14ac:dyDescent="0.2">
      <c r="A7" s="59"/>
      <c r="B7" s="59"/>
      <c r="C7" s="59"/>
      <c r="D7" s="47"/>
      <c r="E7" s="59"/>
      <c r="F7" s="59"/>
      <c r="G7" s="47"/>
      <c r="H7" s="59"/>
      <c r="I7" s="52" t="str">
        <f t="shared" si="0"/>
        <v/>
      </c>
      <c r="J7" s="75" t="str">
        <f t="shared" ca="1" si="1"/>
        <v/>
      </c>
      <c r="K7" s="61" t="str">
        <f t="shared" si="2"/>
        <v/>
      </c>
      <c r="L7" s="59"/>
    </row>
    <row r="8" spans="1:13" ht="15" customHeight="1" x14ac:dyDescent="0.2">
      <c r="A8" s="59"/>
      <c r="B8" s="59"/>
      <c r="C8" s="59"/>
      <c r="D8" s="47"/>
      <c r="E8" s="59"/>
      <c r="F8" s="59"/>
      <c r="G8" s="47"/>
      <c r="H8" s="59"/>
      <c r="I8" s="52" t="str">
        <f t="shared" si="0"/>
        <v/>
      </c>
      <c r="J8" s="75" t="str">
        <f t="shared" ca="1" si="1"/>
        <v/>
      </c>
      <c r="K8" s="61" t="str">
        <f t="shared" si="2"/>
        <v/>
      </c>
      <c r="L8" s="59"/>
    </row>
    <row r="9" spans="1:13" ht="15" customHeight="1" x14ac:dyDescent="0.2">
      <c r="A9" s="59"/>
      <c r="B9" s="59"/>
      <c r="C9" s="59"/>
      <c r="D9" s="47"/>
      <c r="E9" s="59"/>
      <c r="F9" s="59"/>
      <c r="G9" s="47"/>
      <c r="H9" s="59"/>
      <c r="I9" s="52" t="str">
        <f t="shared" si="0"/>
        <v/>
      </c>
      <c r="J9" s="75" t="str">
        <f t="shared" ca="1" si="1"/>
        <v/>
      </c>
      <c r="K9" s="61" t="str">
        <f t="shared" si="2"/>
        <v/>
      </c>
      <c r="L9" s="59"/>
    </row>
    <row r="10" spans="1:13" ht="15" customHeight="1" x14ac:dyDescent="0.2">
      <c r="A10" s="59"/>
      <c r="B10" s="59"/>
      <c r="C10" s="59"/>
      <c r="D10" s="47"/>
      <c r="E10" s="59"/>
      <c r="F10" s="59"/>
      <c r="G10" s="47"/>
      <c r="H10" s="59"/>
      <c r="I10" s="52" t="str">
        <f t="shared" si="0"/>
        <v/>
      </c>
      <c r="J10" s="75" t="str">
        <f t="shared" ca="1" si="1"/>
        <v/>
      </c>
      <c r="K10" s="61" t="str">
        <f t="shared" si="2"/>
        <v/>
      </c>
      <c r="L10" s="59"/>
    </row>
    <row r="11" spans="1:13" ht="15" customHeight="1" x14ac:dyDescent="0.2">
      <c r="A11" s="59"/>
      <c r="B11" s="59"/>
      <c r="C11" s="59"/>
      <c r="D11" s="47"/>
      <c r="E11" s="59"/>
      <c r="F11" s="59"/>
      <c r="G11" s="47"/>
      <c r="H11" s="59"/>
      <c r="I11" s="52" t="str">
        <f t="shared" si="0"/>
        <v/>
      </c>
      <c r="J11" s="75" t="str">
        <f t="shared" ca="1" si="1"/>
        <v/>
      </c>
      <c r="K11" s="61" t="str">
        <f t="shared" si="2"/>
        <v/>
      </c>
      <c r="L11" s="59"/>
    </row>
    <row r="12" spans="1:13" ht="15" customHeight="1" x14ac:dyDescent="0.2">
      <c r="A12" s="59"/>
      <c r="B12" s="59"/>
      <c r="C12" s="59"/>
      <c r="D12" s="47"/>
      <c r="E12" s="59"/>
      <c r="F12" s="59"/>
      <c r="G12" s="47"/>
      <c r="H12" s="59"/>
      <c r="I12" s="52" t="str">
        <f t="shared" si="0"/>
        <v/>
      </c>
      <c r="J12" s="75" t="str">
        <f t="shared" ca="1" si="1"/>
        <v/>
      </c>
      <c r="K12" s="61" t="str">
        <f t="shared" si="2"/>
        <v/>
      </c>
      <c r="L12" s="59"/>
    </row>
    <row r="13" spans="1:13" ht="15" customHeight="1" x14ac:dyDescent="0.2">
      <c r="A13" s="59"/>
      <c r="B13" s="59"/>
      <c r="C13" s="59"/>
      <c r="D13" s="47"/>
      <c r="E13" s="59"/>
      <c r="F13" s="59"/>
      <c r="G13" s="47"/>
      <c r="H13" s="59"/>
      <c r="I13" s="52" t="str">
        <f t="shared" si="0"/>
        <v/>
      </c>
      <c r="J13" s="75" t="str">
        <f t="shared" ca="1" si="1"/>
        <v/>
      </c>
      <c r="K13" s="61" t="str">
        <f t="shared" si="2"/>
        <v/>
      </c>
      <c r="L13" s="59"/>
    </row>
    <row r="14" spans="1:13" ht="15" customHeight="1" x14ac:dyDescent="0.2">
      <c r="A14" s="59"/>
      <c r="B14" s="59"/>
      <c r="C14" s="59"/>
      <c r="D14" s="47"/>
      <c r="E14" s="59"/>
      <c r="F14" s="59"/>
      <c r="G14" s="47"/>
      <c r="H14" s="59"/>
      <c r="I14" s="52" t="str">
        <f t="shared" si="0"/>
        <v/>
      </c>
      <c r="J14" s="75" t="str">
        <f t="shared" ca="1" si="1"/>
        <v/>
      </c>
      <c r="K14" s="61" t="str">
        <f t="shared" si="2"/>
        <v/>
      </c>
      <c r="L14" s="59"/>
    </row>
    <row r="15" spans="1:13" ht="15" customHeight="1" x14ac:dyDescent="0.2">
      <c r="A15" s="59"/>
      <c r="B15" s="59"/>
      <c r="C15" s="59"/>
      <c r="D15" s="47"/>
      <c r="E15" s="59"/>
      <c r="F15" s="59"/>
      <c r="G15" s="47"/>
      <c r="H15" s="59"/>
      <c r="I15" s="52" t="str">
        <f t="shared" si="0"/>
        <v/>
      </c>
      <c r="J15" s="75" t="str">
        <f t="shared" ca="1" si="1"/>
        <v/>
      </c>
      <c r="K15" s="61" t="str">
        <f t="shared" si="2"/>
        <v/>
      </c>
      <c r="L15" s="59"/>
    </row>
    <row r="16" spans="1:13" ht="15" customHeight="1" x14ac:dyDescent="0.2">
      <c r="A16" s="59"/>
      <c r="B16" s="59"/>
      <c r="C16" s="59"/>
      <c r="D16" s="47"/>
      <c r="E16" s="59"/>
      <c r="F16" s="59"/>
      <c r="G16" s="47"/>
      <c r="H16" s="59"/>
      <c r="I16" s="52" t="str">
        <f t="shared" si="0"/>
        <v/>
      </c>
      <c r="J16" s="75" t="str">
        <f t="shared" ca="1" si="1"/>
        <v/>
      </c>
      <c r="K16" s="61" t="str">
        <f t="shared" si="2"/>
        <v/>
      </c>
      <c r="L16" s="59"/>
    </row>
    <row r="17" spans="1:12" ht="15" customHeight="1" x14ac:dyDescent="0.2">
      <c r="A17" s="59"/>
      <c r="B17" s="59"/>
      <c r="C17" s="59"/>
      <c r="D17" s="47"/>
      <c r="E17" s="59"/>
      <c r="F17" s="59"/>
      <c r="G17" s="47"/>
      <c r="H17" s="59"/>
      <c r="I17" s="52" t="str">
        <f t="shared" si="0"/>
        <v/>
      </c>
      <c r="J17" s="75" t="str">
        <f t="shared" ca="1" si="1"/>
        <v/>
      </c>
      <c r="K17" s="61" t="str">
        <f t="shared" si="2"/>
        <v/>
      </c>
      <c r="L17" s="59"/>
    </row>
    <row r="18" spans="1:12" ht="15" customHeight="1" x14ac:dyDescent="0.2">
      <c r="A18" s="59"/>
      <c r="B18" s="59"/>
      <c r="C18" s="59"/>
      <c r="D18" s="47"/>
      <c r="E18" s="59"/>
      <c r="F18" s="59"/>
      <c r="G18" s="47"/>
      <c r="H18" s="59"/>
      <c r="I18" s="52" t="str">
        <f t="shared" si="0"/>
        <v/>
      </c>
      <c r="J18" s="75" t="str">
        <f t="shared" ca="1" si="1"/>
        <v/>
      </c>
      <c r="K18" s="61" t="str">
        <f t="shared" si="2"/>
        <v/>
      </c>
      <c r="L18" s="59"/>
    </row>
    <row r="19" spans="1:12" ht="15" customHeight="1" x14ac:dyDescent="0.2">
      <c r="A19" s="59"/>
      <c r="B19" s="59"/>
      <c r="C19" s="59"/>
      <c r="D19" s="47"/>
      <c r="E19" s="59"/>
      <c r="F19" s="59"/>
      <c r="G19" s="47"/>
      <c r="H19" s="59"/>
      <c r="I19" s="52" t="str">
        <f t="shared" si="0"/>
        <v/>
      </c>
      <c r="J19" s="75" t="str">
        <f t="shared" ca="1" si="1"/>
        <v/>
      </c>
      <c r="K19" s="61" t="str">
        <f t="shared" si="2"/>
        <v/>
      </c>
      <c r="L19" s="59"/>
    </row>
    <row r="20" spans="1:12" ht="15" customHeight="1" x14ac:dyDescent="0.2">
      <c r="A20" s="59"/>
      <c r="B20" s="59"/>
      <c r="C20" s="59"/>
      <c r="D20" s="47"/>
      <c r="E20" s="59"/>
      <c r="F20" s="59"/>
      <c r="G20" s="47"/>
      <c r="H20" s="59"/>
      <c r="I20" s="52" t="str">
        <f t="shared" si="0"/>
        <v/>
      </c>
      <c r="J20" s="75" t="str">
        <f t="shared" ca="1" si="1"/>
        <v/>
      </c>
      <c r="K20" s="61" t="str">
        <f t="shared" si="2"/>
        <v/>
      </c>
      <c r="L20" s="59"/>
    </row>
    <row r="21" spans="1:12" ht="15" customHeight="1" x14ac:dyDescent="0.2">
      <c r="A21" s="59"/>
      <c r="B21" s="59"/>
      <c r="C21" s="59"/>
      <c r="D21" s="47"/>
      <c r="E21" s="59"/>
      <c r="F21" s="59"/>
      <c r="G21" s="47"/>
      <c r="H21" s="59"/>
      <c r="I21" s="52" t="str">
        <f t="shared" si="0"/>
        <v/>
      </c>
      <c r="J21" s="75" t="str">
        <f t="shared" ca="1" si="1"/>
        <v/>
      </c>
      <c r="K21" s="61" t="str">
        <f t="shared" si="2"/>
        <v/>
      </c>
      <c r="L21" s="59"/>
    </row>
    <row r="22" spans="1:12" ht="15" customHeight="1" x14ac:dyDescent="0.2">
      <c r="A22" s="59"/>
      <c r="B22" s="59"/>
      <c r="C22" s="59"/>
      <c r="D22" s="47"/>
      <c r="E22" s="59"/>
      <c r="F22" s="59"/>
      <c r="G22" s="47"/>
      <c r="H22" s="59"/>
      <c r="I22" s="52" t="str">
        <f t="shared" si="0"/>
        <v/>
      </c>
      <c r="J22" s="75" t="str">
        <f t="shared" ca="1" si="1"/>
        <v/>
      </c>
      <c r="K22" s="61" t="str">
        <f t="shared" si="2"/>
        <v/>
      </c>
      <c r="L22" s="59"/>
    </row>
  </sheetData>
  <mergeCells count="1">
    <mergeCell ref="A1:M1"/>
  </mergeCells>
  <conditionalFormatting sqref="K3:K22">
    <cfRule type="expression" dxfId="23" priority="2">
      <formula>ISNUMBER(SEARCH("RECOVERED",K3))</formula>
    </cfRule>
    <cfRule type="expression" dxfId="22" priority="3">
      <formula>ISNUMBER(SEARCH("ON TRACK",K3))</formula>
    </cfRule>
    <cfRule type="expression" dxfId="21" priority="4">
      <formula>ISNUMBER(SEARCH("DEADLINE APPROACHING",K3))</formula>
    </cfRule>
    <cfRule type="expression" dxfId="20"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3"/>
  <sheetViews>
    <sheetView showGridLines="0" zoomScaleNormal="100" workbookViewId="0">
      <pane xSplit="3" ySplit="3" topLeftCell="D4" activePane="bottomRight" state="frozen"/>
      <selection pane="topRight" activeCell="D1" sqref="D1"/>
      <selection pane="bottomLeft" activeCell="A4" sqref="A4"/>
      <selection pane="bottomRight"/>
    </sheetView>
  </sheetViews>
  <sheetFormatPr baseColWidth="10" defaultColWidth="8.6640625" defaultRowHeight="15" x14ac:dyDescent="0.2"/>
  <cols>
    <col min="1" max="1" width="8" customWidth="1"/>
    <col min="2" max="2" width="14" customWidth="1"/>
    <col min="3" max="21" width="9.5" customWidth="1"/>
  </cols>
  <sheetData>
    <row r="1" spans="1:21" ht="25.5" customHeight="1" x14ac:dyDescent="0.2">
      <c r="A1" s="6" t="s">
        <v>300</v>
      </c>
      <c r="B1" s="6"/>
      <c r="C1" s="6"/>
      <c r="D1" s="6"/>
      <c r="E1" s="6"/>
      <c r="F1" s="6"/>
      <c r="G1" s="6"/>
      <c r="H1" s="6"/>
      <c r="I1" s="6"/>
      <c r="J1" s="6"/>
      <c r="K1" s="6"/>
      <c r="L1" s="6"/>
      <c r="M1" s="6"/>
      <c r="N1" s="6"/>
      <c r="O1" s="6"/>
      <c r="P1" s="6"/>
      <c r="Q1" s="6"/>
      <c r="R1" s="6"/>
      <c r="S1" s="6"/>
      <c r="T1" s="6"/>
    </row>
    <row r="2" spans="1:21" ht="15.75" customHeight="1" x14ac:dyDescent="0.2">
      <c r="D2" s="2" t="s">
        <v>301</v>
      </c>
      <c r="E2" s="2"/>
      <c r="F2" s="2"/>
      <c r="G2" s="2"/>
      <c r="H2" s="2"/>
      <c r="I2" s="1" t="s">
        <v>302</v>
      </c>
      <c r="J2" s="1"/>
      <c r="K2" s="1"/>
      <c r="L2" s="1"/>
      <c r="M2" s="1"/>
      <c r="N2" s="81" t="s">
        <v>303</v>
      </c>
      <c r="O2" s="81"/>
      <c r="P2" s="81"/>
      <c r="Q2" s="81"/>
      <c r="R2" s="81"/>
      <c r="S2" s="82" t="s">
        <v>304</v>
      </c>
      <c r="T2" s="82"/>
      <c r="U2" s="82"/>
    </row>
    <row r="3" spans="1:21" ht="30" customHeight="1" x14ac:dyDescent="0.2">
      <c r="A3" s="22" t="s">
        <v>57</v>
      </c>
      <c r="B3" s="22" t="s">
        <v>168</v>
      </c>
      <c r="C3" s="22" t="s">
        <v>305</v>
      </c>
      <c r="D3" s="22" t="s">
        <v>306</v>
      </c>
      <c r="E3" s="22" t="s">
        <v>307</v>
      </c>
      <c r="F3" s="22" t="s">
        <v>308</v>
      </c>
      <c r="G3" s="22" t="s">
        <v>309</v>
      </c>
      <c r="H3" s="22" t="s">
        <v>310</v>
      </c>
      <c r="I3" s="22" t="s">
        <v>306</v>
      </c>
      <c r="J3" s="22" t="s">
        <v>307</v>
      </c>
      <c r="K3" s="22" t="s">
        <v>308</v>
      </c>
      <c r="L3" s="22" t="s">
        <v>309</v>
      </c>
      <c r="M3" s="22" t="s">
        <v>310</v>
      </c>
      <c r="N3" s="22" t="s">
        <v>306</v>
      </c>
      <c r="O3" s="22" t="s">
        <v>307</v>
      </c>
      <c r="P3" s="22" t="s">
        <v>308</v>
      </c>
      <c r="Q3" s="22" t="s">
        <v>309</v>
      </c>
      <c r="R3" s="22" t="s">
        <v>310</v>
      </c>
      <c r="S3" s="22" t="s">
        <v>311</v>
      </c>
      <c r="T3" s="22" t="s">
        <v>312</v>
      </c>
      <c r="U3" s="22" t="s">
        <v>313</v>
      </c>
    </row>
    <row r="4" spans="1:21" ht="15" customHeight="1" x14ac:dyDescent="0.2">
      <c r="A4" s="26"/>
      <c r="B4" s="26"/>
      <c r="C4" s="41"/>
      <c r="D4" s="41"/>
      <c r="E4" s="63"/>
      <c r="F4" s="41"/>
      <c r="G4" s="42" t="str">
        <f t="shared" ref="G4:G23" si="0">IF(OR(C4="",D4="",E4="",F4=""),"",IFERROR(((D4*E4+F4)/C4)^(1/5)-1,"n/a"))</f>
        <v/>
      </c>
      <c r="H4" s="26"/>
      <c r="I4" s="41"/>
      <c r="J4" s="63"/>
      <c r="K4" s="41"/>
      <c r="L4" s="42" t="str">
        <f t="shared" ref="L4:L23" si="1">IF(OR(C4="",I4="",J4="",K4=""),"",IFERROR(((I4*J4+K4)/C4)^(1/5)-1,"n/a"))</f>
        <v/>
      </c>
      <c r="M4" s="26"/>
      <c r="N4" s="41"/>
      <c r="O4" s="63"/>
      <c r="P4" s="41"/>
      <c r="Q4" s="42" t="str">
        <f t="shared" ref="Q4:Q23" si="2">IF(OR(C4="",N4="",O4="",P4=""),"",IFERROR(((N4*O4+P4)/C4)^(1/5)-1,"n/a"))</f>
        <v/>
      </c>
      <c r="R4" s="26"/>
      <c r="S4" s="45" t="str">
        <f t="shared" ref="S4:S23" si="3">IF(G4="","",IF(G4&gt;0.1,"PASS","FAIL"))</f>
        <v/>
      </c>
      <c r="T4" s="45" t="str">
        <f t="shared" ref="T4:T23" si="4">IF(L4="","",IF(L4&gt;=0,"PASS","FAIL"))</f>
        <v/>
      </c>
      <c r="U4" s="45" t="str">
        <f t="shared" ref="U4:U23" si="5">IF(COUNTA(H4,M4,R4)=0,"",IF((COUNTIF(H4,"Likely")+COUNTIF(M4,"Likely")+COUNTIF(R4,"Likely"))=1,"OK","CHECK TAGS"))</f>
        <v/>
      </c>
    </row>
    <row r="5" spans="1:21" ht="15" customHeight="1" x14ac:dyDescent="0.2">
      <c r="A5" s="26"/>
      <c r="B5" s="26"/>
      <c r="C5" s="41"/>
      <c r="D5" s="41"/>
      <c r="E5" s="63"/>
      <c r="F5" s="41"/>
      <c r="G5" s="42" t="str">
        <f t="shared" si="0"/>
        <v/>
      </c>
      <c r="H5" s="26"/>
      <c r="I5" s="41"/>
      <c r="J5" s="63"/>
      <c r="K5" s="41"/>
      <c r="L5" s="42" t="str">
        <f t="shared" si="1"/>
        <v/>
      </c>
      <c r="M5" s="26"/>
      <c r="N5" s="41"/>
      <c r="O5" s="63"/>
      <c r="P5" s="41"/>
      <c r="Q5" s="42" t="str">
        <f t="shared" si="2"/>
        <v/>
      </c>
      <c r="R5" s="26"/>
      <c r="S5" s="45" t="str">
        <f t="shared" si="3"/>
        <v/>
      </c>
      <c r="T5" s="45" t="str">
        <f t="shared" si="4"/>
        <v/>
      </c>
      <c r="U5" s="45" t="str">
        <f t="shared" si="5"/>
        <v/>
      </c>
    </row>
    <row r="6" spans="1:21" ht="15" customHeight="1" x14ac:dyDescent="0.2">
      <c r="A6" s="26"/>
      <c r="B6" s="26"/>
      <c r="C6" s="41"/>
      <c r="D6" s="41"/>
      <c r="E6" s="63"/>
      <c r="F6" s="41"/>
      <c r="G6" s="42" t="str">
        <f t="shared" si="0"/>
        <v/>
      </c>
      <c r="H6" s="26"/>
      <c r="I6" s="41"/>
      <c r="J6" s="63"/>
      <c r="K6" s="41"/>
      <c r="L6" s="42" t="str">
        <f t="shared" si="1"/>
        <v/>
      </c>
      <c r="M6" s="26"/>
      <c r="N6" s="41"/>
      <c r="O6" s="63"/>
      <c r="P6" s="41"/>
      <c r="Q6" s="42" t="str">
        <f t="shared" si="2"/>
        <v/>
      </c>
      <c r="R6" s="26"/>
      <c r="S6" s="45" t="str">
        <f t="shared" si="3"/>
        <v/>
      </c>
      <c r="T6" s="45" t="str">
        <f t="shared" si="4"/>
        <v/>
      </c>
      <c r="U6" s="45" t="str">
        <f t="shared" si="5"/>
        <v/>
      </c>
    </row>
    <row r="7" spans="1:21" ht="15" customHeight="1" x14ac:dyDescent="0.2">
      <c r="A7" s="26"/>
      <c r="B7" s="26"/>
      <c r="C7" s="41"/>
      <c r="D7" s="41"/>
      <c r="E7" s="63"/>
      <c r="F7" s="41"/>
      <c r="G7" s="42" t="str">
        <f t="shared" si="0"/>
        <v/>
      </c>
      <c r="H7" s="26"/>
      <c r="I7" s="41"/>
      <c r="J7" s="63"/>
      <c r="K7" s="41"/>
      <c r="L7" s="42" t="str">
        <f t="shared" si="1"/>
        <v/>
      </c>
      <c r="M7" s="26"/>
      <c r="N7" s="41"/>
      <c r="O7" s="63"/>
      <c r="P7" s="41"/>
      <c r="Q7" s="42" t="str">
        <f t="shared" si="2"/>
        <v/>
      </c>
      <c r="R7" s="26"/>
      <c r="S7" s="45" t="str">
        <f t="shared" si="3"/>
        <v/>
      </c>
      <c r="T7" s="45" t="str">
        <f t="shared" si="4"/>
        <v/>
      </c>
      <c r="U7" s="45" t="str">
        <f t="shared" si="5"/>
        <v/>
      </c>
    </row>
    <row r="8" spans="1:21" ht="15" customHeight="1" x14ac:dyDescent="0.2">
      <c r="A8" s="26"/>
      <c r="B8" s="26"/>
      <c r="C8" s="41"/>
      <c r="D8" s="41"/>
      <c r="E8" s="63"/>
      <c r="F8" s="41"/>
      <c r="G8" s="42" t="str">
        <f t="shared" si="0"/>
        <v/>
      </c>
      <c r="H8" s="26"/>
      <c r="I8" s="41"/>
      <c r="J8" s="63"/>
      <c r="K8" s="41"/>
      <c r="L8" s="42" t="str">
        <f t="shared" si="1"/>
        <v/>
      </c>
      <c r="M8" s="26"/>
      <c r="N8" s="41"/>
      <c r="O8" s="63"/>
      <c r="P8" s="41"/>
      <c r="Q8" s="42" t="str">
        <f t="shared" si="2"/>
        <v/>
      </c>
      <c r="R8" s="26"/>
      <c r="S8" s="45" t="str">
        <f t="shared" si="3"/>
        <v/>
      </c>
      <c r="T8" s="45" t="str">
        <f t="shared" si="4"/>
        <v/>
      </c>
      <c r="U8" s="45" t="str">
        <f t="shared" si="5"/>
        <v/>
      </c>
    </row>
    <row r="9" spans="1:21" ht="15" customHeight="1" x14ac:dyDescent="0.2">
      <c r="A9" s="26"/>
      <c r="B9" s="26"/>
      <c r="C9" s="41"/>
      <c r="D9" s="41"/>
      <c r="E9" s="63"/>
      <c r="F9" s="41"/>
      <c r="G9" s="42" t="str">
        <f t="shared" si="0"/>
        <v/>
      </c>
      <c r="H9" s="26"/>
      <c r="I9" s="41"/>
      <c r="J9" s="63"/>
      <c r="K9" s="41"/>
      <c r="L9" s="42" t="str">
        <f t="shared" si="1"/>
        <v/>
      </c>
      <c r="M9" s="26"/>
      <c r="N9" s="41"/>
      <c r="O9" s="63"/>
      <c r="P9" s="41"/>
      <c r="Q9" s="42" t="str">
        <f t="shared" si="2"/>
        <v/>
      </c>
      <c r="R9" s="26"/>
      <c r="S9" s="45" t="str">
        <f t="shared" si="3"/>
        <v/>
      </c>
      <c r="T9" s="45" t="str">
        <f t="shared" si="4"/>
        <v/>
      </c>
      <c r="U9" s="45" t="str">
        <f t="shared" si="5"/>
        <v/>
      </c>
    </row>
    <row r="10" spans="1:21" ht="15" customHeight="1" x14ac:dyDescent="0.2">
      <c r="A10" s="26"/>
      <c r="B10" s="26"/>
      <c r="C10" s="41"/>
      <c r="D10" s="41"/>
      <c r="E10" s="63"/>
      <c r="F10" s="41"/>
      <c r="G10" s="42" t="str">
        <f t="shared" si="0"/>
        <v/>
      </c>
      <c r="H10" s="26"/>
      <c r="I10" s="41"/>
      <c r="J10" s="63"/>
      <c r="K10" s="41"/>
      <c r="L10" s="42" t="str">
        <f t="shared" si="1"/>
        <v/>
      </c>
      <c r="M10" s="26"/>
      <c r="N10" s="41"/>
      <c r="O10" s="63"/>
      <c r="P10" s="41"/>
      <c r="Q10" s="42" t="str">
        <f t="shared" si="2"/>
        <v/>
      </c>
      <c r="R10" s="26"/>
      <c r="S10" s="45" t="str">
        <f t="shared" si="3"/>
        <v/>
      </c>
      <c r="T10" s="45" t="str">
        <f t="shared" si="4"/>
        <v/>
      </c>
      <c r="U10" s="45" t="str">
        <f t="shared" si="5"/>
        <v/>
      </c>
    </row>
    <row r="11" spans="1:21" ht="15" customHeight="1" x14ac:dyDescent="0.2">
      <c r="A11" s="26"/>
      <c r="B11" s="26"/>
      <c r="C11" s="41"/>
      <c r="D11" s="41"/>
      <c r="E11" s="63"/>
      <c r="F11" s="41"/>
      <c r="G11" s="42" t="str">
        <f t="shared" si="0"/>
        <v/>
      </c>
      <c r="H11" s="26"/>
      <c r="I11" s="41"/>
      <c r="J11" s="63"/>
      <c r="K11" s="41"/>
      <c r="L11" s="42" t="str">
        <f t="shared" si="1"/>
        <v/>
      </c>
      <c r="M11" s="26"/>
      <c r="N11" s="41"/>
      <c r="O11" s="63"/>
      <c r="P11" s="41"/>
      <c r="Q11" s="42" t="str">
        <f t="shared" si="2"/>
        <v/>
      </c>
      <c r="R11" s="26"/>
      <c r="S11" s="45" t="str">
        <f t="shared" si="3"/>
        <v/>
      </c>
      <c r="T11" s="45" t="str">
        <f t="shared" si="4"/>
        <v/>
      </c>
      <c r="U11" s="45" t="str">
        <f t="shared" si="5"/>
        <v/>
      </c>
    </row>
    <row r="12" spans="1:21" ht="15" customHeight="1" x14ac:dyDescent="0.2">
      <c r="A12" s="26"/>
      <c r="B12" s="26"/>
      <c r="C12" s="41"/>
      <c r="D12" s="41"/>
      <c r="E12" s="63"/>
      <c r="F12" s="41"/>
      <c r="G12" s="42" t="str">
        <f t="shared" si="0"/>
        <v/>
      </c>
      <c r="H12" s="26"/>
      <c r="I12" s="41"/>
      <c r="J12" s="63"/>
      <c r="K12" s="41"/>
      <c r="L12" s="42" t="str">
        <f t="shared" si="1"/>
        <v/>
      </c>
      <c r="M12" s="26"/>
      <c r="N12" s="41"/>
      <c r="O12" s="63"/>
      <c r="P12" s="41"/>
      <c r="Q12" s="42" t="str">
        <f t="shared" si="2"/>
        <v/>
      </c>
      <c r="R12" s="26"/>
      <c r="S12" s="45" t="str">
        <f t="shared" si="3"/>
        <v/>
      </c>
      <c r="T12" s="45" t="str">
        <f t="shared" si="4"/>
        <v/>
      </c>
      <c r="U12" s="45" t="str">
        <f t="shared" si="5"/>
        <v/>
      </c>
    </row>
    <row r="13" spans="1:21" ht="15" customHeight="1" x14ac:dyDescent="0.2">
      <c r="A13" s="26"/>
      <c r="B13" s="26"/>
      <c r="C13" s="41"/>
      <c r="D13" s="41"/>
      <c r="E13" s="63"/>
      <c r="F13" s="41"/>
      <c r="G13" s="42" t="str">
        <f t="shared" si="0"/>
        <v/>
      </c>
      <c r="H13" s="26"/>
      <c r="I13" s="41"/>
      <c r="J13" s="63"/>
      <c r="K13" s="41"/>
      <c r="L13" s="42" t="str">
        <f t="shared" si="1"/>
        <v/>
      </c>
      <c r="M13" s="26"/>
      <c r="N13" s="41"/>
      <c r="O13" s="63"/>
      <c r="P13" s="41"/>
      <c r="Q13" s="42" t="str">
        <f t="shared" si="2"/>
        <v/>
      </c>
      <c r="R13" s="26"/>
      <c r="S13" s="45" t="str">
        <f t="shared" si="3"/>
        <v/>
      </c>
      <c r="T13" s="45" t="str">
        <f t="shared" si="4"/>
        <v/>
      </c>
      <c r="U13" s="45" t="str">
        <f t="shared" si="5"/>
        <v/>
      </c>
    </row>
    <row r="14" spans="1:21" ht="15" customHeight="1" x14ac:dyDescent="0.2">
      <c r="A14" s="26"/>
      <c r="B14" s="26"/>
      <c r="C14" s="41"/>
      <c r="D14" s="41"/>
      <c r="E14" s="63"/>
      <c r="F14" s="41"/>
      <c r="G14" s="42" t="str">
        <f t="shared" si="0"/>
        <v/>
      </c>
      <c r="H14" s="26"/>
      <c r="I14" s="41"/>
      <c r="J14" s="63"/>
      <c r="K14" s="41"/>
      <c r="L14" s="42" t="str">
        <f t="shared" si="1"/>
        <v/>
      </c>
      <c r="M14" s="26"/>
      <c r="N14" s="41"/>
      <c r="O14" s="63"/>
      <c r="P14" s="41"/>
      <c r="Q14" s="42" t="str">
        <f t="shared" si="2"/>
        <v/>
      </c>
      <c r="R14" s="26"/>
      <c r="S14" s="45" t="str">
        <f t="shared" si="3"/>
        <v/>
      </c>
      <c r="T14" s="45" t="str">
        <f t="shared" si="4"/>
        <v/>
      </c>
      <c r="U14" s="45" t="str">
        <f t="shared" si="5"/>
        <v/>
      </c>
    </row>
    <row r="15" spans="1:21" ht="15" customHeight="1" x14ac:dyDescent="0.2">
      <c r="A15" s="26"/>
      <c r="B15" s="26"/>
      <c r="C15" s="41"/>
      <c r="D15" s="41"/>
      <c r="E15" s="63"/>
      <c r="F15" s="41"/>
      <c r="G15" s="42" t="str">
        <f t="shared" si="0"/>
        <v/>
      </c>
      <c r="H15" s="26"/>
      <c r="I15" s="41"/>
      <c r="J15" s="63"/>
      <c r="K15" s="41"/>
      <c r="L15" s="42" t="str">
        <f t="shared" si="1"/>
        <v/>
      </c>
      <c r="M15" s="26"/>
      <c r="N15" s="41"/>
      <c r="O15" s="63"/>
      <c r="P15" s="41"/>
      <c r="Q15" s="42" t="str">
        <f t="shared" si="2"/>
        <v/>
      </c>
      <c r="R15" s="26"/>
      <c r="S15" s="45" t="str">
        <f t="shared" si="3"/>
        <v/>
      </c>
      <c r="T15" s="45" t="str">
        <f t="shared" si="4"/>
        <v/>
      </c>
      <c r="U15" s="45" t="str">
        <f t="shared" si="5"/>
        <v/>
      </c>
    </row>
    <row r="16" spans="1:21" ht="15" customHeight="1" x14ac:dyDescent="0.2">
      <c r="A16" s="26"/>
      <c r="B16" s="26"/>
      <c r="C16" s="41"/>
      <c r="D16" s="41"/>
      <c r="E16" s="63"/>
      <c r="F16" s="41"/>
      <c r="G16" s="42" t="str">
        <f t="shared" si="0"/>
        <v/>
      </c>
      <c r="H16" s="26"/>
      <c r="I16" s="41"/>
      <c r="J16" s="63"/>
      <c r="K16" s="41"/>
      <c r="L16" s="42" t="str">
        <f t="shared" si="1"/>
        <v/>
      </c>
      <c r="M16" s="26"/>
      <c r="N16" s="41"/>
      <c r="O16" s="63"/>
      <c r="P16" s="41"/>
      <c r="Q16" s="42" t="str">
        <f t="shared" si="2"/>
        <v/>
      </c>
      <c r="R16" s="26"/>
      <c r="S16" s="45" t="str">
        <f t="shared" si="3"/>
        <v/>
      </c>
      <c r="T16" s="45" t="str">
        <f t="shared" si="4"/>
        <v/>
      </c>
      <c r="U16" s="45" t="str">
        <f t="shared" si="5"/>
        <v/>
      </c>
    </row>
    <row r="17" spans="1:21" ht="15" customHeight="1" x14ac:dyDescent="0.2">
      <c r="A17" s="26"/>
      <c r="B17" s="26"/>
      <c r="C17" s="41"/>
      <c r="D17" s="41"/>
      <c r="E17" s="63"/>
      <c r="F17" s="41"/>
      <c r="G17" s="42" t="str">
        <f t="shared" si="0"/>
        <v/>
      </c>
      <c r="H17" s="26"/>
      <c r="I17" s="41"/>
      <c r="J17" s="63"/>
      <c r="K17" s="41"/>
      <c r="L17" s="42" t="str">
        <f t="shared" si="1"/>
        <v/>
      </c>
      <c r="M17" s="26"/>
      <c r="N17" s="41"/>
      <c r="O17" s="63"/>
      <c r="P17" s="41"/>
      <c r="Q17" s="42" t="str">
        <f t="shared" si="2"/>
        <v/>
      </c>
      <c r="R17" s="26"/>
      <c r="S17" s="45" t="str">
        <f t="shared" si="3"/>
        <v/>
      </c>
      <c r="T17" s="45" t="str">
        <f t="shared" si="4"/>
        <v/>
      </c>
      <c r="U17" s="45" t="str">
        <f t="shared" si="5"/>
        <v/>
      </c>
    </row>
    <row r="18" spans="1:21" ht="15" customHeight="1" x14ac:dyDescent="0.2">
      <c r="A18" s="26"/>
      <c r="B18" s="26"/>
      <c r="C18" s="41"/>
      <c r="D18" s="41"/>
      <c r="E18" s="63"/>
      <c r="F18" s="41"/>
      <c r="G18" s="42" t="str">
        <f t="shared" si="0"/>
        <v/>
      </c>
      <c r="H18" s="26"/>
      <c r="I18" s="41"/>
      <c r="J18" s="63"/>
      <c r="K18" s="41"/>
      <c r="L18" s="42" t="str">
        <f t="shared" si="1"/>
        <v/>
      </c>
      <c r="M18" s="26"/>
      <c r="N18" s="41"/>
      <c r="O18" s="63"/>
      <c r="P18" s="41"/>
      <c r="Q18" s="42" t="str">
        <f t="shared" si="2"/>
        <v/>
      </c>
      <c r="R18" s="26"/>
      <c r="S18" s="45" t="str">
        <f t="shared" si="3"/>
        <v/>
      </c>
      <c r="T18" s="45" t="str">
        <f t="shared" si="4"/>
        <v/>
      </c>
      <c r="U18" s="45" t="str">
        <f t="shared" si="5"/>
        <v/>
      </c>
    </row>
    <row r="19" spans="1:21" ht="15" customHeight="1" x14ac:dyDescent="0.2">
      <c r="A19" s="26"/>
      <c r="B19" s="26"/>
      <c r="C19" s="41"/>
      <c r="D19" s="41"/>
      <c r="E19" s="63"/>
      <c r="F19" s="41"/>
      <c r="G19" s="42" t="str">
        <f t="shared" si="0"/>
        <v/>
      </c>
      <c r="H19" s="26"/>
      <c r="I19" s="41"/>
      <c r="J19" s="63"/>
      <c r="K19" s="41"/>
      <c r="L19" s="42" t="str">
        <f t="shared" si="1"/>
        <v/>
      </c>
      <c r="M19" s="26"/>
      <c r="N19" s="41"/>
      <c r="O19" s="63"/>
      <c r="P19" s="41"/>
      <c r="Q19" s="42" t="str">
        <f t="shared" si="2"/>
        <v/>
      </c>
      <c r="R19" s="26"/>
      <c r="S19" s="45" t="str">
        <f t="shared" si="3"/>
        <v/>
      </c>
      <c r="T19" s="45" t="str">
        <f t="shared" si="4"/>
        <v/>
      </c>
      <c r="U19" s="45" t="str">
        <f t="shared" si="5"/>
        <v/>
      </c>
    </row>
    <row r="20" spans="1:21" ht="15" customHeight="1" x14ac:dyDescent="0.2">
      <c r="A20" s="26"/>
      <c r="B20" s="26"/>
      <c r="C20" s="41"/>
      <c r="D20" s="41"/>
      <c r="E20" s="63"/>
      <c r="F20" s="41"/>
      <c r="G20" s="42" t="str">
        <f t="shared" si="0"/>
        <v/>
      </c>
      <c r="H20" s="26"/>
      <c r="I20" s="41"/>
      <c r="J20" s="63"/>
      <c r="K20" s="41"/>
      <c r="L20" s="42" t="str">
        <f t="shared" si="1"/>
        <v/>
      </c>
      <c r="M20" s="26"/>
      <c r="N20" s="41"/>
      <c r="O20" s="63"/>
      <c r="P20" s="41"/>
      <c r="Q20" s="42" t="str">
        <f t="shared" si="2"/>
        <v/>
      </c>
      <c r="R20" s="26"/>
      <c r="S20" s="45" t="str">
        <f t="shared" si="3"/>
        <v/>
      </c>
      <c r="T20" s="45" t="str">
        <f t="shared" si="4"/>
        <v/>
      </c>
      <c r="U20" s="45" t="str">
        <f t="shared" si="5"/>
        <v/>
      </c>
    </row>
    <row r="21" spans="1:21" ht="15" customHeight="1" x14ac:dyDescent="0.2">
      <c r="A21" s="26"/>
      <c r="B21" s="26"/>
      <c r="C21" s="41"/>
      <c r="D21" s="41"/>
      <c r="E21" s="63"/>
      <c r="F21" s="41"/>
      <c r="G21" s="42" t="str">
        <f t="shared" si="0"/>
        <v/>
      </c>
      <c r="H21" s="26"/>
      <c r="I21" s="41"/>
      <c r="J21" s="63"/>
      <c r="K21" s="41"/>
      <c r="L21" s="42" t="str">
        <f t="shared" si="1"/>
        <v/>
      </c>
      <c r="M21" s="26"/>
      <c r="N21" s="41"/>
      <c r="O21" s="63"/>
      <c r="P21" s="41"/>
      <c r="Q21" s="42" t="str">
        <f t="shared" si="2"/>
        <v/>
      </c>
      <c r="R21" s="26"/>
      <c r="S21" s="45" t="str">
        <f t="shared" si="3"/>
        <v/>
      </c>
      <c r="T21" s="45" t="str">
        <f t="shared" si="4"/>
        <v/>
      </c>
      <c r="U21" s="45" t="str">
        <f t="shared" si="5"/>
        <v/>
      </c>
    </row>
    <row r="22" spans="1:21" ht="15" customHeight="1" x14ac:dyDescent="0.2">
      <c r="A22" s="26"/>
      <c r="B22" s="26"/>
      <c r="C22" s="41"/>
      <c r="D22" s="41"/>
      <c r="E22" s="63"/>
      <c r="F22" s="41"/>
      <c r="G22" s="42" t="str">
        <f t="shared" si="0"/>
        <v/>
      </c>
      <c r="H22" s="26"/>
      <c r="I22" s="41"/>
      <c r="J22" s="63"/>
      <c r="K22" s="41"/>
      <c r="L22" s="42" t="str">
        <f t="shared" si="1"/>
        <v/>
      </c>
      <c r="M22" s="26"/>
      <c r="N22" s="41"/>
      <c r="O22" s="63"/>
      <c r="P22" s="41"/>
      <c r="Q22" s="42" t="str">
        <f t="shared" si="2"/>
        <v/>
      </c>
      <c r="R22" s="26"/>
      <c r="S22" s="45" t="str">
        <f t="shared" si="3"/>
        <v/>
      </c>
      <c r="T22" s="45" t="str">
        <f t="shared" si="4"/>
        <v/>
      </c>
      <c r="U22" s="45" t="str">
        <f t="shared" si="5"/>
        <v/>
      </c>
    </row>
    <row r="23" spans="1:21" ht="15" customHeight="1" x14ac:dyDescent="0.2">
      <c r="A23" s="26"/>
      <c r="B23" s="26"/>
      <c r="C23" s="41"/>
      <c r="D23" s="41"/>
      <c r="E23" s="63"/>
      <c r="F23" s="41"/>
      <c r="G23" s="42" t="str">
        <f t="shared" si="0"/>
        <v/>
      </c>
      <c r="H23" s="26"/>
      <c r="I23" s="41"/>
      <c r="J23" s="63"/>
      <c r="K23" s="41"/>
      <c r="L23" s="42" t="str">
        <f t="shared" si="1"/>
        <v/>
      </c>
      <c r="M23" s="26"/>
      <c r="N23" s="41"/>
      <c r="O23" s="63"/>
      <c r="P23" s="41"/>
      <c r="Q23" s="42" t="str">
        <f t="shared" si="2"/>
        <v/>
      </c>
      <c r="R23" s="26"/>
      <c r="S23" s="45" t="str">
        <f t="shared" si="3"/>
        <v/>
      </c>
      <c r="T23" s="45" t="str">
        <f t="shared" si="4"/>
        <v/>
      </c>
      <c r="U23" s="45" t="str">
        <f t="shared" si="5"/>
        <v/>
      </c>
    </row>
  </sheetData>
  <mergeCells count="5">
    <mergeCell ref="A1:T1"/>
    <mergeCell ref="D2:H2"/>
    <mergeCell ref="I2:M2"/>
    <mergeCell ref="N2:R2"/>
    <mergeCell ref="S2:U2"/>
  </mergeCells>
  <conditionalFormatting sqref="S4:T23">
    <cfRule type="cellIs" dxfId="19" priority="2" operator="equal">
      <formula>"PASS"</formula>
    </cfRule>
    <cfRule type="cellIs" dxfId="18" priority="3" operator="equal">
      <formula>"FAIL"</formula>
    </cfRule>
  </conditionalFormatting>
  <conditionalFormatting sqref="U4:U23">
    <cfRule type="cellIs" dxfId="17" priority="6" operator="equal">
      <formula>"OK"</formula>
    </cfRule>
    <cfRule type="cellIs" dxfId="16" priority="7" operator="equal">
      <formula>"CHECK TAGS"</formula>
    </cfRule>
  </conditionalFormatting>
  <dataValidations count="1">
    <dataValidation type="list" allowBlank="1" sqref="H4:H23 M4:M23 R4:R23" xr:uid="{00000000-0002-0000-0D00-000000000000}">
      <formula1>"Likely,Possible,Unlikely"</formula1>
      <formula2>0</formula2>
    </dataValidation>
  </dataValidation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sheetView>
  </sheetViews>
  <sheetFormatPr baseColWidth="10" defaultColWidth="8.6640625" defaultRowHeight="15" x14ac:dyDescent="0.2"/>
  <cols>
    <col min="1" max="1" width="8" customWidth="1"/>
    <col min="2" max="2" width="14" customWidth="1"/>
    <col min="3" max="25" width="9" customWidth="1"/>
    <col min="26" max="26" width="16" customWidth="1"/>
    <col min="27" max="27" width="9" customWidth="1"/>
    <col min="28" max="28" width="20" customWidth="1"/>
  </cols>
  <sheetData>
    <row r="1" spans="1:28" ht="25.5" customHeight="1" x14ac:dyDescent="0.2">
      <c r="A1" s="6" t="s">
        <v>314</v>
      </c>
      <c r="B1" s="6"/>
      <c r="C1" s="6"/>
      <c r="D1" s="6"/>
      <c r="E1" s="6"/>
      <c r="F1" s="6"/>
      <c r="G1" s="6"/>
      <c r="H1" s="6"/>
      <c r="I1" s="6"/>
      <c r="J1" s="6"/>
      <c r="K1" s="6"/>
      <c r="L1" s="6"/>
      <c r="M1" s="6"/>
      <c r="N1" s="6"/>
      <c r="O1" s="6"/>
      <c r="P1" s="6"/>
      <c r="Q1" s="6"/>
      <c r="R1" s="6"/>
      <c r="S1" s="6"/>
      <c r="T1" s="6"/>
      <c r="U1" s="6"/>
      <c r="V1" s="6"/>
    </row>
    <row r="2" spans="1:28" ht="25.5" customHeight="1" x14ac:dyDescent="0.2">
      <c r="E2" s="1" t="s">
        <v>315</v>
      </c>
      <c r="F2" s="1"/>
      <c r="G2" s="1"/>
      <c r="H2" s="1"/>
      <c r="I2" s="1"/>
      <c r="J2" s="1"/>
      <c r="K2" s="1"/>
      <c r="L2" s="1"/>
      <c r="M2" s="1"/>
      <c r="N2" s="1"/>
      <c r="O2" s="1"/>
      <c r="P2" s="1"/>
      <c r="Q2" s="1"/>
      <c r="R2" s="1"/>
      <c r="S2" s="1"/>
      <c r="T2" s="82" t="s">
        <v>316</v>
      </c>
      <c r="U2" s="82"/>
      <c r="V2" s="82"/>
      <c r="W2" s="82"/>
      <c r="X2" s="82"/>
      <c r="Y2" s="82"/>
      <c r="Z2" s="82"/>
    </row>
    <row r="3" spans="1:28" ht="27.75" customHeight="1" x14ac:dyDescent="0.2">
      <c r="A3" s="22" t="s">
        <v>57</v>
      </c>
      <c r="B3" s="22" t="s">
        <v>168</v>
      </c>
      <c r="C3" s="22" t="s">
        <v>317</v>
      </c>
      <c r="D3" s="22" t="s">
        <v>318</v>
      </c>
      <c r="E3" s="22" t="s">
        <v>319</v>
      </c>
      <c r="F3" s="22" t="s">
        <v>320</v>
      </c>
      <c r="G3" s="22" t="s">
        <v>321</v>
      </c>
      <c r="H3" s="22" t="s">
        <v>322</v>
      </c>
      <c r="I3" s="22" t="s">
        <v>323</v>
      </c>
      <c r="J3" s="22" t="s">
        <v>321</v>
      </c>
      <c r="K3" s="22" t="s">
        <v>324</v>
      </c>
      <c r="L3" s="22" t="s">
        <v>325</v>
      </c>
      <c r="M3" s="22" t="s">
        <v>321</v>
      </c>
      <c r="N3" s="22" t="s">
        <v>326</v>
      </c>
      <c r="O3" s="22" t="s">
        <v>327</v>
      </c>
      <c r="P3" s="22" t="s">
        <v>321</v>
      </c>
      <c r="Q3" s="22" t="s">
        <v>328</v>
      </c>
      <c r="R3" s="22" t="s">
        <v>329</v>
      </c>
      <c r="S3" s="22" t="s">
        <v>321</v>
      </c>
      <c r="T3" s="22" t="s">
        <v>330</v>
      </c>
      <c r="U3" s="22" t="s">
        <v>331</v>
      </c>
      <c r="V3" s="22" t="s">
        <v>332</v>
      </c>
      <c r="W3" s="22" t="s">
        <v>333</v>
      </c>
      <c r="X3" s="22" t="s">
        <v>334</v>
      </c>
      <c r="Y3" s="22" t="s">
        <v>335</v>
      </c>
      <c r="Z3" s="22" t="s">
        <v>336</v>
      </c>
      <c r="AA3" s="22" t="s">
        <v>337</v>
      </c>
      <c r="AB3" s="22" t="s">
        <v>298</v>
      </c>
    </row>
    <row r="4" spans="1:28" ht="15" customHeight="1" x14ac:dyDescent="0.2">
      <c r="A4" s="26"/>
      <c r="B4" s="26"/>
      <c r="C4" s="64"/>
      <c r="D4" s="64"/>
      <c r="E4" s="26"/>
      <c r="F4" s="26"/>
      <c r="G4" s="62" t="str">
        <f t="shared" ref="G4:G23" si="0">IF(OR(E4="",F4=""),"",IF(AND(E4&lt;=2,F4&lt;=2),"TRIGGER","OK"))</f>
        <v/>
      </c>
      <c r="H4" s="26"/>
      <c r="I4" s="26"/>
      <c r="J4" s="62" t="str">
        <f t="shared" ref="J4:J23" si="1">IF(OR(H4="",I4=""),"",IF(AND(H4&lt;=2,I4&lt;=2),"TRIGGER","OK"))</f>
        <v/>
      </c>
      <c r="K4" s="26"/>
      <c r="L4" s="26"/>
      <c r="M4" s="62" t="str">
        <f t="shared" ref="M4:M23" si="2">IF(OR(K4="",L4=""),"",IF(AND(K4&lt;=2,L4&lt;=2),"TRIGGER","OK"))</f>
        <v/>
      </c>
      <c r="N4" s="26"/>
      <c r="O4" s="26"/>
      <c r="P4" s="62" t="str">
        <f t="shared" ref="P4:P23" si="3">IF(OR(N4="",O4=""),"",IF(AND(N4&lt;=2,O4&lt;=2),"TRIGGER","OK"))</f>
        <v/>
      </c>
      <c r="Q4" s="26"/>
      <c r="R4" s="26"/>
      <c r="S4" s="62" t="str">
        <f t="shared" ref="S4:S23" si="4">IF(OR(Q4="",R4=""),"",IF(AND(Q4&lt;=2,R4&lt;=2),"TRIGGER","OK"))</f>
        <v/>
      </c>
      <c r="T4" s="63"/>
      <c r="U4" s="63"/>
      <c r="V4" s="64"/>
      <c r="W4" s="64"/>
      <c r="X4" s="26"/>
      <c r="Y4" s="26"/>
      <c r="Z4" s="62"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6"/>
      <c r="AB4" s="45"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2">
      <c r="A5" s="26"/>
      <c r="B5" s="26"/>
      <c r="C5" s="64"/>
      <c r="D5" s="64"/>
      <c r="E5" s="26"/>
      <c r="F5" s="26"/>
      <c r="G5" s="62" t="str">
        <f t="shared" si="0"/>
        <v/>
      </c>
      <c r="H5" s="26"/>
      <c r="I5" s="26"/>
      <c r="J5" s="62" t="str">
        <f t="shared" si="1"/>
        <v/>
      </c>
      <c r="K5" s="26"/>
      <c r="L5" s="26"/>
      <c r="M5" s="62" t="str">
        <f t="shared" si="2"/>
        <v/>
      </c>
      <c r="N5" s="26"/>
      <c r="O5" s="26"/>
      <c r="P5" s="62" t="str">
        <f t="shared" si="3"/>
        <v/>
      </c>
      <c r="Q5" s="26"/>
      <c r="R5" s="26"/>
      <c r="S5" s="62" t="str">
        <f t="shared" si="4"/>
        <v/>
      </c>
      <c r="T5" s="63"/>
      <c r="U5" s="63"/>
      <c r="V5" s="64"/>
      <c r="W5" s="64"/>
      <c r="X5" s="26"/>
      <c r="Y5" s="26"/>
      <c r="Z5" s="62" t="str">
        <f t="shared" si="5"/>
        <v>OK</v>
      </c>
      <c r="AA5" s="26"/>
      <c r="AB5" s="45" t="str">
        <f t="shared" si="6"/>
        <v>OK — no active trigger</v>
      </c>
    </row>
    <row r="6" spans="1:28" ht="15" customHeight="1" x14ac:dyDescent="0.2">
      <c r="A6" s="26"/>
      <c r="B6" s="26"/>
      <c r="C6" s="64"/>
      <c r="D6" s="64"/>
      <c r="E6" s="26"/>
      <c r="F6" s="26"/>
      <c r="G6" s="62" t="str">
        <f t="shared" si="0"/>
        <v/>
      </c>
      <c r="H6" s="26"/>
      <c r="I6" s="26"/>
      <c r="J6" s="62" t="str">
        <f t="shared" si="1"/>
        <v/>
      </c>
      <c r="K6" s="26"/>
      <c r="L6" s="26"/>
      <c r="M6" s="62" t="str">
        <f t="shared" si="2"/>
        <v/>
      </c>
      <c r="N6" s="26"/>
      <c r="O6" s="26"/>
      <c r="P6" s="62" t="str">
        <f t="shared" si="3"/>
        <v/>
      </c>
      <c r="Q6" s="26"/>
      <c r="R6" s="26"/>
      <c r="S6" s="62" t="str">
        <f t="shared" si="4"/>
        <v/>
      </c>
      <c r="T6" s="63"/>
      <c r="U6" s="63"/>
      <c r="V6" s="64"/>
      <c r="W6" s="64"/>
      <c r="X6" s="26"/>
      <c r="Y6" s="26"/>
      <c r="Z6" s="62" t="str">
        <f t="shared" si="5"/>
        <v>OK</v>
      </c>
      <c r="AA6" s="26"/>
      <c r="AB6" s="45" t="str">
        <f t="shared" si="6"/>
        <v>OK — no active trigger</v>
      </c>
    </row>
    <row r="7" spans="1:28" ht="15" customHeight="1" x14ac:dyDescent="0.2">
      <c r="A7" s="26"/>
      <c r="B7" s="26"/>
      <c r="C7" s="64"/>
      <c r="D7" s="64"/>
      <c r="E7" s="26"/>
      <c r="F7" s="26"/>
      <c r="G7" s="62" t="str">
        <f t="shared" si="0"/>
        <v/>
      </c>
      <c r="H7" s="26"/>
      <c r="I7" s="26"/>
      <c r="J7" s="62" t="str">
        <f t="shared" si="1"/>
        <v/>
      </c>
      <c r="K7" s="26"/>
      <c r="L7" s="26"/>
      <c r="M7" s="62" t="str">
        <f t="shared" si="2"/>
        <v/>
      </c>
      <c r="N7" s="26"/>
      <c r="O7" s="26"/>
      <c r="P7" s="62" t="str">
        <f t="shared" si="3"/>
        <v/>
      </c>
      <c r="Q7" s="26"/>
      <c r="R7" s="26"/>
      <c r="S7" s="62" t="str">
        <f t="shared" si="4"/>
        <v/>
      </c>
      <c r="T7" s="63"/>
      <c r="U7" s="63"/>
      <c r="V7" s="64"/>
      <c r="W7" s="64"/>
      <c r="X7" s="26"/>
      <c r="Y7" s="26"/>
      <c r="Z7" s="62" t="str">
        <f t="shared" si="5"/>
        <v>OK</v>
      </c>
      <c r="AA7" s="26"/>
      <c r="AB7" s="45" t="str">
        <f t="shared" si="6"/>
        <v>OK — no active trigger</v>
      </c>
    </row>
    <row r="8" spans="1:28" ht="15" customHeight="1" x14ac:dyDescent="0.2">
      <c r="A8" s="26"/>
      <c r="B8" s="26"/>
      <c r="C8" s="64"/>
      <c r="D8" s="64"/>
      <c r="E8" s="26"/>
      <c r="F8" s="26"/>
      <c r="G8" s="62" t="str">
        <f t="shared" si="0"/>
        <v/>
      </c>
      <c r="H8" s="26"/>
      <c r="I8" s="26"/>
      <c r="J8" s="62" t="str">
        <f t="shared" si="1"/>
        <v/>
      </c>
      <c r="K8" s="26"/>
      <c r="L8" s="26"/>
      <c r="M8" s="62" t="str">
        <f t="shared" si="2"/>
        <v/>
      </c>
      <c r="N8" s="26"/>
      <c r="O8" s="26"/>
      <c r="P8" s="62" t="str">
        <f t="shared" si="3"/>
        <v/>
      </c>
      <c r="Q8" s="26"/>
      <c r="R8" s="26"/>
      <c r="S8" s="62" t="str">
        <f t="shared" si="4"/>
        <v/>
      </c>
      <c r="T8" s="63"/>
      <c r="U8" s="63"/>
      <c r="V8" s="64"/>
      <c r="W8" s="64"/>
      <c r="X8" s="26"/>
      <c r="Y8" s="26"/>
      <c r="Z8" s="62" t="str">
        <f t="shared" si="5"/>
        <v>OK</v>
      </c>
      <c r="AA8" s="26"/>
      <c r="AB8" s="45" t="str">
        <f t="shared" si="6"/>
        <v>OK — no active trigger</v>
      </c>
    </row>
    <row r="9" spans="1:28" ht="15" customHeight="1" x14ac:dyDescent="0.2">
      <c r="A9" s="26"/>
      <c r="B9" s="26"/>
      <c r="C9" s="64"/>
      <c r="D9" s="64"/>
      <c r="E9" s="26"/>
      <c r="F9" s="26"/>
      <c r="G9" s="62" t="str">
        <f t="shared" si="0"/>
        <v/>
      </c>
      <c r="H9" s="26"/>
      <c r="I9" s="26"/>
      <c r="J9" s="62" t="str">
        <f t="shared" si="1"/>
        <v/>
      </c>
      <c r="K9" s="26"/>
      <c r="L9" s="26"/>
      <c r="M9" s="62" t="str">
        <f t="shared" si="2"/>
        <v/>
      </c>
      <c r="N9" s="26"/>
      <c r="O9" s="26"/>
      <c r="P9" s="62" t="str">
        <f t="shared" si="3"/>
        <v/>
      </c>
      <c r="Q9" s="26"/>
      <c r="R9" s="26"/>
      <c r="S9" s="62" t="str">
        <f t="shared" si="4"/>
        <v/>
      </c>
      <c r="T9" s="63"/>
      <c r="U9" s="63"/>
      <c r="V9" s="64"/>
      <c r="W9" s="64"/>
      <c r="X9" s="26"/>
      <c r="Y9" s="26"/>
      <c r="Z9" s="62" t="str">
        <f t="shared" si="5"/>
        <v>OK</v>
      </c>
      <c r="AA9" s="26"/>
      <c r="AB9" s="45" t="str">
        <f t="shared" si="6"/>
        <v>OK — no active trigger</v>
      </c>
    </row>
    <row r="10" spans="1:28" ht="15" customHeight="1" x14ac:dyDescent="0.2">
      <c r="A10" s="26"/>
      <c r="B10" s="26"/>
      <c r="C10" s="64"/>
      <c r="D10" s="64"/>
      <c r="E10" s="26"/>
      <c r="F10" s="26"/>
      <c r="G10" s="62" t="str">
        <f t="shared" si="0"/>
        <v/>
      </c>
      <c r="H10" s="26"/>
      <c r="I10" s="26"/>
      <c r="J10" s="62" t="str">
        <f t="shared" si="1"/>
        <v/>
      </c>
      <c r="K10" s="26"/>
      <c r="L10" s="26"/>
      <c r="M10" s="62" t="str">
        <f t="shared" si="2"/>
        <v/>
      </c>
      <c r="N10" s="26"/>
      <c r="O10" s="26"/>
      <c r="P10" s="62" t="str">
        <f t="shared" si="3"/>
        <v/>
      </c>
      <c r="Q10" s="26"/>
      <c r="R10" s="26"/>
      <c r="S10" s="62" t="str">
        <f t="shared" si="4"/>
        <v/>
      </c>
      <c r="T10" s="63"/>
      <c r="U10" s="63"/>
      <c r="V10" s="64"/>
      <c r="W10" s="64"/>
      <c r="X10" s="26"/>
      <c r="Y10" s="26"/>
      <c r="Z10" s="62" t="str">
        <f t="shared" si="5"/>
        <v>OK</v>
      </c>
      <c r="AA10" s="26"/>
      <c r="AB10" s="45" t="str">
        <f t="shared" si="6"/>
        <v>OK — no active trigger</v>
      </c>
    </row>
    <row r="11" spans="1:28" ht="15" customHeight="1" x14ac:dyDescent="0.2">
      <c r="A11" s="26"/>
      <c r="B11" s="26"/>
      <c r="C11" s="64"/>
      <c r="D11" s="64"/>
      <c r="E11" s="26"/>
      <c r="F11" s="26"/>
      <c r="G11" s="62" t="str">
        <f t="shared" si="0"/>
        <v/>
      </c>
      <c r="H11" s="26"/>
      <c r="I11" s="26"/>
      <c r="J11" s="62" t="str">
        <f t="shared" si="1"/>
        <v/>
      </c>
      <c r="K11" s="26"/>
      <c r="L11" s="26"/>
      <c r="M11" s="62" t="str">
        <f t="shared" si="2"/>
        <v/>
      </c>
      <c r="N11" s="26"/>
      <c r="O11" s="26"/>
      <c r="P11" s="62" t="str">
        <f t="shared" si="3"/>
        <v/>
      </c>
      <c r="Q11" s="26"/>
      <c r="R11" s="26"/>
      <c r="S11" s="62" t="str">
        <f t="shared" si="4"/>
        <v/>
      </c>
      <c r="T11" s="63"/>
      <c r="U11" s="63"/>
      <c r="V11" s="64"/>
      <c r="W11" s="64"/>
      <c r="X11" s="26"/>
      <c r="Y11" s="26"/>
      <c r="Z11" s="62" t="str">
        <f t="shared" si="5"/>
        <v>OK</v>
      </c>
      <c r="AA11" s="26"/>
      <c r="AB11" s="45" t="str">
        <f t="shared" si="6"/>
        <v>OK — no active trigger</v>
      </c>
    </row>
    <row r="12" spans="1:28" ht="15" customHeight="1" x14ac:dyDescent="0.2">
      <c r="A12" s="26"/>
      <c r="B12" s="26"/>
      <c r="C12" s="64"/>
      <c r="D12" s="64"/>
      <c r="E12" s="26"/>
      <c r="F12" s="26"/>
      <c r="G12" s="62" t="str">
        <f t="shared" si="0"/>
        <v/>
      </c>
      <c r="H12" s="26"/>
      <c r="I12" s="26"/>
      <c r="J12" s="62" t="str">
        <f t="shared" si="1"/>
        <v/>
      </c>
      <c r="K12" s="26"/>
      <c r="L12" s="26"/>
      <c r="M12" s="62" t="str">
        <f t="shared" si="2"/>
        <v/>
      </c>
      <c r="N12" s="26"/>
      <c r="O12" s="26"/>
      <c r="P12" s="62" t="str">
        <f t="shared" si="3"/>
        <v/>
      </c>
      <c r="Q12" s="26"/>
      <c r="R12" s="26"/>
      <c r="S12" s="62" t="str">
        <f t="shared" si="4"/>
        <v/>
      </c>
      <c r="T12" s="63"/>
      <c r="U12" s="63"/>
      <c r="V12" s="64"/>
      <c r="W12" s="64"/>
      <c r="X12" s="26"/>
      <c r="Y12" s="26"/>
      <c r="Z12" s="62" t="str">
        <f t="shared" si="5"/>
        <v>OK</v>
      </c>
      <c r="AA12" s="26"/>
      <c r="AB12" s="45" t="str">
        <f t="shared" si="6"/>
        <v>OK — no active trigger</v>
      </c>
    </row>
    <row r="13" spans="1:28" ht="15" customHeight="1" x14ac:dyDescent="0.2">
      <c r="A13" s="26"/>
      <c r="B13" s="26"/>
      <c r="C13" s="64"/>
      <c r="D13" s="64"/>
      <c r="E13" s="26"/>
      <c r="F13" s="26"/>
      <c r="G13" s="62" t="str">
        <f t="shared" si="0"/>
        <v/>
      </c>
      <c r="H13" s="26"/>
      <c r="I13" s="26"/>
      <c r="J13" s="62" t="str">
        <f t="shared" si="1"/>
        <v/>
      </c>
      <c r="K13" s="26"/>
      <c r="L13" s="26"/>
      <c r="M13" s="62" t="str">
        <f t="shared" si="2"/>
        <v/>
      </c>
      <c r="N13" s="26"/>
      <c r="O13" s="26"/>
      <c r="P13" s="62" t="str">
        <f t="shared" si="3"/>
        <v/>
      </c>
      <c r="Q13" s="26"/>
      <c r="R13" s="26"/>
      <c r="S13" s="62" t="str">
        <f t="shared" si="4"/>
        <v/>
      </c>
      <c r="T13" s="63"/>
      <c r="U13" s="63"/>
      <c r="V13" s="64"/>
      <c r="W13" s="64"/>
      <c r="X13" s="26"/>
      <c r="Y13" s="26"/>
      <c r="Z13" s="62" t="str">
        <f t="shared" si="5"/>
        <v>OK</v>
      </c>
      <c r="AA13" s="26"/>
      <c r="AB13" s="45" t="str">
        <f t="shared" si="6"/>
        <v>OK — no active trigger</v>
      </c>
    </row>
    <row r="14" spans="1:28" ht="15" customHeight="1" x14ac:dyDescent="0.2">
      <c r="A14" s="26"/>
      <c r="B14" s="26"/>
      <c r="C14" s="64"/>
      <c r="D14" s="64"/>
      <c r="E14" s="26"/>
      <c r="F14" s="26"/>
      <c r="G14" s="62" t="str">
        <f t="shared" si="0"/>
        <v/>
      </c>
      <c r="H14" s="26"/>
      <c r="I14" s="26"/>
      <c r="J14" s="62" t="str">
        <f t="shared" si="1"/>
        <v/>
      </c>
      <c r="K14" s="26"/>
      <c r="L14" s="26"/>
      <c r="M14" s="62" t="str">
        <f t="shared" si="2"/>
        <v/>
      </c>
      <c r="N14" s="26"/>
      <c r="O14" s="26"/>
      <c r="P14" s="62" t="str">
        <f t="shared" si="3"/>
        <v/>
      </c>
      <c r="Q14" s="26"/>
      <c r="R14" s="26"/>
      <c r="S14" s="62" t="str">
        <f t="shared" si="4"/>
        <v/>
      </c>
      <c r="T14" s="63"/>
      <c r="U14" s="63"/>
      <c r="V14" s="64"/>
      <c r="W14" s="64"/>
      <c r="X14" s="26"/>
      <c r="Y14" s="26"/>
      <c r="Z14" s="62" t="str">
        <f t="shared" si="5"/>
        <v>OK</v>
      </c>
      <c r="AA14" s="26"/>
      <c r="AB14" s="45" t="str">
        <f t="shared" si="6"/>
        <v>OK — no active trigger</v>
      </c>
    </row>
    <row r="15" spans="1:28" ht="15" customHeight="1" x14ac:dyDescent="0.2">
      <c r="A15" s="26"/>
      <c r="B15" s="26"/>
      <c r="C15" s="64"/>
      <c r="D15" s="64"/>
      <c r="E15" s="26"/>
      <c r="F15" s="26"/>
      <c r="G15" s="62" t="str">
        <f t="shared" si="0"/>
        <v/>
      </c>
      <c r="H15" s="26"/>
      <c r="I15" s="26"/>
      <c r="J15" s="62" t="str">
        <f t="shared" si="1"/>
        <v/>
      </c>
      <c r="K15" s="26"/>
      <c r="L15" s="26"/>
      <c r="M15" s="62" t="str">
        <f t="shared" si="2"/>
        <v/>
      </c>
      <c r="N15" s="26"/>
      <c r="O15" s="26"/>
      <c r="P15" s="62" t="str">
        <f t="shared" si="3"/>
        <v/>
      </c>
      <c r="Q15" s="26"/>
      <c r="R15" s="26"/>
      <c r="S15" s="62" t="str">
        <f t="shared" si="4"/>
        <v/>
      </c>
      <c r="T15" s="63"/>
      <c r="U15" s="63"/>
      <c r="V15" s="64"/>
      <c r="W15" s="64"/>
      <c r="X15" s="26"/>
      <c r="Y15" s="26"/>
      <c r="Z15" s="62" t="str">
        <f t="shared" si="5"/>
        <v>OK</v>
      </c>
      <c r="AA15" s="26"/>
      <c r="AB15" s="45" t="str">
        <f t="shared" si="6"/>
        <v>OK — no active trigger</v>
      </c>
    </row>
    <row r="16" spans="1:28" ht="15" customHeight="1" x14ac:dyDescent="0.2">
      <c r="A16" s="26"/>
      <c r="B16" s="26"/>
      <c r="C16" s="64"/>
      <c r="D16" s="64"/>
      <c r="E16" s="26"/>
      <c r="F16" s="26"/>
      <c r="G16" s="62" t="str">
        <f t="shared" si="0"/>
        <v/>
      </c>
      <c r="H16" s="26"/>
      <c r="I16" s="26"/>
      <c r="J16" s="62" t="str">
        <f t="shared" si="1"/>
        <v/>
      </c>
      <c r="K16" s="26"/>
      <c r="L16" s="26"/>
      <c r="M16" s="62" t="str">
        <f t="shared" si="2"/>
        <v/>
      </c>
      <c r="N16" s="26"/>
      <c r="O16" s="26"/>
      <c r="P16" s="62" t="str">
        <f t="shared" si="3"/>
        <v/>
      </c>
      <c r="Q16" s="26"/>
      <c r="R16" s="26"/>
      <c r="S16" s="62" t="str">
        <f t="shared" si="4"/>
        <v/>
      </c>
      <c r="T16" s="63"/>
      <c r="U16" s="63"/>
      <c r="V16" s="64"/>
      <c r="W16" s="64"/>
      <c r="X16" s="26"/>
      <c r="Y16" s="26"/>
      <c r="Z16" s="62" t="str">
        <f t="shared" si="5"/>
        <v>OK</v>
      </c>
      <c r="AA16" s="26"/>
      <c r="AB16" s="45" t="str">
        <f t="shared" si="6"/>
        <v>OK — no active trigger</v>
      </c>
    </row>
    <row r="17" spans="1:28" ht="15" customHeight="1" x14ac:dyDescent="0.2">
      <c r="A17" s="26"/>
      <c r="B17" s="26"/>
      <c r="C17" s="64"/>
      <c r="D17" s="64"/>
      <c r="E17" s="26"/>
      <c r="F17" s="26"/>
      <c r="G17" s="62" t="str">
        <f t="shared" si="0"/>
        <v/>
      </c>
      <c r="H17" s="26"/>
      <c r="I17" s="26"/>
      <c r="J17" s="62" t="str">
        <f t="shared" si="1"/>
        <v/>
      </c>
      <c r="K17" s="26"/>
      <c r="L17" s="26"/>
      <c r="M17" s="62" t="str">
        <f t="shared" si="2"/>
        <v/>
      </c>
      <c r="N17" s="26"/>
      <c r="O17" s="26"/>
      <c r="P17" s="62" t="str">
        <f t="shared" si="3"/>
        <v/>
      </c>
      <c r="Q17" s="26"/>
      <c r="R17" s="26"/>
      <c r="S17" s="62" t="str">
        <f t="shared" si="4"/>
        <v/>
      </c>
      <c r="T17" s="63"/>
      <c r="U17" s="63"/>
      <c r="V17" s="64"/>
      <c r="W17" s="64"/>
      <c r="X17" s="26"/>
      <c r="Y17" s="26"/>
      <c r="Z17" s="62" t="str">
        <f t="shared" si="5"/>
        <v>OK</v>
      </c>
      <c r="AA17" s="26"/>
      <c r="AB17" s="45" t="str">
        <f t="shared" si="6"/>
        <v>OK — no active trigger</v>
      </c>
    </row>
    <row r="18" spans="1:28" ht="15" customHeight="1" x14ac:dyDescent="0.2">
      <c r="A18" s="26"/>
      <c r="B18" s="26"/>
      <c r="C18" s="64"/>
      <c r="D18" s="64"/>
      <c r="E18" s="26"/>
      <c r="F18" s="26"/>
      <c r="G18" s="62" t="str">
        <f t="shared" si="0"/>
        <v/>
      </c>
      <c r="H18" s="26"/>
      <c r="I18" s="26"/>
      <c r="J18" s="62" t="str">
        <f t="shared" si="1"/>
        <v/>
      </c>
      <c r="K18" s="26"/>
      <c r="L18" s="26"/>
      <c r="M18" s="62" t="str">
        <f t="shared" si="2"/>
        <v/>
      </c>
      <c r="N18" s="26"/>
      <c r="O18" s="26"/>
      <c r="P18" s="62" t="str">
        <f t="shared" si="3"/>
        <v/>
      </c>
      <c r="Q18" s="26"/>
      <c r="R18" s="26"/>
      <c r="S18" s="62" t="str">
        <f t="shared" si="4"/>
        <v/>
      </c>
      <c r="T18" s="63"/>
      <c r="U18" s="63"/>
      <c r="V18" s="64"/>
      <c r="W18" s="64"/>
      <c r="X18" s="26"/>
      <c r="Y18" s="26"/>
      <c r="Z18" s="62" t="str">
        <f t="shared" si="5"/>
        <v>OK</v>
      </c>
      <c r="AA18" s="26"/>
      <c r="AB18" s="45" t="str">
        <f t="shared" si="6"/>
        <v>OK — no active trigger</v>
      </c>
    </row>
    <row r="19" spans="1:28" ht="15" customHeight="1" x14ac:dyDescent="0.2">
      <c r="A19" s="26"/>
      <c r="B19" s="26"/>
      <c r="C19" s="64"/>
      <c r="D19" s="64"/>
      <c r="E19" s="26"/>
      <c r="F19" s="26"/>
      <c r="G19" s="62" t="str">
        <f t="shared" si="0"/>
        <v/>
      </c>
      <c r="H19" s="26"/>
      <c r="I19" s="26"/>
      <c r="J19" s="62" t="str">
        <f t="shared" si="1"/>
        <v/>
      </c>
      <c r="K19" s="26"/>
      <c r="L19" s="26"/>
      <c r="M19" s="62" t="str">
        <f t="shared" si="2"/>
        <v/>
      </c>
      <c r="N19" s="26"/>
      <c r="O19" s="26"/>
      <c r="P19" s="62" t="str">
        <f t="shared" si="3"/>
        <v/>
      </c>
      <c r="Q19" s="26"/>
      <c r="R19" s="26"/>
      <c r="S19" s="62" t="str">
        <f t="shared" si="4"/>
        <v/>
      </c>
      <c r="T19" s="63"/>
      <c r="U19" s="63"/>
      <c r="V19" s="64"/>
      <c r="W19" s="64"/>
      <c r="X19" s="26"/>
      <c r="Y19" s="26"/>
      <c r="Z19" s="62" t="str">
        <f t="shared" si="5"/>
        <v>OK</v>
      </c>
      <c r="AA19" s="26"/>
      <c r="AB19" s="45" t="str">
        <f t="shared" si="6"/>
        <v>OK — no active trigger</v>
      </c>
    </row>
    <row r="20" spans="1:28" ht="15" customHeight="1" x14ac:dyDescent="0.2">
      <c r="A20" s="26"/>
      <c r="B20" s="26"/>
      <c r="C20" s="64"/>
      <c r="D20" s="64"/>
      <c r="E20" s="26"/>
      <c r="F20" s="26"/>
      <c r="G20" s="62" t="str">
        <f t="shared" si="0"/>
        <v/>
      </c>
      <c r="H20" s="26"/>
      <c r="I20" s="26"/>
      <c r="J20" s="62" t="str">
        <f t="shared" si="1"/>
        <v/>
      </c>
      <c r="K20" s="26"/>
      <c r="L20" s="26"/>
      <c r="M20" s="62" t="str">
        <f t="shared" si="2"/>
        <v/>
      </c>
      <c r="N20" s="26"/>
      <c r="O20" s="26"/>
      <c r="P20" s="62" t="str">
        <f t="shared" si="3"/>
        <v/>
      </c>
      <c r="Q20" s="26"/>
      <c r="R20" s="26"/>
      <c r="S20" s="62" t="str">
        <f t="shared" si="4"/>
        <v/>
      </c>
      <c r="T20" s="63"/>
      <c r="U20" s="63"/>
      <c r="V20" s="64"/>
      <c r="W20" s="64"/>
      <c r="X20" s="26"/>
      <c r="Y20" s="26"/>
      <c r="Z20" s="62" t="str">
        <f t="shared" si="5"/>
        <v>OK</v>
      </c>
      <c r="AA20" s="26"/>
      <c r="AB20" s="45" t="str">
        <f t="shared" si="6"/>
        <v>OK — no active trigger</v>
      </c>
    </row>
    <row r="21" spans="1:28" ht="15" customHeight="1" x14ac:dyDescent="0.2">
      <c r="A21" s="26"/>
      <c r="B21" s="26"/>
      <c r="C21" s="64"/>
      <c r="D21" s="64"/>
      <c r="E21" s="26"/>
      <c r="F21" s="26"/>
      <c r="G21" s="62" t="str">
        <f t="shared" si="0"/>
        <v/>
      </c>
      <c r="H21" s="26"/>
      <c r="I21" s="26"/>
      <c r="J21" s="62" t="str">
        <f t="shared" si="1"/>
        <v/>
      </c>
      <c r="K21" s="26"/>
      <c r="L21" s="26"/>
      <c r="M21" s="62" t="str">
        <f t="shared" si="2"/>
        <v/>
      </c>
      <c r="N21" s="26"/>
      <c r="O21" s="26"/>
      <c r="P21" s="62" t="str">
        <f t="shared" si="3"/>
        <v/>
      </c>
      <c r="Q21" s="26"/>
      <c r="R21" s="26"/>
      <c r="S21" s="62" t="str">
        <f t="shared" si="4"/>
        <v/>
      </c>
      <c r="T21" s="63"/>
      <c r="U21" s="63"/>
      <c r="V21" s="64"/>
      <c r="W21" s="64"/>
      <c r="X21" s="26"/>
      <c r="Y21" s="26"/>
      <c r="Z21" s="62" t="str">
        <f t="shared" si="5"/>
        <v>OK</v>
      </c>
      <c r="AA21" s="26"/>
      <c r="AB21" s="45" t="str">
        <f t="shared" si="6"/>
        <v>OK — no active trigger</v>
      </c>
    </row>
    <row r="22" spans="1:28" ht="15" customHeight="1" x14ac:dyDescent="0.2">
      <c r="A22" s="26"/>
      <c r="B22" s="26"/>
      <c r="C22" s="64"/>
      <c r="D22" s="64"/>
      <c r="E22" s="26"/>
      <c r="F22" s="26"/>
      <c r="G22" s="62" t="str">
        <f t="shared" si="0"/>
        <v/>
      </c>
      <c r="H22" s="26"/>
      <c r="I22" s="26"/>
      <c r="J22" s="62" t="str">
        <f t="shared" si="1"/>
        <v/>
      </c>
      <c r="K22" s="26"/>
      <c r="L22" s="26"/>
      <c r="M22" s="62" t="str">
        <f t="shared" si="2"/>
        <v/>
      </c>
      <c r="N22" s="26"/>
      <c r="O22" s="26"/>
      <c r="P22" s="62" t="str">
        <f t="shared" si="3"/>
        <v/>
      </c>
      <c r="Q22" s="26"/>
      <c r="R22" s="26"/>
      <c r="S22" s="62" t="str">
        <f t="shared" si="4"/>
        <v/>
      </c>
      <c r="T22" s="63"/>
      <c r="U22" s="63"/>
      <c r="V22" s="64"/>
      <c r="W22" s="64"/>
      <c r="X22" s="26"/>
      <c r="Y22" s="26"/>
      <c r="Z22" s="62" t="str">
        <f t="shared" si="5"/>
        <v>OK</v>
      </c>
      <c r="AA22" s="26"/>
      <c r="AB22" s="45" t="str">
        <f t="shared" si="6"/>
        <v>OK — no active trigger</v>
      </c>
    </row>
    <row r="23" spans="1:28" ht="15" customHeight="1" x14ac:dyDescent="0.2">
      <c r="A23" s="26"/>
      <c r="B23" s="26"/>
      <c r="C23" s="64"/>
      <c r="D23" s="64"/>
      <c r="E23" s="26"/>
      <c r="F23" s="26"/>
      <c r="G23" s="62" t="str">
        <f t="shared" si="0"/>
        <v/>
      </c>
      <c r="H23" s="26"/>
      <c r="I23" s="26"/>
      <c r="J23" s="62" t="str">
        <f t="shared" si="1"/>
        <v/>
      </c>
      <c r="K23" s="26"/>
      <c r="L23" s="26"/>
      <c r="M23" s="62" t="str">
        <f t="shared" si="2"/>
        <v/>
      </c>
      <c r="N23" s="26"/>
      <c r="O23" s="26"/>
      <c r="P23" s="62" t="str">
        <f t="shared" si="3"/>
        <v/>
      </c>
      <c r="Q23" s="26"/>
      <c r="R23" s="26"/>
      <c r="S23" s="62" t="str">
        <f t="shared" si="4"/>
        <v/>
      </c>
      <c r="T23" s="63"/>
      <c r="U23" s="63"/>
      <c r="V23" s="64"/>
      <c r="W23" s="64"/>
      <c r="X23" s="26"/>
      <c r="Y23" s="26"/>
      <c r="Z23" s="62" t="str">
        <f t="shared" si="5"/>
        <v>OK</v>
      </c>
      <c r="AA23" s="26"/>
      <c r="AB23" s="45" t="str">
        <f t="shared" si="6"/>
        <v>OK — no active trigger</v>
      </c>
    </row>
  </sheetData>
  <mergeCells count="3">
    <mergeCell ref="A1:V1"/>
    <mergeCell ref="E2:S2"/>
    <mergeCell ref="T2:Z2"/>
  </mergeCells>
  <conditionalFormatting sqref="G4:G23">
    <cfRule type="cellIs" dxfId="15" priority="2" operator="equal">
      <formula>"TRIGGER"</formula>
    </cfRule>
    <cfRule type="cellIs" dxfId="14" priority="3" operator="equal">
      <formula>"OK"</formula>
    </cfRule>
  </conditionalFormatting>
  <conditionalFormatting sqref="J4:J23">
    <cfRule type="cellIs" dxfId="13" priority="4" operator="equal">
      <formula>"TRIGGER"</formula>
    </cfRule>
    <cfRule type="cellIs" dxfId="12" priority="5" operator="equal">
      <formula>"OK"</formula>
    </cfRule>
  </conditionalFormatting>
  <conditionalFormatting sqref="M4:M23">
    <cfRule type="cellIs" dxfId="11" priority="6" operator="equal">
      <formula>"TRIGGER"</formula>
    </cfRule>
    <cfRule type="cellIs" dxfId="10" priority="7" operator="equal">
      <formula>"OK"</formula>
    </cfRule>
  </conditionalFormatting>
  <conditionalFormatting sqref="P4:P23">
    <cfRule type="cellIs" dxfId="9" priority="8" operator="equal">
      <formula>"TRIGGER"</formula>
    </cfRule>
    <cfRule type="cellIs" dxfId="8" priority="9" operator="equal">
      <formula>"OK"</formula>
    </cfRule>
  </conditionalFormatting>
  <conditionalFormatting sqref="S4:S23">
    <cfRule type="cellIs" dxfId="7" priority="10" operator="equal">
      <formula>"TRIGGER"</formula>
    </cfRule>
    <cfRule type="cellIs" dxfId="6" priority="11" operator="equal">
      <formula>"OK"</formula>
    </cfRule>
  </conditionalFormatting>
  <conditionalFormatting sqref="Z4:Z23">
    <cfRule type="expression" dxfId="5" priority="12">
      <formula>Z4&lt;&gt;"OK"</formula>
    </cfRule>
  </conditionalFormatting>
  <conditionalFormatting sqref="AB4:AB23">
    <cfRule type="expression" dxfId="4" priority="13">
      <formula>ISNUMBER(SEARCH("ACTION REQUIRED",AB4))</formula>
    </cfRule>
    <cfRule type="expression" dxfId="3" priority="14">
      <formula>ISNUMBER(SEARCH("OK",AB4))</formula>
    </cfRule>
    <cfRule type="expression" dxfId="2"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34"/>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8" customWidth="1"/>
    <col min="2" max="2" width="14" customWidth="1"/>
    <col min="3" max="3" width="11" customWidth="1"/>
    <col min="4" max="4" width="9" customWidth="1"/>
    <col min="5" max="5" width="8" customWidth="1"/>
    <col min="6" max="6" width="9" customWidth="1"/>
    <col min="7" max="7" width="12" customWidth="1"/>
    <col min="8" max="8" width="10" customWidth="1"/>
    <col min="9" max="10" width="11" customWidth="1"/>
    <col min="11" max="11" width="9" customWidth="1"/>
    <col min="12" max="12" width="20" customWidth="1"/>
    <col min="13" max="14" width="11" customWidth="1"/>
    <col min="15" max="16" width="12" customWidth="1"/>
    <col min="17" max="17" width="11" customWidth="1"/>
  </cols>
  <sheetData>
    <row r="1" spans="1:17" ht="25.5" customHeight="1" x14ac:dyDescent="0.2">
      <c r="A1" s="6" t="s">
        <v>338</v>
      </c>
      <c r="B1" s="6"/>
      <c r="C1" s="6"/>
      <c r="D1" s="6"/>
      <c r="E1" s="6"/>
      <c r="F1" s="6"/>
      <c r="G1" s="6"/>
      <c r="H1" s="6"/>
      <c r="I1" s="6"/>
      <c r="J1" s="6"/>
      <c r="K1" s="6"/>
      <c r="L1" s="6"/>
      <c r="M1" s="6"/>
      <c r="N1" s="6"/>
      <c r="O1" s="6"/>
      <c r="P1" s="6"/>
      <c r="Q1" s="6"/>
    </row>
    <row r="2" spans="1:17" ht="31.5" customHeight="1" x14ac:dyDescent="0.2">
      <c r="A2" s="22" t="s">
        <v>57</v>
      </c>
      <c r="B2" s="22" t="s">
        <v>168</v>
      </c>
      <c r="C2" s="22" t="s">
        <v>339</v>
      </c>
      <c r="D2" s="22" t="s">
        <v>340</v>
      </c>
      <c r="E2" s="22" t="s">
        <v>292</v>
      </c>
      <c r="F2" s="22" t="s">
        <v>341</v>
      </c>
      <c r="G2" s="22" t="s">
        <v>342</v>
      </c>
      <c r="H2" s="22" t="s">
        <v>343</v>
      </c>
      <c r="I2" s="22" t="s">
        <v>344</v>
      </c>
      <c r="J2" s="22" t="s">
        <v>345</v>
      </c>
      <c r="K2" s="22" t="s">
        <v>346</v>
      </c>
      <c r="L2" s="22" t="s">
        <v>347</v>
      </c>
      <c r="M2" s="22" t="s">
        <v>348</v>
      </c>
      <c r="N2" s="22" t="s">
        <v>349</v>
      </c>
      <c r="O2" s="22" t="s">
        <v>350</v>
      </c>
      <c r="P2" s="22" t="s">
        <v>351</v>
      </c>
      <c r="Q2" s="22" t="s">
        <v>352</v>
      </c>
    </row>
    <row r="3" spans="1:17" ht="15" customHeight="1" x14ac:dyDescent="0.2">
      <c r="A3" s="26"/>
      <c r="B3" s="26"/>
      <c r="C3" s="43"/>
      <c r="D3" s="41"/>
      <c r="E3" s="26"/>
      <c r="F3" s="26"/>
      <c r="G3" s="26"/>
      <c r="H3" s="41"/>
      <c r="I3" s="26"/>
      <c r="J3" s="43"/>
      <c r="K3" s="41"/>
      <c r="L3" s="26"/>
      <c r="M3" s="41"/>
      <c r="N3" s="41"/>
      <c r="O3" s="42" t="str">
        <f t="shared" ref="O3:O32" si="0">IF(OR(D3="",M3=""),"",M3/D3-1)</f>
        <v/>
      </c>
      <c r="P3" s="29" t="str">
        <f t="shared" ref="P3:P32" si="1">IF(OR(H3="",N3=""),"",N3/H3-1)</f>
        <v/>
      </c>
      <c r="Q3" s="42" t="str">
        <f t="shared" ref="Q3:Q32" si="2">IF(OR(O3="",P3=""),"",O3-P3)</f>
        <v/>
      </c>
    </row>
    <row r="4" spans="1:17" ht="15" customHeight="1" x14ac:dyDescent="0.2">
      <c r="A4" s="26"/>
      <c r="B4" s="26"/>
      <c r="C4" s="43"/>
      <c r="D4" s="41"/>
      <c r="E4" s="26"/>
      <c r="F4" s="26"/>
      <c r="G4" s="26"/>
      <c r="H4" s="41"/>
      <c r="I4" s="26"/>
      <c r="J4" s="43"/>
      <c r="K4" s="41"/>
      <c r="L4" s="26"/>
      <c r="M4" s="41"/>
      <c r="N4" s="41"/>
      <c r="O4" s="42" t="str">
        <f t="shared" si="0"/>
        <v/>
      </c>
      <c r="P4" s="29" t="str">
        <f t="shared" si="1"/>
        <v/>
      </c>
      <c r="Q4" s="42" t="str">
        <f t="shared" si="2"/>
        <v/>
      </c>
    </row>
    <row r="5" spans="1:17" ht="15" customHeight="1" x14ac:dyDescent="0.2">
      <c r="A5" s="26"/>
      <c r="B5" s="26"/>
      <c r="C5" s="43"/>
      <c r="D5" s="41"/>
      <c r="E5" s="26"/>
      <c r="F5" s="26"/>
      <c r="G5" s="26"/>
      <c r="H5" s="41"/>
      <c r="I5" s="26"/>
      <c r="J5" s="43"/>
      <c r="K5" s="41"/>
      <c r="L5" s="26"/>
      <c r="M5" s="41"/>
      <c r="N5" s="41"/>
      <c r="O5" s="42" t="str">
        <f t="shared" si="0"/>
        <v/>
      </c>
      <c r="P5" s="29" t="str">
        <f t="shared" si="1"/>
        <v/>
      </c>
      <c r="Q5" s="42" t="str">
        <f t="shared" si="2"/>
        <v/>
      </c>
    </row>
    <row r="6" spans="1:17" ht="15" customHeight="1" x14ac:dyDescent="0.2">
      <c r="A6" s="26"/>
      <c r="B6" s="26"/>
      <c r="C6" s="43"/>
      <c r="D6" s="41"/>
      <c r="E6" s="26"/>
      <c r="F6" s="26"/>
      <c r="G6" s="26"/>
      <c r="H6" s="41"/>
      <c r="I6" s="26"/>
      <c r="J6" s="43"/>
      <c r="K6" s="41"/>
      <c r="L6" s="26"/>
      <c r="M6" s="41"/>
      <c r="N6" s="41"/>
      <c r="O6" s="42" t="str">
        <f t="shared" si="0"/>
        <v/>
      </c>
      <c r="P6" s="29" t="str">
        <f t="shared" si="1"/>
        <v/>
      </c>
      <c r="Q6" s="42" t="str">
        <f t="shared" si="2"/>
        <v/>
      </c>
    </row>
    <row r="7" spans="1:17" ht="15" customHeight="1" x14ac:dyDescent="0.2">
      <c r="A7" s="26"/>
      <c r="B7" s="26"/>
      <c r="C7" s="43"/>
      <c r="D7" s="41"/>
      <c r="E7" s="26"/>
      <c r="F7" s="26"/>
      <c r="G7" s="26"/>
      <c r="H7" s="41"/>
      <c r="I7" s="26"/>
      <c r="J7" s="43"/>
      <c r="K7" s="41"/>
      <c r="L7" s="26"/>
      <c r="M7" s="41"/>
      <c r="N7" s="41"/>
      <c r="O7" s="42" t="str">
        <f t="shared" si="0"/>
        <v/>
      </c>
      <c r="P7" s="29" t="str">
        <f t="shared" si="1"/>
        <v/>
      </c>
      <c r="Q7" s="42" t="str">
        <f t="shared" si="2"/>
        <v/>
      </c>
    </row>
    <row r="8" spans="1:17" ht="15" customHeight="1" x14ac:dyDescent="0.2">
      <c r="A8" s="26"/>
      <c r="B8" s="26"/>
      <c r="C8" s="43"/>
      <c r="D8" s="41"/>
      <c r="E8" s="26"/>
      <c r="F8" s="26"/>
      <c r="G8" s="26"/>
      <c r="H8" s="41"/>
      <c r="I8" s="26"/>
      <c r="J8" s="43"/>
      <c r="K8" s="41"/>
      <c r="L8" s="26"/>
      <c r="M8" s="41"/>
      <c r="N8" s="41"/>
      <c r="O8" s="42" t="str">
        <f t="shared" si="0"/>
        <v/>
      </c>
      <c r="P8" s="29" t="str">
        <f t="shared" si="1"/>
        <v/>
      </c>
      <c r="Q8" s="42" t="str">
        <f t="shared" si="2"/>
        <v/>
      </c>
    </row>
    <row r="9" spans="1:17" ht="15" customHeight="1" x14ac:dyDescent="0.2">
      <c r="A9" s="26"/>
      <c r="B9" s="26"/>
      <c r="C9" s="43"/>
      <c r="D9" s="41"/>
      <c r="E9" s="26"/>
      <c r="F9" s="26"/>
      <c r="G9" s="26"/>
      <c r="H9" s="41"/>
      <c r="I9" s="26"/>
      <c r="J9" s="43"/>
      <c r="K9" s="41"/>
      <c r="L9" s="26"/>
      <c r="M9" s="41"/>
      <c r="N9" s="41"/>
      <c r="O9" s="42" t="str">
        <f t="shared" si="0"/>
        <v/>
      </c>
      <c r="P9" s="29" t="str">
        <f t="shared" si="1"/>
        <v/>
      </c>
      <c r="Q9" s="42" t="str">
        <f t="shared" si="2"/>
        <v/>
      </c>
    </row>
    <row r="10" spans="1:17" ht="15" customHeight="1" x14ac:dyDescent="0.2">
      <c r="A10" s="26"/>
      <c r="B10" s="26"/>
      <c r="C10" s="43"/>
      <c r="D10" s="41"/>
      <c r="E10" s="26"/>
      <c r="F10" s="26"/>
      <c r="G10" s="26"/>
      <c r="H10" s="41"/>
      <c r="I10" s="26"/>
      <c r="J10" s="43"/>
      <c r="K10" s="41"/>
      <c r="L10" s="26"/>
      <c r="M10" s="41"/>
      <c r="N10" s="41"/>
      <c r="O10" s="42" t="str">
        <f t="shared" si="0"/>
        <v/>
      </c>
      <c r="P10" s="29" t="str">
        <f t="shared" si="1"/>
        <v/>
      </c>
      <c r="Q10" s="42" t="str">
        <f t="shared" si="2"/>
        <v/>
      </c>
    </row>
    <row r="11" spans="1:17" ht="15" customHeight="1" x14ac:dyDescent="0.2">
      <c r="A11" s="26"/>
      <c r="B11" s="26"/>
      <c r="C11" s="43"/>
      <c r="D11" s="41"/>
      <c r="E11" s="26"/>
      <c r="F11" s="26"/>
      <c r="G11" s="26"/>
      <c r="H11" s="41"/>
      <c r="I11" s="26"/>
      <c r="J11" s="43"/>
      <c r="K11" s="41"/>
      <c r="L11" s="26"/>
      <c r="M11" s="41"/>
      <c r="N11" s="41"/>
      <c r="O11" s="42" t="str">
        <f t="shared" si="0"/>
        <v/>
      </c>
      <c r="P11" s="29" t="str">
        <f t="shared" si="1"/>
        <v/>
      </c>
      <c r="Q11" s="42" t="str">
        <f t="shared" si="2"/>
        <v/>
      </c>
    </row>
    <row r="12" spans="1:17" ht="15" customHeight="1" x14ac:dyDescent="0.2">
      <c r="A12" s="26"/>
      <c r="B12" s="26"/>
      <c r="C12" s="43"/>
      <c r="D12" s="41"/>
      <c r="E12" s="26"/>
      <c r="F12" s="26"/>
      <c r="G12" s="26"/>
      <c r="H12" s="41"/>
      <c r="I12" s="26"/>
      <c r="J12" s="43"/>
      <c r="K12" s="41"/>
      <c r="L12" s="26"/>
      <c r="M12" s="41"/>
      <c r="N12" s="41"/>
      <c r="O12" s="42" t="str">
        <f t="shared" si="0"/>
        <v/>
      </c>
      <c r="P12" s="29" t="str">
        <f t="shared" si="1"/>
        <v/>
      </c>
      <c r="Q12" s="42" t="str">
        <f t="shared" si="2"/>
        <v/>
      </c>
    </row>
    <row r="13" spans="1:17" ht="15" customHeight="1" x14ac:dyDescent="0.2">
      <c r="A13" s="26"/>
      <c r="B13" s="26"/>
      <c r="C13" s="43"/>
      <c r="D13" s="41"/>
      <c r="E13" s="26"/>
      <c r="F13" s="26"/>
      <c r="G13" s="26"/>
      <c r="H13" s="41"/>
      <c r="I13" s="26"/>
      <c r="J13" s="43"/>
      <c r="K13" s="41"/>
      <c r="L13" s="26"/>
      <c r="M13" s="41"/>
      <c r="N13" s="41"/>
      <c r="O13" s="42" t="str">
        <f t="shared" si="0"/>
        <v/>
      </c>
      <c r="P13" s="29" t="str">
        <f t="shared" si="1"/>
        <v/>
      </c>
      <c r="Q13" s="42" t="str">
        <f t="shared" si="2"/>
        <v/>
      </c>
    </row>
    <row r="14" spans="1:17" ht="15" customHeight="1" x14ac:dyDescent="0.2">
      <c r="A14" s="26"/>
      <c r="B14" s="26"/>
      <c r="C14" s="43"/>
      <c r="D14" s="41"/>
      <c r="E14" s="26"/>
      <c r="F14" s="26"/>
      <c r="G14" s="26"/>
      <c r="H14" s="41"/>
      <c r="I14" s="26"/>
      <c r="J14" s="43"/>
      <c r="K14" s="41"/>
      <c r="L14" s="26"/>
      <c r="M14" s="41"/>
      <c r="N14" s="41"/>
      <c r="O14" s="42" t="str">
        <f t="shared" si="0"/>
        <v/>
      </c>
      <c r="P14" s="29" t="str">
        <f t="shared" si="1"/>
        <v/>
      </c>
      <c r="Q14" s="42" t="str">
        <f t="shared" si="2"/>
        <v/>
      </c>
    </row>
    <row r="15" spans="1:17" ht="15" customHeight="1" x14ac:dyDescent="0.2">
      <c r="A15" s="26"/>
      <c r="B15" s="26"/>
      <c r="C15" s="43"/>
      <c r="D15" s="41"/>
      <c r="E15" s="26"/>
      <c r="F15" s="26"/>
      <c r="G15" s="26"/>
      <c r="H15" s="41"/>
      <c r="I15" s="26"/>
      <c r="J15" s="43"/>
      <c r="K15" s="41"/>
      <c r="L15" s="26"/>
      <c r="M15" s="41"/>
      <c r="N15" s="41"/>
      <c r="O15" s="42" t="str">
        <f t="shared" si="0"/>
        <v/>
      </c>
      <c r="P15" s="29" t="str">
        <f t="shared" si="1"/>
        <v/>
      </c>
      <c r="Q15" s="42" t="str">
        <f t="shared" si="2"/>
        <v/>
      </c>
    </row>
    <row r="16" spans="1:17" ht="15" customHeight="1" x14ac:dyDescent="0.2">
      <c r="A16" s="26"/>
      <c r="B16" s="26"/>
      <c r="C16" s="43"/>
      <c r="D16" s="41"/>
      <c r="E16" s="26"/>
      <c r="F16" s="26"/>
      <c r="G16" s="26"/>
      <c r="H16" s="41"/>
      <c r="I16" s="26"/>
      <c r="J16" s="43"/>
      <c r="K16" s="41"/>
      <c r="L16" s="26"/>
      <c r="M16" s="41"/>
      <c r="N16" s="41"/>
      <c r="O16" s="42" t="str">
        <f t="shared" si="0"/>
        <v/>
      </c>
      <c r="P16" s="29" t="str">
        <f t="shared" si="1"/>
        <v/>
      </c>
      <c r="Q16" s="42" t="str">
        <f t="shared" si="2"/>
        <v/>
      </c>
    </row>
    <row r="17" spans="1:17" ht="15" customHeight="1" x14ac:dyDescent="0.2">
      <c r="A17" s="26"/>
      <c r="B17" s="26"/>
      <c r="C17" s="43"/>
      <c r="D17" s="41"/>
      <c r="E17" s="26"/>
      <c r="F17" s="26"/>
      <c r="G17" s="26"/>
      <c r="H17" s="41"/>
      <c r="I17" s="26"/>
      <c r="J17" s="43"/>
      <c r="K17" s="41"/>
      <c r="L17" s="26"/>
      <c r="M17" s="41"/>
      <c r="N17" s="41"/>
      <c r="O17" s="42" t="str">
        <f t="shared" si="0"/>
        <v/>
      </c>
      <c r="P17" s="29" t="str">
        <f t="shared" si="1"/>
        <v/>
      </c>
      <c r="Q17" s="42" t="str">
        <f t="shared" si="2"/>
        <v/>
      </c>
    </row>
    <row r="18" spans="1:17" ht="15" customHeight="1" x14ac:dyDescent="0.2">
      <c r="A18" s="26"/>
      <c r="B18" s="26"/>
      <c r="C18" s="43"/>
      <c r="D18" s="41"/>
      <c r="E18" s="26"/>
      <c r="F18" s="26"/>
      <c r="G18" s="26"/>
      <c r="H18" s="41"/>
      <c r="I18" s="26"/>
      <c r="J18" s="43"/>
      <c r="K18" s="41"/>
      <c r="L18" s="26"/>
      <c r="M18" s="41"/>
      <c r="N18" s="41"/>
      <c r="O18" s="42" t="str">
        <f t="shared" si="0"/>
        <v/>
      </c>
      <c r="P18" s="29" t="str">
        <f t="shared" si="1"/>
        <v/>
      </c>
      <c r="Q18" s="42" t="str">
        <f t="shared" si="2"/>
        <v/>
      </c>
    </row>
    <row r="19" spans="1:17" ht="15" customHeight="1" x14ac:dyDescent="0.2">
      <c r="A19" s="26"/>
      <c r="B19" s="26"/>
      <c r="C19" s="43"/>
      <c r="D19" s="41"/>
      <c r="E19" s="26"/>
      <c r="F19" s="26"/>
      <c r="G19" s="26"/>
      <c r="H19" s="41"/>
      <c r="I19" s="26"/>
      <c r="J19" s="43"/>
      <c r="K19" s="41"/>
      <c r="L19" s="26"/>
      <c r="M19" s="41"/>
      <c r="N19" s="41"/>
      <c r="O19" s="42" t="str">
        <f t="shared" si="0"/>
        <v/>
      </c>
      <c r="P19" s="29" t="str">
        <f t="shared" si="1"/>
        <v/>
      </c>
      <c r="Q19" s="42" t="str">
        <f t="shared" si="2"/>
        <v/>
      </c>
    </row>
    <row r="20" spans="1:17" ht="15" customHeight="1" x14ac:dyDescent="0.2">
      <c r="A20" s="26"/>
      <c r="B20" s="26"/>
      <c r="C20" s="43"/>
      <c r="D20" s="41"/>
      <c r="E20" s="26"/>
      <c r="F20" s="26"/>
      <c r="G20" s="26"/>
      <c r="H20" s="41"/>
      <c r="I20" s="26"/>
      <c r="J20" s="43"/>
      <c r="K20" s="41"/>
      <c r="L20" s="26"/>
      <c r="M20" s="41"/>
      <c r="N20" s="41"/>
      <c r="O20" s="42" t="str">
        <f t="shared" si="0"/>
        <v/>
      </c>
      <c r="P20" s="29" t="str">
        <f t="shared" si="1"/>
        <v/>
      </c>
      <c r="Q20" s="42" t="str">
        <f t="shared" si="2"/>
        <v/>
      </c>
    </row>
    <row r="21" spans="1:17" ht="15" customHeight="1" x14ac:dyDescent="0.2">
      <c r="A21" s="26"/>
      <c r="B21" s="26"/>
      <c r="C21" s="43"/>
      <c r="D21" s="41"/>
      <c r="E21" s="26"/>
      <c r="F21" s="26"/>
      <c r="G21" s="26"/>
      <c r="H21" s="41"/>
      <c r="I21" s="26"/>
      <c r="J21" s="43"/>
      <c r="K21" s="41"/>
      <c r="L21" s="26"/>
      <c r="M21" s="41"/>
      <c r="N21" s="41"/>
      <c r="O21" s="42" t="str">
        <f t="shared" si="0"/>
        <v/>
      </c>
      <c r="P21" s="29" t="str">
        <f t="shared" si="1"/>
        <v/>
      </c>
      <c r="Q21" s="42" t="str">
        <f t="shared" si="2"/>
        <v/>
      </c>
    </row>
    <row r="22" spans="1:17" ht="15" customHeight="1" x14ac:dyDescent="0.2">
      <c r="A22" s="26"/>
      <c r="B22" s="26"/>
      <c r="C22" s="43"/>
      <c r="D22" s="41"/>
      <c r="E22" s="26"/>
      <c r="F22" s="26"/>
      <c r="G22" s="26"/>
      <c r="H22" s="41"/>
      <c r="I22" s="26"/>
      <c r="J22" s="43"/>
      <c r="K22" s="41"/>
      <c r="L22" s="26"/>
      <c r="M22" s="41"/>
      <c r="N22" s="41"/>
      <c r="O22" s="42" t="str">
        <f t="shared" si="0"/>
        <v/>
      </c>
      <c r="P22" s="29" t="str">
        <f t="shared" si="1"/>
        <v/>
      </c>
      <c r="Q22" s="42" t="str">
        <f t="shared" si="2"/>
        <v/>
      </c>
    </row>
    <row r="23" spans="1:17" ht="15" customHeight="1" x14ac:dyDescent="0.2">
      <c r="A23" s="26"/>
      <c r="B23" s="26"/>
      <c r="C23" s="43"/>
      <c r="D23" s="41"/>
      <c r="E23" s="26"/>
      <c r="F23" s="26"/>
      <c r="G23" s="26"/>
      <c r="H23" s="41"/>
      <c r="I23" s="26"/>
      <c r="J23" s="43"/>
      <c r="K23" s="41"/>
      <c r="L23" s="26"/>
      <c r="M23" s="41"/>
      <c r="N23" s="41"/>
      <c r="O23" s="42" t="str">
        <f t="shared" si="0"/>
        <v/>
      </c>
      <c r="P23" s="29" t="str">
        <f t="shared" si="1"/>
        <v/>
      </c>
      <c r="Q23" s="42" t="str">
        <f t="shared" si="2"/>
        <v/>
      </c>
    </row>
    <row r="24" spans="1:17" ht="15" customHeight="1" x14ac:dyDescent="0.2">
      <c r="A24" s="26"/>
      <c r="B24" s="26"/>
      <c r="C24" s="43"/>
      <c r="D24" s="41"/>
      <c r="E24" s="26"/>
      <c r="F24" s="26"/>
      <c r="G24" s="26"/>
      <c r="H24" s="41"/>
      <c r="I24" s="26"/>
      <c r="J24" s="43"/>
      <c r="K24" s="41"/>
      <c r="L24" s="26"/>
      <c r="M24" s="41"/>
      <c r="N24" s="41"/>
      <c r="O24" s="42" t="str">
        <f t="shared" si="0"/>
        <v/>
      </c>
      <c r="P24" s="29" t="str">
        <f t="shared" si="1"/>
        <v/>
      </c>
      <c r="Q24" s="42" t="str">
        <f t="shared" si="2"/>
        <v/>
      </c>
    </row>
    <row r="25" spans="1:17" ht="15" customHeight="1" x14ac:dyDescent="0.2">
      <c r="A25" s="26"/>
      <c r="B25" s="26"/>
      <c r="C25" s="43"/>
      <c r="D25" s="41"/>
      <c r="E25" s="26"/>
      <c r="F25" s="26"/>
      <c r="G25" s="26"/>
      <c r="H25" s="41"/>
      <c r="I25" s="26"/>
      <c r="J25" s="43"/>
      <c r="K25" s="41"/>
      <c r="L25" s="26"/>
      <c r="M25" s="41"/>
      <c r="N25" s="41"/>
      <c r="O25" s="42" t="str">
        <f t="shared" si="0"/>
        <v/>
      </c>
      <c r="P25" s="29" t="str">
        <f t="shared" si="1"/>
        <v/>
      </c>
      <c r="Q25" s="42" t="str">
        <f t="shared" si="2"/>
        <v/>
      </c>
    </row>
    <row r="26" spans="1:17" ht="15" customHeight="1" x14ac:dyDescent="0.2">
      <c r="A26" s="26"/>
      <c r="B26" s="26"/>
      <c r="C26" s="43"/>
      <c r="D26" s="41"/>
      <c r="E26" s="26"/>
      <c r="F26" s="26"/>
      <c r="G26" s="26"/>
      <c r="H26" s="41"/>
      <c r="I26" s="26"/>
      <c r="J26" s="43"/>
      <c r="K26" s="41"/>
      <c r="L26" s="26"/>
      <c r="M26" s="41"/>
      <c r="N26" s="41"/>
      <c r="O26" s="42" t="str">
        <f t="shared" si="0"/>
        <v/>
      </c>
      <c r="P26" s="29" t="str">
        <f t="shared" si="1"/>
        <v/>
      </c>
      <c r="Q26" s="42" t="str">
        <f t="shared" si="2"/>
        <v/>
      </c>
    </row>
    <row r="27" spans="1:17" ht="15" customHeight="1" x14ac:dyDescent="0.2">
      <c r="A27" s="26"/>
      <c r="B27" s="26"/>
      <c r="C27" s="43"/>
      <c r="D27" s="41"/>
      <c r="E27" s="26"/>
      <c r="F27" s="26"/>
      <c r="G27" s="26"/>
      <c r="H27" s="41"/>
      <c r="I27" s="26"/>
      <c r="J27" s="43"/>
      <c r="K27" s="41"/>
      <c r="L27" s="26"/>
      <c r="M27" s="41"/>
      <c r="N27" s="41"/>
      <c r="O27" s="42" t="str">
        <f t="shared" si="0"/>
        <v/>
      </c>
      <c r="P27" s="29" t="str">
        <f t="shared" si="1"/>
        <v/>
      </c>
      <c r="Q27" s="42" t="str">
        <f t="shared" si="2"/>
        <v/>
      </c>
    </row>
    <row r="28" spans="1:17" ht="15" customHeight="1" x14ac:dyDescent="0.2">
      <c r="A28" s="26"/>
      <c r="B28" s="26"/>
      <c r="C28" s="43"/>
      <c r="D28" s="41"/>
      <c r="E28" s="26"/>
      <c r="F28" s="26"/>
      <c r="G28" s="26"/>
      <c r="H28" s="41"/>
      <c r="I28" s="26"/>
      <c r="J28" s="43"/>
      <c r="K28" s="41"/>
      <c r="L28" s="26"/>
      <c r="M28" s="41"/>
      <c r="N28" s="41"/>
      <c r="O28" s="42" t="str">
        <f t="shared" si="0"/>
        <v/>
      </c>
      <c r="P28" s="29" t="str">
        <f t="shared" si="1"/>
        <v/>
      </c>
      <c r="Q28" s="42" t="str">
        <f t="shared" si="2"/>
        <v/>
      </c>
    </row>
    <row r="29" spans="1:17" ht="15" customHeight="1" x14ac:dyDescent="0.2">
      <c r="A29" s="26"/>
      <c r="B29" s="26"/>
      <c r="C29" s="43"/>
      <c r="D29" s="41"/>
      <c r="E29" s="26"/>
      <c r="F29" s="26"/>
      <c r="G29" s="26"/>
      <c r="H29" s="41"/>
      <c r="I29" s="26"/>
      <c r="J29" s="43"/>
      <c r="K29" s="41"/>
      <c r="L29" s="26"/>
      <c r="M29" s="41"/>
      <c r="N29" s="41"/>
      <c r="O29" s="42" t="str">
        <f t="shared" si="0"/>
        <v/>
      </c>
      <c r="P29" s="29" t="str">
        <f t="shared" si="1"/>
        <v/>
      </c>
      <c r="Q29" s="42" t="str">
        <f t="shared" si="2"/>
        <v/>
      </c>
    </row>
    <row r="30" spans="1:17" ht="15" customHeight="1" x14ac:dyDescent="0.2">
      <c r="A30" s="26"/>
      <c r="B30" s="26"/>
      <c r="C30" s="43"/>
      <c r="D30" s="41"/>
      <c r="E30" s="26"/>
      <c r="F30" s="26"/>
      <c r="G30" s="26"/>
      <c r="H30" s="41"/>
      <c r="I30" s="26"/>
      <c r="J30" s="43"/>
      <c r="K30" s="41"/>
      <c r="L30" s="26"/>
      <c r="M30" s="41"/>
      <c r="N30" s="41"/>
      <c r="O30" s="42" t="str">
        <f t="shared" si="0"/>
        <v/>
      </c>
      <c r="P30" s="29" t="str">
        <f t="shared" si="1"/>
        <v/>
      </c>
      <c r="Q30" s="42" t="str">
        <f t="shared" si="2"/>
        <v/>
      </c>
    </row>
    <row r="31" spans="1:17" ht="15" customHeight="1" x14ac:dyDescent="0.2">
      <c r="A31" s="26"/>
      <c r="B31" s="26"/>
      <c r="C31" s="43"/>
      <c r="D31" s="41"/>
      <c r="E31" s="26"/>
      <c r="F31" s="26"/>
      <c r="G31" s="26"/>
      <c r="H31" s="41"/>
      <c r="I31" s="26"/>
      <c r="J31" s="43"/>
      <c r="K31" s="41"/>
      <c r="L31" s="26"/>
      <c r="M31" s="41"/>
      <c r="N31" s="41"/>
      <c r="O31" s="42" t="str">
        <f t="shared" si="0"/>
        <v/>
      </c>
      <c r="P31" s="29" t="str">
        <f t="shared" si="1"/>
        <v/>
      </c>
      <c r="Q31" s="42" t="str">
        <f t="shared" si="2"/>
        <v/>
      </c>
    </row>
    <row r="32" spans="1:17" ht="15" customHeight="1" x14ac:dyDescent="0.2">
      <c r="A32" s="26"/>
      <c r="B32" s="26"/>
      <c r="C32" s="43"/>
      <c r="D32" s="41"/>
      <c r="E32" s="26"/>
      <c r="F32" s="26"/>
      <c r="G32" s="26"/>
      <c r="H32" s="41"/>
      <c r="I32" s="26"/>
      <c r="J32" s="43"/>
      <c r="K32" s="41"/>
      <c r="L32" s="26"/>
      <c r="M32" s="41"/>
      <c r="N32" s="41"/>
      <c r="O32" s="42" t="str">
        <f t="shared" si="0"/>
        <v/>
      </c>
      <c r="P32" s="29" t="str">
        <f t="shared" si="1"/>
        <v/>
      </c>
      <c r="Q32" s="42" t="str">
        <f t="shared" si="2"/>
        <v/>
      </c>
    </row>
    <row r="34" spans="1:17" ht="15" customHeight="1" x14ac:dyDescent="0.2">
      <c r="A34" s="3" t="s">
        <v>353</v>
      </c>
      <c r="B34" s="3"/>
      <c r="C34" s="3"/>
      <c r="D34" s="3"/>
      <c r="E34" s="3"/>
      <c r="F34" s="3"/>
      <c r="G34" s="3"/>
      <c r="H34" s="3"/>
      <c r="I34" s="3"/>
      <c r="J34" s="3"/>
      <c r="K34" s="3"/>
      <c r="L34" s="3"/>
      <c r="M34" s="3"/>
      <c r="N34" s="3"/>
      <c r="O34" s="3"/>
      <c r="P34" s="3"/>
      <c r="Q34" s="3"/>
    </row>
  </sheetData>
  <mergeCells count="2">
    <mergeCell ref="A1:Q1"/>
    <mergeCell ref="A34:Q34"/>
  </mergeCells>
  <conditionalFormatting sqref="Q3:Q32">
    <cfRule type="cellIs" dxfId="1" priority="2" operator="greaterThan">
      <formula>0</formula>
    </cfRule>
    <cfRule type="cellIs" dxfId="0" priority="3" operator="lessThan">
      <formula>0</formula>
    </cfRule>
  </conditionalFormatting>
  <dataValidations count="2">
    <dataValidation type="list" allowBlank="1" sqref="I3:I32" xr:uid="{00000000-0002-0000-0F00-000000000000}">
      <formula1>"Held,Exited"</formula1>
      <formula2>0</formula2>
    </dataValidation>
    <dataValidation type="list" allowBlank="1" sqref="G3:G32" xr:uid="{00000000-0002-0000-0F00-000001000000}">
      <formula1>"Strong Buy,Buy"</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0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3" customWidth="1"/>
    <col min="2" max="2" width="10" customWidth="1"/>
    <col min="3" max="3" width="100" customWidth="1"/>
  </cols>
  <sheetData>
    <row r="1" spans="1:3" ht="27.75" customHeight="1" x14ac:dyDescent="0.2">
      <c r="A1" s="6" t="s">
        <v>354</v>
      </c>
      <c r="B1" s="6"/>
      <c r="C1" s="6"/>
    </row>
    <row r="2" spans="1:3" ht="18" customHeight="1" x14ac:dyDescent="0.2">
      <c r="A2" s="21" t="s">
        <v>282</v>
      </c>
      <c r="B2" s="21" t="s">
        <v>57</v>
      </c>
      <c r="C2" s="21" t="s">
        <v>158</v>
      </c>
    </row>
    <row r="3" spans="1:3" ht="15" customHeight="1" x14ac:dyDescent="0.2">
      <c r="A3" s="76">
        <v>46241</v>
      </c>
      <c r="B3" s="77" t="s">
        <v>126</v>
      </c>
      <c r="C3" s="78" t="s">
        <v>355</v>
      </c>
    </row>
    <row r="4" spans="1:3" ht="15" customHeight="1" x14ac:dyDescent="0.2">
      <c r="A4" s="76">
        <v>46241</v>
      </c>
      <c r="B4" s="77" t="s">
        <v>129</v>
      </c>
      <c r="C4" s="78" t="s">
        <v>356</v>
      </c>
    </row>
    <row r="5" spans="1:3" ht="15" customHeight="1" x14ac:dyDescent="0.2">
      <c r="A5" s="76">
        <v>46241</v>
      </c>
      <c r="B5" s="77" t="s">
        <v>137</v>
      </c>
      <c r="C5" s="78" t="s">
        <v>357</v>
      </c>
    </row>
    <row r="6" spans="1:3" ht="15" customHeight="1" x14ac:dyDescent="0.2">
      <c r="A6" s="76">
        <v>46241</v>
      </c>
      <c r="B6" s="77" t="s">
        <v>116</v>
      </c>
      <c r="C6" s="78" t="s">
        <v>358</v>
      </c>
    </row>
    <row r="7" spans="1:3" ht="15" customHeight="1" x14ac:dyDescent="0.2">
      <c r="A7" s="76">
        <v>46241</v>
      </c>
      <c r="B7" s="77" t="s">
        <v>359</v>
      </c>
      <c r="C7" s="78" t="s">
        <v>360</v>
      </c>
    </row>
    <row r="8" spans="1:3" ht="15" customHeight="1" x14ac:dyDescent="0.2">
      <c r="A8" s="76">
        <v>46241</v>
      </c>
      <c r="B8" s="77" t="s">
        <v>359</v>
      </c>
      <c r="C8" s="78" t="s">
        <v>361</v>
      </c>
    </row>
    <row r="9" spans="1:3" ht="15" customHeight="1" x14ac:dyDescent="0.2">
      <c r="A9" s="76">
        <v>46241</v>
      </c>
      <c r="B9" s="77" t="s">
        <v>362</v>
      </c>
      <c r="C9" s="78" t="s">
        <v>363</v>
      </c>
    </row>
    <row r="10" spans="1:3" ht="15" customHeight="1" x14ac:dyDescent="0.2">
      <c r="A10" s="76">
        <v>46241</v>
      </c>
      <c r="B10" s="77" t="s">
        <v>364</v>
      </c>
      <c r="C10" s="78" t="s">
        <v>365</v>
      </c>
    </row>
    <row r="11" spans="1:3" ht="15" customHeight="1" x14ac:dyDescent="0.2">
      <c r="A11" s="76">
        <v>46241</v>
      </c>
      <c r="B11" s="77" t="s">
        <v>121</v>
      </c>
      <c r="C11" s="78" t="s">
        <v>366</v>
      </c>
    </row>
    <row r="12" spans="1:3" ht="15" customHeight="1" x14ac:dyDescent="0.2">
      <c r="A12" s="76">
        <v>46272</v>
      </c>
      <c r="B12" s="77" t="s">
        <v>367</v>
      </c>
      <c r="C12" s="78" t="s">
        <v>368</v>
      </c>
    </row>
    <row r="13" spans="1:3" ht="15" customHeight="1" x14ac:dyDescent="0.2">
      <c r="A13" s="76">
        <v>46295</v>
      </c>
      <c r="B13" s="77" t="s">
        <v>369</v>
      </c>
      <c r="C13" s="78" t="s">
        <v>370</v>
      </c>
    </row>
    <row r="14" spans="1:3" ht="15" customHeight="1" x14ac:dyDescent="0.2">
      <c r="A14" s="76">
        <v>46302</v>
      </c>
      <c r="B14" s="77" t="s">
        <v>371</v>
      </c>
      <c r="C14" s="78" t="s">
        <v>372</v>
      </c>
    </row>
    <row r="15" spans="1:3" ht="15" customHeight="1" x14ac:dyDescent="0.2">
      <c r="A15" s="76">
        <v>46320</v>
      </c>
      <c r="B15" s="77" t="s">
        <v>373</v>
      </c>
      <c r="C15" s="78" t="s">
        <v>374</v>
      </c>
    </row>
    <row r="16" spans="1:3" ht="15" customHeight="1" x14ac:dyDescent="0.2">
      <c r="A16" s="76">
        <v>46333</v>
      </c>
      <c r="B16" s="77" t="s">
        <v>375</v>
      </c>
      <c r="C16" s="78" t="s">
        <v>376</v>
      </c>
    </row>
    <row r="17" spans="1:3" ht="15" customHeight="1" x14ac:dyDescent="0.2">
      <c r="A17" s="76">
        <v>46387</v>
      </c>
      <c r="B17" s="77" t="s">
        <v>377</v>
      </c>
      <c r="C17" s="78" t="s">
        <v>378</v>
      </c>
    </row>
    <row r="18" spans="1:3" ht="15" customHeight="1" x14ac:dyDescent="0.2">
      <c r="A18" s="76">
        <v>46412</v>
      </c>
      <c r="B18" s="77" t="s">
        <v>379</v>
      </c>
      <c r="C18" s="78" t="s">
        <v>380</v>
      </c>
    </row>
    <row r="19" spans="1:3" ht="15" customHeight="1" x14ac:dyDescent="0.2">
      <c r="A19" s="76"/>
      <c r="B19" s="77"/>
      <c r="C19" s="78"/>
    </row>
    <row r="20" spans="1:3" ht="15" customHeight="1" x14ac:dyDescent="0.2">
      <c r="A20" s="76"/>
      <c r="B20" s="77"/>
      <c r="C20" s="78"/>
    </row>
    <row r="21" spans="1:3" ht="15" customHeight="1" x14ac:dyDescent="0.2">
      <c r="A21" s="76"/>
      <c r="B21" s="77"/>
      <c r="C21" s="78"/>
    </row>
    <row r="22" spans="1:3" ht="15" customHeight="1" x14ac:dyDescent="0.2">
      <c r="A22" s="76"/>
      <c r="B22" s="77"/>
      <c r="C22" s="78"/>
    </row>
    <row r="23" spans="1:3" ht="15" customHeight="1" x14ac:dyDescent="0.2">
      <c r="A23" s="76"/>
      <c r="B23" s="77"/>
      <c r="C23" s="78"/>
    </row>
    <row r="24" spans="1:3" ht="15" customHeight="1" x14ac:dyDescent="0.2">
      <c r="A24" s="76"/>
      <c r="B24" s="77"/>
      <c r="C24" s="78"/>
    </row>
    <row r="25" spans="1:3" ht="15" customHeight="1" x14ac:dyDescent="0.2">
      <c r="A25" s="76"/>
      <c r="B25" s="77"/>
      <c r="C25" s="78"/>
    </row>
    <row r="26" spans="1:3" ht="15" customHeight="1" x14ac:dyDescent="0.2">
      <c r="A26" s="76"/>
      <c r="B26" s="77"/>
      <c r="C26" s="78"/>
    </row>
    <row r="27" spans="1:3" ht="15" customHeight="1" x14ac:dyDescent="0.2">
      <c r="A27" s="76"/>
      <c r="B27" s="77"/>
      <c r="C27" s="78"/>
    </row>
    <row r="28" spans="1:3" ht="15" customHeight="1" x14ac:dyDescent="0.2">
      <c r="A28" s="76"/>
      <c r="B28" s="77"/>
      <c r="C28" s="78"/>
    </row>
    <row r="29" spans="1:3" ht="15" customHeight="1" x14ac:dyDescent="0.2">
      <c r="A29" s="76"/>
      <c r="B29" s="77"/>
      <c r="C29" s="78"/>
    </row>
    <row r="30" spans="1:3" ht="15" customHeight="1" x14ac:dyDescent="0.2">
      <c r="A30" s="76"/>
      <c r="B30" s="77"/>
      <c r="C30" s="78"/>
    </row>
    <row r="31" spans="1:3" ht="15" customHeight="1" x14ac:dyDescent="0.2">
      <c r="A31" s="76"/>
      <c r="B31" s="77"/>
      <c r="C31" s="78"/>
    </row>
    <row r="32" spans="1:3" ht="15" customHeight="1" x14ac:dyDescent="0.2">
      <c r="A32" s="76"/>
      <c r="B32" s="77"/>
      <c r="C32" s="78"/>
    </row>
    <row r="33" spans="1:3" ht="15" customHeight="1" x14ac:dyDescent="0.2">
      <c r="A33" s="76"/>
      <c r="B33" s="77"/>
      <c r="C33" s="78"/>
    </row>
    <row r="34" spans="1:3" ht="15" customHeight="1" x14ac:dyDescent="0.2">
      <c r="A34" s="76"/>
      <c r="B34" s="77"/>
      <c r="C34" s="78"/>
    </row>
    <row r="35" spans="1:3" ht="15" customHeight="1" x14ac:dyDescent="0.2">
      <c r="A35" s="76"/>
      <c r="B35" s="77"/>
      <c r="C35" s="78"/>
    </row>
    <row r="36" spans="1:3" ht="15" customHeight="1" x14ac:dyDescent="0.2">
      <c r="A36" s="76"/>
      <c r="B36" s="77"/>
      <c r="C36" s="78"/>
    </row>
    <row r="37" spans="1:3" ht="15" customHeight="1" x14ac:dyDescent="0.2">
      <c r="A37" s="76"/>
      <c r="B37" s="77"/>
      <c r="C37" s="78"/>
    </row>
    <row r="38" spans="1:3" ht="15" customHeight="1" x14ac:dyDescent="0.2">
      <c r="A38" s="76"/>
      <c r="B38" s="77"/>
      <c r="C38" s="78"/>
    </row>
    <row r="39" spans="1:3" ht="15" customHeight="1" x14ac:dyDescent="0.2">
      <c r="A39" s="76"/>
      <c r="B39" s="77"/>
      <c r="C39" s="78"/>
    </row>
    <row r="40" spans="1:3" ht="15" customHeight="1" x14ac:dyDescent="0.2">
      <c r="A40" s="76"/>
      <c r="B40" s="77"/>
      <c r="C40" s="78"/>
    </row>
    <row r="41" spans="1:3" ht="15" customHeight="1" x14ac:dyDescent="0.2">
      <c r="A41" s="76"/>
      <c r="B41" s="77"/>
      <c r="C41" s="78"/>
    </row>
    <row r="42" spans="1:3" ht="15" customHeight="1" x14ac:dyDescent="0.2">
      <c r="A42" s="76"/>
      <c r="B42" s="77"/>
      <c r="C42" s="78"/>
    </row>
    <row r="43" spans="1:3" ht="15" customHeight="1" x14ac:dyDescent="0.2">
      <c r="A43" s="76"/>
      <c r="B43" s="77"/>
      <c r="C43" s="78"/>
    </row>
    <row r="44" spans="1:3" ht="15" customHeight="1" x14ac:dyDescent="0.2">
      <c r="A44" s="76"/>
      <c r="B44" s="77"/>
      <c r="C44" s="78"/>
    </row>
    <row r="45" spans="1:3" ht="15" customHeight="1" x14ac:dyDescent="0.2">
      <c r="A45" s="76"/>
      <c r="B45" s="77"/>
      <c r="C45" s="78"/>
    </row>
    <row r="46" spans="1:3" ht="15" customHeight="1" x14ac:dyDescent="0.2">
      <c r="A46" s="76"/>
      <c r="B46" s="77"/>
      <c r="C46" s="78"/>
    </row>
    <row r="47" spans="1:3" ht="15" customHeight="1" x14ac:dyDescent="0.2">
      <c r="A47" s="76"/>
      <c r="B47" s="77"/>
      <c r="C47" s="78"/>
    </row>
    <row r="48" spans="1:3" ht="15" customHeight="1" x14ac:dyDescent="0.2">
      <c r="A48" s="76"/>
      <c r="B48" s="77"/>
      <c r="C48" s="78"/>
    </row>
    <row r="49" spans="1:3" ht="15" customHeight="1" x14ac:dyDescent="0.2">
      <c r="A49" s="76"/>
      <c r="B49" s="77"/>
      <c r="C49" s="78"/>
    </row>
    <row r="50" spans="1:3" ht="15" customHeight="1" x14ac:dyDescent="0.2">
      <c r="A50" s="76"/>
      <c r="B50" s="77"/>
      <c r="C50" s="78"/>
    </row>
    <row r="51" spans="1:3" ht="15" customHeight="1" x14ac:dyDescent="0.2">
      <c r="A51" s="76"/>
      <c r="B51" s="77"/>
      <c r="C51" s="78"/>
    </row>
    <row r="52" spans="1:3" ht="15" customHeight="1" x14ac:dyDescent="0.2">
      <c r="A52" s="76"/>
      <c r="B52" s="77"/>
      <c r="C52" s="78"/>
    </row>
    <row r="53" spans="1:3" ht="15" customHeight="1" x14ac:dyDescent="0.2">
      <c r="A53" s="76"/>
      <c r="B53" s="77"/>
      <c r="C53" s="78"/>
    </row>
    <row r="54" spans="1:3" ht="15" customHeight="1" x14ac:dyDescent="0.2">
      <c r="A54" s="76"/>
      <c r="B54" s="77"/>
      <c r="C54" s="78"/>
    </row>
    <row r="55" spans="1:3" ht="15" customHeight="1" x14ac:dyDescent="0.2">
      <c r="A55" s="76"/>
      <c r="B55" s="77"/>
      <c r="C55" s="78"/>
    </row>
    <row r="56" spans="1:3" ht="15" customHeight="1" x14ac:dyDescent="0.2">
      <c r="A56" s="76"/>
      <c r="B56" s="77"/>
      <c r="C56" s="78"/>
    </row>
    <row r="57" spans="1:3" ht="15" customHeight="1" x14ac:dyDescent="0.2">
      <c r="A57" s="76"/>
      <c r="B57" s="77"/>
      <c r="C57" s="78"/>
    </row>
    <row r="58" spans="1:3" ht="15" customHeight="1" x14ac:dyDescent="0.2">
      <c r="A58" s="76"/>
      <c r="B58" s="77"/>
      <c r="C58" s="78"/>
    </row>
    <row r="59" spans="1:3" ht="15" customHeight="1" x14ac:dyDescent="0.2">
      <c r="A59" s="76"/>
      <c r="B59" s="77"/>
      <c r="C59" s="78"/>
    </row>
    <row r="60" spans="1:3" ht="15" customHeight="1" x14ac:dyDescent="0.2">
      <c r="A60" s="76"/>
      <c r="B60" s="77"/>
      <c r="C60" s="78"/>
    </row>
    <row r="61" spans="1:3" ht="15" customHeight="1" x14ac:dyDescent="0.2">
      <c r="A61" s="76"/>
      <c r="B61" s="77"/>
      <c r="C61" s="78"/>
    </row>
    <row r="62" spans="1:3" ht="15" customHeight="1" x14ac:dyDescent="0.2">
      <c r="A62" s="76"/>
      <c r="B62" s="77"/>
      <c r="C62" s="78"/>
    </row>
    <row r="63" spans="1:3" ht="15" customHeight="1" x14ac:dyDescent="0.2">
      <c r="A63" s="76"/>
      <c r="B63" s="77"/>
      <c r="C63" s="78"/>
    </row>
    <row r="64" spans="1:3" ht="15" customHeight="1" x14ac:dyDescent="0.2">
      <c r="A64" s="76"/>
      <c r="B64" s="77"/>
      <c r="C64" s="78"/>
    </row>
    <row r="65" spans="1:3" ht="15" customHeight="1" x14ac:dyDescent="0.2">
      <c r="A65" s="76"/>
      <c r="B65" s="77"/>
      <c r="C65" s="78"/>
    </row>
    <row r="66" spans="1:3" ht="15" customHeight="1" x14ac:dyDescent="0.2">
      <c r="A66" s="76"/>
      <c r="B66" s="77"/>
      <c r="C66" s="78"/>
    </row>
    <row r="67" spans="1:3" ht="15" customHeight="1" x14ac:dyDescent="0.2">
      <c r="A67" s="76"/>
      <c r="B67" s="77"/>
      <c r="C67" s="78"/>
    </row>
    <row r="68" spans="1:3" ht="15" customHeight="1" x14ac:dyDescent="0.2">
      <c r="A68" s="76"/>
      <c r="B68" s="77"/>
      <c r="C68" s="78"/>
    </row>
    <row r="69" spans="1:3" ht="15" customHeight="1" x14ac:dyDescent="0.2">
      <c r="A69" s="76"/>
      <c r="B69" s="77"/>
      <c r="C69" s="78"/>
    </row>
    <row r="70" spans="1:3" ht="15" customHeight="1" x14ac:dyDescent="0.2">
      <c r="A70" s="76"/>
      <c r="B70" s="77"/>
      <c r="C70" s="78"/>
    </row>
    <row r="71" spans="1:3" ht="15" customHeight="1" x14ac:dyDescent="0.2">
      <c r="A71" s="76"/>
      <c r="B71" s="77"/>
      <c r="C71" s="78"/>
    </row>
    <row r="72" spans="1:3" ht="15" customHeight="1" x14ac:dyDescent="0.2">
      <c r="A72" s="76"/>
      <c r="B72" s="77"/>
      <c r="C72" s="78"/>
    </row>
    <row r="73" spans="1:3" ht="15" customHeight="1" x14ac:dyDescent="0.2">
      <c r="A73" s="76"/>
      <c r="B73" s="77"/>
      <c r="C73" s="78"/>
    </row>
    <row r="74" spans="1:3" ht="15" customHeight="1" x14ac:dyDescent="0.2">
      <c r="A74" s="76"/>
      <c r="B74" s="77"/>
      <c r="C74" s="78"/>
    </row>
    <row r="75" spans="1:3" ht="15" customHeight="1" x14ac:dyDescent="0.2">
      <c r="A75" s="76"/>
      <c r="B75" s="77"/>
      <c r="C75" s="78"/>
    </row>
    <row r="76" spans="1:3" ht="15" customHeight="1" x14ac:dyDescent="0.2">
      <c r="A76" s="76"/>
      <c r="B76" s="77"/>
      <c r="C76" s="78"/>
    </row>
    <row r="77" spans="1:3" ht="15" customHeight="1" x14ac:dyDescent="0.2">
      <c r="A77" s="76"/>
      <c r="B77" s="77"/>
      <c r="C77" s="78"/>
    </row>
    <row r="78" spans="1:3" ht="15" customHeight="1" x14ac:dyDescent="0.2">
      <c r="A78" s="76"/>
      <c r="B78" s="77"/>
      <c r="C78" s="78"/>
    </row>
    <row r="79" spans="1:3" ht="15" customHeight="1" x14ac:dyDescent="0.2">
      <c r="A79" s="76"/>
      <c r="B79" s="77"/>
      <c r="C79" s="78"/>
    </row>
    <row r="80" spans="1:3" ht="15" customHeight="1" x14ac:dyDescent="0.2">
      <c r="A80" s="76"/>
      <c r="B80" s="77"/>
      <c r="C80" s="78"/>
    </row>
    <row r="81" spans="1:3" ht="15" customHeight="1" x14ac:dyDescent="0.2">
      <c r="A81" s="76"/>
      <c r="B81" s="77"/>
      <c r="C81" s="78"/>
    </row>
    <row r="82" spans="1:3" ht="15" customHeight="1" x14ac:dyDescent="0.2">
      <c r="A82" s="76"/>
      <c r="B82" s="77"/>
      <c r="C82" s="78"/>
    </row>
    <row r="83" spans="1:3" ht="15" customHeight="1" x14ac:dyDescent="0.2">
      <c r="A83" s="76"/>
      <c r="B83" s="77"/>
      <c r="C83" s="78"/>
    </row>
    <row r="84" spans="1:3" ht="15" customHeight="1" x14ac:dyDescent="0.2">
      <c r="A84" s="76"/>
      <c r="B84" s="77"/>
      <c r="C84" s="78"/>
    </row>
    <row r="85" spans="1:3" ht="15" customHeight="1" x14ac:dyDescent="0.2">
      <c r="A85" s="76"/>
      <c r="B85" s="77"/>
      <c r="C85" s="78"/>
    </row>
    <row r="86" spans="1:3" ht="15" customHeight="1" x14ac:dyDescent="0.2">
      <c r="A86" s="76"/>
      <c r="B86" s="77"/>
      <c r="C86" s="78"/>
    </row>
    <row r="87" spans="1:3" ht="15" customHeight="1" x14ac:dyDescent="0.2">
      <c r="A87" s="76"/>
      <c r="B87" s="77"/>
      <c r="C87" s="78"/>
    </row>
    <row r="88" spans="1:3" ht="15" customHeight="1" x14ac:dyDescent="0.2">
      <c r="A88" s="76"/>
      <c r="B88" s="77"/>
      <c r="C88" s="78"/>
    </row>
    <row r="89" spans="1:3" ht="15" customHeight="1" x14ac:dyDescent="0.2">
      <c r="A89" s="76"/>
      <c r="B89" s="77"/>
      <c r="C89" s="78"/>
    </row>
    <row r="90" spans="1:3" ht="15" customHeight="1" x14ac:dyDescent="0.2">
      <c r="A90" s="76"/>
      <c r="B90" s="77"/>
      <c r="C90" s="78"/>
    </row>
    <row r="91" spans="1:3" ht="15" customHeight="1" x14ac:dyDescent="0.2">
      <c r="A91" s="76"/>
      <c r="B91" s="77"/>
      <c r="C91" s="78"/>
    </row>
    <row r="92" spans="1:3" ht="15" customHeight="1" x14ac:dyDescent="0.2">
      <c r="A92" s="76"/>
      <c r="B92" s="77"/>
      <c r="C92" s="78"/>
    </row>
    <row r="93" spans="1:3" ht="15" customHeight="1" x14ac:dyDescent="0.2">
      <c r="A93" s="76"/>
      <c r="B93" s="77"/>
      <c r="C93" s="78"/>
    </row>
    <row r="94" spans="1:3" ht="15" customHeight="1" x14ac:dyDescent="0.2">
      <c r="A94" s="76"/>
      <c r="B94" s="77"/>
      <c r="C94" s="78"/>
    </row>
    <row r="95" spans="1:3" ht="15" customHeight="1" x14ac:dyDescent="0.2">
      <c r="A95" s="76"/>
      <c r="B95" s="77"/>
      <c r="C95" s="78"/>
    </row>
    <row r="96" spans="1:3" ht="15" customHeight="1" x14ac:dyDescent="0.2">
      <c r="A96" s="76"/>
      <c r="B96" s="77"/>
      <c r="C96" s="78"/>
    </row>
    <row r="97" spans="1:3" ht="15" customHeight="1" x14ac:dyDescent="0.2">
      <c r="A97" s="76"/>
      <c r="B97" s="77"/>
      <c r="C97" s="78"/>
    </row>
    <row r="98" spans="1:3" ht="15" customHeight="1" x14ac:dyDescent="0.2">
      <c r="A98" s="76"/>
      <c r="B98" s="77"/>
      <c r="C98" s="78"/>
    </row>
    <row r="99" spans="1:3" ht="15" customHeight="1" x14ac:dyDescent="0.2">
      <c r="A99" s="76"/>
      <c r="B99" s="77"/>
      <c r="C99" s="78"/>
    </row>
    <row r="100" spans="1:3" ht="15" customHeight="1" x14ac:dyDescent="0.2">
      <c r="A100" s="76"/>
      <c r="B100" s="77"/>
      <c r="C100" s="78"/>
    </row>
    <row r="101" spans="1:3" ht="15" customHeight="1" x14ac:dyDescent="0.2">
      <c r="A101" s="76"/>
      <c r="B101" s="77"/>
      <c r="C101" s="78"/>
    </row>
    <row r="102" spans="1:3" ht="15" customHeight="1" x14ac:dyDescent="0.2">
      <c r="A102" s="76"/>
      <c r="B102" s="77"/>
      <c r="C102" s="78"/>
    </row>
    <row r="103" spans="1:3" ht="15" customHeight="1" x14ac:dyDescent="0.2">
      <c r="A103" s="76"/>
      <c r="B103" s="77"/>
      <c r="C103" s="78"/>
    </row>
    <row r="104" spans="1:3" ht="15" customHeight="1" x14ac:dyDescent="0.2">
      <c r="A104" s="76"/>
      <c r="B104" s="77"/>
      <c r="C104" s="78"/>
    </row>
    <row r="105" spans="1:3" ht="15" customHeight="1" x14ac:dyDescent="0.2">
      <c r="A105" s="76"/>
      <c r="B105" s="77"/>
      <c r="C105" s="78"/>
    </row>
    <row r="106" spans="1:3" ht="15" customHeight="1" x14ac:dyDescent="0.2">
      <c r="A106" s="76"/>
      <c r="B106" s="77"/>
      <c r="C106" s="78"/>
    </row>
    <row r="107" spans="1:3" ht="15" customHeight="1" x14ac:dyDescent="0.2">
      <c r="A107" s="76"/>
      <c r="B107" s="77"/>
      <c r="C107" s="78"/>
    </row>
    <row r="108" spans="1:3" ht="15" customHeight="1" x14ac:dyDescent="0.2">
      <c r="A108" s="76"/>
      <c r="B108" s="77"/>
      <c r="C108" s="78"/>
    </row>
    <row r="109" spans="1:3" ht="15" customHeight="1" x14ac:dyDescent="0.2">
      <c r="A109" s="76"/>
      <c r="B109" s="77"/>
      <c r="C109" s="78"/>
    </row>
    <row r="110" spans="1:3" ht="15" customHeight="1" x14ac:dyDescent="0.2">
      <c r="A110" s="76"/>
      <c r="B110" s="77"/>
      <c r="C110" s="78"/>
    </row>
    <row r="111" spans="1:3" ht="15" customHeight="1" x14ac:dyDescent="0.2">
      <c r="A111" s="76"/>
      <c r="B111" s="77"/>
      <c r="C111" s="78"/>
    </row>
    <row r="112" spans="1:3" ht="15" customHeight="1" x14ac:dyDescent="0.2">
      <c r="A112" s="76"/>
      <c r="B112" s="77"/>
      <c r="C112" s="78"/>
    </row>
    <row r="113" spans="1:3" ht="15" customHeight="1" x14ac:dyDescent="0.2">
      <c r="A113" s="76"/>
      <c r="B113" s="77"/>
      <c r="C113" s="78"/>
    </row>
    <row r="114" spans="1:3" ht="15" customHeight="1" x14ac:dyDescent="0.2">
      <c r="A114" s="76"/>
      <c r="B114" s="77"/>
      <c r="C114" s="78"/>
    </row>
    <row r="115" spans="1:3" ht="15" customHeight="1" x14ac:dyDescent="0.2">
      <c r="A115" s="76"/>
      <c r="B115" s="77"/>
      <c r="C115" s="78"/>
    </row>
    <row r="116" spans="1:3" ht="15" customHeight="1" x14ac:dyDescent="0.2">
      <c r="A116" s="76"/>
      <c r="B116" s="77"/>
      <c r="C116" s="78"/>
    </row>
    <row r="117" spans="1:3" ht="15" customHeight="1" x14ac:dyDescent="0.2">
      <c r="A117" s="76"/>
      <c r="B117" s="77"/>
      <c r="C117" s="78"/>
    </row>
    <row r="118" spans="1:3" ht="15" customHeight="1" x14ac:dyDescent="0.2">
      <c r="A118" s="76"/>
      <c r="B118" s="77"/>
      <c r="C118" s="78"/>
    </row>
    <row r="119" spans="1:3" ht="15" customHeight="1" x14ac:dyDescent="0.2">
      <c r="A119" s="76"/>
      <c r="B119" s="77"/>
      <c r="C119" s="78"/>
    </row>
    <row r="120" spans="1:3" ht="15" customHeight="1" x14ac:dyDescent="0.2">
      <c r="A120" s="76"/>
      <c r="B120" s="77"/>
      <c r="C120" s="78"/>
    </row>
    <row r="121" spans="1:3" ht="15" customHeight="1" x14ac:dyDescent="0.2">
      <c r="A121" s="76"/>
      <c r="B121" s="77"/>
      <c r="C121" s="78"/>
    </row>
    <row r="122" spans="1:3" ht="15" customHeight="1" x14ac:dyDescent="0.2">
      <c r="A122" s="76"/>
      <c r="B122" s="77"/>
      <c r="C122" s="78"/>
    </row>
    <row r="123" spans="1:3" ht="15" customHeight="1" x14ac:dyDescent="0.2">
      <c r="A123" s="76"/>
      <c r="B123" s="77"/>
      <c r="C123" s="78"/>
    </row>
    <row r="124" spans="1:3" ht="15" customHeight="1" x14ac:dyDescent="0.2">
      <c r="A124" s="76"/>
      <c r="B124" s="77"/>
      <c r="C124" s="78"/>
    </row>
    <row r="125" spans="1:3" ht="15" customHeight="1" x14ac:dyDescent="0.2">
      <c r="A125" s="76"/>
      <c r="B125" s="77"/>
      <c r="C125" s="78"/>
    </row>
    <row r="126" spans="1:3" ht="15" customHeight="1" x14ac:dyDescent="0.2">
      <c r="A126" s="76"/>
      <c r="B126" s="77"/>
      <c r="C126" s="78"/>
    </row>
    <row r="127" spans="1:3" ht="15" customHeight="1" x14ac:dyDescent="0.2">
      <c r="A127" s="76"/>
      <c r="B127" s="77"/>
      <c r="C127" s="78"/>
    </row>
    <row r="128" spans="1:3" ht="15" customHeight="1" x14ac:dyDescent="0.2">
      <c r="A128" s="76"/>
      <c r="B128" s="77"/>
      <c r="C128" s="78"/>
    </row>
    <row r="129" spans="1:3" ht="15" customHeight="1" x14ac:dyDescent="0.2">
      <c r="A129" s="76"/>
      <c r="B129" s="77"/>
      <c r="C129" s="78"/>
    </row>
    <row r="130" spans="1:3" ht="15" customHeight="1" x14ac:dyDescent="0.2">
      <c r="A130" s="76"/>
      <c r="B130" s="77"/>
      <c r="C130" s="78"/>
    </row>
    <row r="131" spans="1:3" ht="15" customHeight="1" x14ac:dyDescent="0.2">
      <c r="A131" s="76"/>
      <c r="B131" s="77"/>
      <c r="C131" s="78"/>
    </row>
    <row r="132" spans="1:3" ht="15" customHeight="1" x14ac:dyDescent="0.2">
      <c r="A132" s="76"/>
      <c r="B132" s="77"/>
      <c r="C132" s="78"/>
    </row>
    <row r="133" spans="1:3" ht="15" customHeight="1" x14ac:dyDescent="0.2">
      <c r="A133" s="76"/>
      <c r="B133" s="77"/>
      <c r="C133" s="78"/>
    </row>
    <row r="134" spans="1:3" ht="15" customHeight="1" x14ac:dyDescent="0.2">
      <c r="A134" s="76"/>
      <c r="B134" s="77"/>
      <c r="C134" s="78"/>
    </row>
    <row r="135" spans="1:3" ht="15" customHeight="1" x14ac:dyDescent="0.2">
      <c r="A135" s="76"/>
      <c r="B135" s="77"/>
      <c r="C135" s="78"/>
    </row>
    <row r="136" spans="1:3" ht="15" customHeight="1" x14ac:dyDescent="0.2">
      <c r="A136" s="76"/>
      <c r="B136" s="77"/>
      <c r="C136" s="78"/>
    </row>
    <row r="137" spans="1:3" ht="15" customHeight="1" x14ac:dyDescent="0.2">
      <c r="A137" s="76"/>
      <c r="B137" s="77"/>
      <c r="C137" s="78"/>
    </row>
    <row r="138" spans="1:3" ht="15" customHeight="1" x14ac:dyDescent="0.2">
      <c r="A138" s="76"/>
      <c r="B138" s="77"/>
      <c r="C138" s="78"/>
    </row>
    <row r="139" spans="1:3" ht="15" customHeight="1" x14ac:dyDescent="0.2">
      <c r="A139" s="76"/>
      <c r="B139" s="77"/>
      <c r="C139" s="78"/>
    </row>
    <row r="140" spans="1:3" ht="15" customHeight="1" x14ac:dyDescent="0.2">
      <c r="A140" s="76"/>
      <c r="B140" s="77"/>
      <c r="C140" s="78"/>
    </row>
    <row r="141" spans="1:3" ht="15" customHeight="1" x14ac:dyDescent="0.2">
      <c r="A141" s="76"/>
      <c r="B141" s="77"/>
      <c r="C141" s="78"/>
    </row>
    <row r="142" spans="1:3" ht="15" customHeight="1" x14ac:dyDescent="0.2">
      <c r="A142" s="76"/>
      <c r="B142" s="77"/>
      <c r="C142" s="78"/>
    </row>
    <row r="143" spans="1:3" ht="15" customHeight="1" x14ac:dyDescent="0.2">
      <c r="A143" s="76"/>
      <c r="B143" s="77"/>
      <c r="C143" s="78"/>
    </row>
    <row r="144" spans="1:3" ht="15" customHeight="1" x14ac:dyDescent="0.2">
      <c r="A144" s="76"/>
      <c r="B144" s="77"/>
      <c r="C144" s="78"/>
    </row>
    <row r="145" spans="1:3" ht="15" customHeight="1" x14ac:dyDescent="0.2">
      <c r="A145" s="76"/>
      <c r="B145" s="77"/>
      <c r="C145" s="78"/>
    </row>
    <row r="146" spans="1:3" ht="15" customHeight="1" x14ac:dyDescent="0.2">
      <c r="A146" s="76"/>
      <c r="B146" s="77"/>
      <c r="C146" s="78"/>
    </row>
    <row r="147" spans="1:3" ht="15" customHeight="1" x14ac:dyDescent="0.2">
      <c r="A147" s="76"/>
      <c r="B147" s="77"/>
      <c r="C147" s="78"/>
    </row>
    <row r="148" spans="1:3" ht="15" customHeight="1" x14ac:dyDescent="0.2">
      <c r="A148" s="76"/>
      <c r="B148" s="77"/>
      <c r="C148" s="78"/>
    </row>
    <row r="149" spans="1:3" ht="15" customHeight="1" x14ac:dyDescent="0.2">
      <c r="A149" s="76"/>
      <c r="B149" s="77"/>
      <c r="C149" s="78"/>
    </row>
    <row r="150" spans="1:3" ht="15" customHeight="1" x14ac:dyDescent="0.2">
      <c r="A150" s="76"/>
      <c r="B150" s="77"/>
      <c r="C150" s="78"/>
    </row>
    <row r="151" spans="1:3" ht="15" customHeight="1" x14ac:dyDescent="0.2">
      <c r="A151" s="76"/>
      <c r="B151" s="77"/>
      <c r="C151" s="78"/>
    </row>
    <row r="152" spans="1:3" ht="15" customHeight="1" x14ac:dyDescent="0.2">
      <c r="A152" s="76"/>
      <c r="B152" s="77"/>
      <c r="C152" s="78"/>
    </row>
    <row r="153" spans="1:3" ht="15" customHeight="1" x14ac:dyDescent="0.2">
      <c r="A153" s="76"/>
      <c r="B153" s="77"/>
      <c r="C153" s="78"/>
    </row>
    <row r="154" spans="1:3" ht="15" customHeight="1" x14ac:dyDescent="0.2">
      <c r="A154" s="76"/>
      <c r="B154" s="77"/>
      <c r="C154" s="78"/>
    </row>
    <row r="155" spans="1:3" ht="15" customHeight="1" x14ac:dyDescent="0.2">
      <c r="A155" s="76"/>
      <c r="B155" s="77"/>
      <c r="C155" s="78"/>
    </row>
    <row r="156" spans="1:3" ht="15" customHeight="1" x14ac:dyDescent="0.2">
      <c r="A156" s="76"/>
      <c r="B156" s="77"/>
      <c r="C156" s="78"/>
    </row>
    <row r="157" spans="1:3" ht="15" customHeight="1" x14ac:dyDescent="0.2">
      <c r="A157" s="76"/>
      <c r="B157" s="77"/>
      <c r="C157" s="78"/>
    </row>
    <row r="158" spans="1:3" ht="15" customHeight="1" x14ac:dyDescent="0.2">
      <c r="A158" s="76"/>
      <c r="B158" s="77"/>
      <c r="C158" s="78"/>
    </row>
    <row r="159" spans="1:3" ht="15" customHeight="1" x14ac:dyDescent="0.2">
      <c r="A159" s="76"/>
      <c r="B159" s="77"/>
      <c r="C159" s="78"/>
    </row>
    <row r="160" spans="1:3" ht="15" customHeight="1" x14ac:dyDescent="0.2">
      <c r="A160" s="76"/>
      <c r="B160" s="77"/>
      <c r="C160" s="78"/>
    </row>
    <row r="161" spans="1:3" ht="15" customHeight="1" x14ac:dyDescent="0.2">
      <c r="A161" s="76"/>
      <c r="B161" s="77"/>
      <c r="C161" s="78"/>
    </row>
    <row r="162" spans="1:3" ht="15" customHeight="1" x14ac:dyDescent="0.2">
      <c r="A162" s="76"/>
      <c r="B162" s="77"/>
      <c r="C162" s="78"/>
    </row>
    <row r="163" spans="1:3" ht="15" customHeight="1" x14ac:dyDescent="0.2">
      <c r="A163" s="76"/>
      <c r="B163" s="77"/>
      <c r="C163" s="78"/>
    </row>
    <row r="164" spans="1:3" ht="15" customHeight="1" x14ac:dyDescent="0.2">
      <c r="A164" s="76"/>
      <c r="B164" s="77"/>
      <c r="C164" s="78"/>
    </row>
    <row r="165" spans="1:3" ht="15" customHeight="1" x14ac:dyDescent="0.2">
      <c r="A165" s="76"/>
      <c r="B165" s="77"/>
      <c r="C165" s="78"/>
    </row>
    <row r="166" spans="1:3" ht="15" customHeight="1" x14ac:dyDescent="0.2">
      <c r="A166" s="76"/>
      <c r="B166" s="77"/>
      <c r="C166" s="78"/>
    </row>
    <row r="167" spans="1:3" ht="15" customHeight="1" x14ac:dyDescent="0.2">
      <c r="A167" s="76"/>
      <c r="B167" s="77"/>
      <c r="C167" s="78"/>
    </row>
    <row r="168" spans="1:3" ht="15" customHeight="1" x14ac:dyDescent="0.2">
      <c r="A168" s="76"/>
      <c r="B168" s="77"/>
      <c r="C168" s="78"/>
    </row>
    <row r="169" spans="1:3" ht="15" customHeight="1" x14ac:dyDescent="0.2">
      <c r="A169" s="76"/>
      <c r="B169" s="77"/>
      <c r="C169" s="78"/>
    </row>
    <row r="170" spans="1:3" ht="15" customHeight="1" x14ac:dyDescent="0.2">
      <c r="A170" s="76"/>
      <c r="B170" s="77"/>
      <c r="C170" s="78"/>
    </row>
    <row r="171" spans="1:3" ht="15" customHeight="1" x14ac:dyDescent="0.2">
      <c r="A171" s="76"/>
      <c r="B171" s="77"/>
      <c r="C171" s="78"/>
    </row>
    <row r="172" spans="1:3" ht="15" customHeight="1" x14ac:dyDescent="0.2">
      <c r="A172" s="76"/>
      <c r="B172" s="77"/>
      <c r="C172" s="78"/>
    </row>
    <row r="173" spans="1:3" ht="15" customHeight="1" x14ac:dyDescent="0.2">
      <c r="A173" s="76"/>
      <c r="B173" s="77"/>
      <c r="C173" s="78"/>
    </row>
    <row r="174" spans="1:3" ht="15" customHeight="1" x14ac:dyDescent="0.2">
      <c r="A174" s="76"/>
      <c r="B174" s="77"/>
      <c r="C174" s="78"/>
    </row>
    <row r="175" spans="1:3" ht="15" customHeight="1" x14ac:dyDescent="0.2">
      <c r="A175" s="76"/>
      <c r="B175" s="77"/>
      <c r="C175" s="78"/>
    </row>
    <row r="176" spans="1:3" ht="15" customHeight="1" x14ac:dyDescent="0.2">
      <c r="A176" s="76"/>
      <c r="B176" s="77"/>
      <c r="C176" s="78"/>
    </row>
    <row r="177" spans="1:3" ht="15" customHeight="1" x14ac:dyDescent="0.2">
      <c r="A177" s="76"/>
      <c r="B177" s="77"/>
      <c r="C177" s="78"/>
    </row>
    <row r="178" spans="1:3" ht="15" customHeight="1" x14ac:dyDescent="0.2">
      <c r="A178" s="76"/>
      <c r="B178" s="77"/>
      <c r="C178" s="78"/>
    </row>
    <row r="179" spans="1:3" ht="15" customHeight="1" x14ac:dyDescent="0.2">
      <c r="A179" s="76"/>
      <c r="B179" s="77"/>
      <c r="C179" s="78"/>
    </row>
    <row r="180" spans="1:3" ht="15" customHeight="1" x14ac:dyDescent="0.2">
      <c r="A180" s="76"/>
      <c r="B180" s="77"/>
      <c r="C180" s="78"/>
    </row>
    <row r="181" spans="1:3" ht="15" customHeight="1" x14ac:dyDescent="0.2">
      <c r="A181" s="76"/>
      <c r="B181" s="77"/>
      <c r="C181" s="78"/>
    </row>
    <row r="182" spans="1:3" ht="15" customHeight="1" x14ac:dyDescent="0.2">
      <c r="A182" s="76"/>
      <c r="B182" s="77"/>
      <c r="C182" s="78"/>
    </row>
    <row r="183" spans="1:3" ht="15" customHeight="1" x14ac:dyDescent="0.2">
      <c r="A183" s="76"/>
      <c r="B183" s="77"/>
      <c r="C183" s="78"/>
    </row>
    <row r="184" spans="1:3" ht="15" customHeight="1" x14ac:dyDescent="0.2">
      <c r="A184" s="76"/>
      <c r="B184" s="77"/>
      <c r="C184" s="78"/>
    </row>
    <row r="185" spans="1:3" ht="15" customHeight="1" x14ac:dyDescent="0.2">
      <c r="A185" s="76"/>
      <c r="B185" s="77"/>
      <c r="C185" s="78"/>
    </row>
    <row r="186" spans="1:3" ht="15" customHeight="1" x14ac:dyDescent="0.2">
      <c r="A186" s="76"/>
      <c r="B186" s="77"/>
      <c r="C186" s="78"/>
    </row>
    <row r="187" spans="1:3" ht="15" customHeight="1" x14ac:dyDescent="0.2">
      <c r="A187" s="76"/>
      <c r="B187" s="77"/>
      <c r="C187" s="78"/>
    </row>
    <row r="188" spans="1:3" ht="15" customHeight="1" x14ac:dyDescent="0.2">
      <c r="A188" s="76"/>
      <c r="B188" s="77"/>
      <c r="C188" s="78"/>
    </row>
    <row r="189" spans="1:3" ht="15" customHeight="1" x14ac:dyDescent="0.2">
      <c r="A189" s="76"/>
      <c r="B189" s="77"/>
      <c r="C189" s="78"/>
    </row>
    <row r="190" spans="1:3" ht="15" customHeight="1" x14ac:dyDescent="0.2">
      <c r="A190" s="76"/>
      <c r="B190" s="77"/>
      <c r="C190" s="78"/>
    </row>
    <row r="191" spans="1:3" ht="15" customHeight="1" x14ac:dyDescent="0.2">
      <c r="A191" s="76"/>
      <c r="B191" s="77"/>
      <c r="C191" s="78"/>
    </row>
    <row r="192" spans="1:3" ht="15" customHeight="1" x14ac:dyDescent="0.2">
      <c r="A192" s="76"/>
      <c r="B192" s="77"/>
      <c r="C192" s="78"/>
    </row>
    <row r="193" spans="1:3" ht="15" customHeight="1" x14ac:dyDescent="0.2">
      <c r="A193" s="76"/>
      <c r="B193" s="77"/>
      <c r="C193" s="78"/>
    </row>
    <row r="194" spans="1:3" ht="15" customHeight="1" x14ac:dyDescent="0.2">
      <c r="A194" s="76"/>
      <c r="B194" s="77"/>
      <c r="C194" s="78"/>
    </row>
    <row r="195" spans="1:3" ht="15" customHeight="1" x14ac:dyDescent="0.2">
      <c r="A195" s="76"/>
      <c r="B195" s="77"/>
      <c r="C195" s="78"/>
    </row>
    <row r="196" spans="1:3" ht="15" customHeight="1" x14ac:dyDescent="0.2">
      <c r="A196" s="76"/>
      <c r="B196" s="77"/>
      <c r="C196" s="78"/>
    </row>
    <row r="197" spans="1:3" ht="15" customHeight="1" x14ac:dyDescent="0.2">
      <c r="A197" s="76"/>
      <c r="B197" s="77"/>
      <c r="C197" s="78"/>
    </row>
    <row r="198" spans="1:3" ht="15" customHeight="1" x14ac:dyDescent="0.2">
      <c r="A198" s="76"/>
      <c r="B198" s="77"/>
      <c r="C198" s="78"/>
    </row>
    <row r="199" spans="1:3" ht="15" customHeight="1" x14ac:dyDescent="0.2">
      <c r="A199" s="76"/>
      <c r="B199" s="77"/>
      <c r="C199" s="78"/>
    </row>
    <row r="200" spans="1:3" ht="15" customHeight="1" x14ac:dyDescent="0.2">
      <c r="A200" s="76"/>
      <c r="B200" s="77"/>
      <c r="C200" s="78"/>
    </row>
    <row r="201" spans="1:3" ht="15" customHeight="1" x14ac:dyDescent="0.2">
      <c r="A201" s="76"/>
      <c r="B201" s="77"/>
      <c r="C201" s="78"/>
    </row>
    <row r="202" spans="1:3" ht="15" customHeight="1" x14ac:dyDescent="0.2">
      <c r="A202" s="76"/>
      <c r="B202" s="77"/>
      <c r="C202" s="78"/>
    </row>
    <row r="203" spans="1:3" ht="15" customHeight="1" x14ac:dyDescent="0.2">
      <c r="A203" s="76"/>
      <c r="B203" s="77"/>
      <c r="C203" s="78"/>
    </row>
    <row r="204" spans="1:3" ht="15" customHeight="1" x14ac:dyDescent="0.2">
      <c r="A204" s="76"/>
      <c r="B204" s="77"/>
      <c r="C204" s="78"/>
    </row>
    <row r="205" spans="1:3" ht="15" customHeight="1" x14ac:dyDescent="0.2">
      <c r="A205" s="76"/>
      <c r="B205" s="77"/>
      <c r="C205" s="78"/>
    </row>
    <row r="206" spans="1:3" ht="15" customHeight="1" x14ac:dyDescent="0.2">
      <c r="A206" s="76"/>
      <c r="B206" s="77"/>
      <c r="C206" s="78"/>
    </row>
    <row r="207" spans="1:3" ht="15" customHeight="1" x14ac:dyDescent="0.2">
      <c r="A207" s="76"/>
      <c r="B207" s="77"/>
      <c r="C207" s="78"/>
    </row>
    <row r="208" spans="1:3" ht="15" customHeight="1" x14ac:dyDescent="0.2">
      <c r="A208" s="76"/>
      <c r="B208" s="77"/>
      <c r="C208" s="78"/>
    </row>
    <row r="209" spans="1:3" ht="15" customHeight="1" x14ac:dyDescent="0.2">
      <c r="A209" s="76"/>
      <c r="B209" s="77"/>
      <c r="C209" s="78"/>
    </row>
    <row r="210" spans="1:3" ht="15" customHeight="1" x14ac:dyDescent="0.2">
      <c r="A210" s="76"/>
      <c r="B210" s="77"/>
      <c r="C210" s="78"/>
    </row>
    <row r="211" spans="1:3" ht="15" customHeight="1" x14ac:dyDescent="0.2">
      <c r="A211" s="76"/>
      <c r="B211" s="77"/>
      <c r="C211" s="78"/>
    </row>
    <row r="212" spans="1:3" ht="15" customHeight="1" x14ac:dyDescent="0.2">
      <c r="A212" s="76"/>
      <c r="B212" s="77"/>
      <c r="C212" s="78"/>
    </row>
    <row r="213" spans="1:3" ht="15" customHeight="1" x14ac:dyDescent="0.2">
      <c r="A213" s="76"/>
      <c r="B213" s="77"/>
      <c r="C213" s="78"/>
    </row>
    <row r="214" spans="1:3" ht="15" customHeight="1" x14ac:dyDescent="0.2">
      <c r="A214" s="76"/>
      <c r="B214" s="77"/>
      <c r="C214" s="78"/>
    </row>
    <row r="215" spans="1:3" ht="15" customHeight="1" x14ac:dyDescent="0.2">
      <c r="A215" s="76"/>
      <c r="B215" s="77"/>
      <c r="C215" s="78"/>
    </row>
    <row r="216" spans="1:3" ht="15" customHeight="1" x14ac:dyDescent="0.2">
      <c r="A216" s="76"/>
      <c r="B216" s="77"/>
      <c r="C216" s="78"/>
    </row>
    <row r="217" spans="1:3" ht="15" customHeight="1" x14ac:dyDescent="0.2">
      <c r="A217" s="76"/>
      <c r="B217" s="77"/>
      <c r="C217" s="78"/>
    </row>
    <row r="218" spans="1:3" ht="15" customHeight="1" x14ac:dyDescent="0.2">
      <c r="A218" s="76"/>
      <c r="B218" s="77"/>
      <c r="C218" s="78"/>
    </row>
    <row r="219" spans="1:3" ht="15" customHeight="1" x14ac:dyDescent="0.2">
      <c r="A219" s="76"/>
      <c r="B219" s="77"/>
      <c r="C219" s="78"/>
    </row>
    <row r="220" spans="1:3" ht="15" customHeight="1" x14ac:dyDescent="0.2">
      <c r="A220" s="76"/>
      <c r="B220" s="77"/>
      <c r="C220" s="78"/>
    </row>
    <row r="221" spans="1:3" ht="15" customHeight="1" x14ac:dyDescent="0.2">
      <c r="A221" s="76"/>
      <c r="B221" s="77"/>
      <c r="C221" s="78"/>
    </row>
    <row r="222" spans="1:3" ht="15" customHeight="1" x14ac:dyDescent="0.2">
      <c r="A222" s="76"/>
      <c r="B222" s="77"/>
      <c r="C222" s="78"/>
    </row>
    <row r="223" spans="1:3" ht="15" customHeight="1" x14ac:dyDescent="0.2">
      <c r="A223" s="76"/>
      <c r="B223" s="77"/>
      <c r="C223" s="78"/>
    </row>
    <row r="224" spans="1:3" ht="15" customHeight="1" x14ac:dyDescent="0.2">
      <c r="A224" s="76"/>
      <c r="B224" s="77"/>
      <c r="C224" s="78"/>
    </row>
    <row r="225" spans="1:3" ht="15" customHeight="1" x14ac:dyDescent="0.2">
      <c r="A225" s="76"/>
      <c r="B225" s="77"/>
      <c r="C225" s="78"/>
    </row>
    <row r="226" spans="1:3" ht="15" customHeight="1" x14ac:dyDescent="0.2">
      <c r="A226" s="76"/>
      <c r="B226" s="77"/>
      <c r="C226" s="78"/>
    </row>
    <row r="227" spans="1:3" ht="15" customHeight="1" x14ac:dyDescent="0.2">
      <c r="A227" s="76"/>
      <c r="B227" s="77"/>
      <c r="C227" s="78"/>
    </row>
    <row r="228" spans="1:3" ht="15" customHeight="1" x14ac:dyDescent="0.2">
      <c r="A228" s="76"/>
      <c r="B228" s="77"/>
      <c r="C228" s="78"/>
    </row>
    <row r="229" spans="1:3" ht="15" customHeight="1" x14ac:dyDescent="0.2">
      <c r="A229" s="76"/>
      <c r="B229" s="77"/>
      <c r="C229" s="78"/>
    </row>
    <row r="230" spans="1:3" ht="15" customHeight="1" x14ac:dyDescent="0.2">
      <c r="A230" s="76"/>
      <c r="B230" s="77"/>
      <c r="C230" s="78"/>
    </row>
    <row r="231" spans="1:3" ht="15" customHeight="1" x14ac:dyDescent="0.2">
      <c r="A231" s="76"/>
      <c r="B231" s="77"/>
      <c r="C231" s="78"/>
    </row>
    <row r="232" spans="1:3" ht="15" customHeight="1" x14ac:dyDescent="0.2">
      <c r="A232" s="76"/>
      <c r="B232" s="77"/>
      <c r="C232" s="78"/>
    </row>
    <row r="233" spans="1:3" ht="15" customHeight="1" x14ac:dyDescent="0.2">
      <c r="A233" s="76"/>
      <c r="B233" s="77"/>
      <c r="C233" s="78"/>
    </row>
    <row r="234" spans="1:3" ht="15" customHeight="1" x14ac:dyDescent="0.2">
      <c r="A234" s="76"/>
      <c r="B234" s="77"/>
      <c r="C234" s="78"/>
    </row>
    <row r="235" spans="1:3" ht="15" customHeight="1" x14ac:dyDescent="0.2">
      <c r="A235" s="76"/>
      <c r="B235" s="77"/>
      <c r="C235" s="78"/>
    </row>
    <row r="236" spans="1:3" ht="15" customHeight="1" x14ac:dyDescent="0.2">
      <c r="A236" s="76"/>
      <c r="B236" s="77"/>
      <c r="C236" s="78"/>
    </row>
    <row r="237" spans="1:3" ht="15" customHeight="1" x14ac:dyDescent="0.2">
      <c r="A237" s="76"/>
      <c r="B237" s="77"/>
      <c r="C237" s="78"/>
    </row>
    <row r="238" spans="1:3" ht="15" customHeight="1" x14ac:dyDescent="0.2">
      <c r="A238" s="76"/>
      <c r="B238" s="77"/>
      <c r="C238" s="78"/>
    </row>
    <row r="239" spans="1:3" ht="15" customHeight="1" x14ac:dyDescent="0.2">
      <c r="A239" s="76"/>
      <c r="B239" s="77"/>
      <c r="C239" s="78"/>
    </row>
    <row r="240" spans="1:3" ht="15" customHeight="1" x14ac:dyDescent="0.2">
      <c r="A240" s="76"/>
      <c r="B240" s="77"/>
      <c r="C240" s="78"/>
    </row>
    <row r="241" spans="1:3" ht="15" customHeight="1" x14ac:dyDescent="0.2">
      <c r="A241" s="76"/>
      <c r="B241" s="77"/>
      <c r="C241" s="78"/>
    </row>
    <row r="242" spans="1:3" ht="15" customHeight="1" x14ac:dyDescent="0.2">
      <c r="A242" s="76"/>
      <c r="B242" s="77"/>
      <c r="C242" s="78"/>
    </row>
    <row r="243" spans="1:3" ht="15" customHeight="1" x14ac:dyDescent="0.2">
      <c r="A243" s="76"/>
      <c r="B243" s="77"/>
      <c r="C243" s="78"/>
    </row>
    <row r="244" spans="1:3" ht="15" customHeight="1" x14ac:dyDescent="0.2">
      <c r="A244" s="76"/>
      <c r="B244" s="77"/>
      <c r="C244" s="78"/>
    </row>
    <row r="245" spans="1:3" ht="15" customHeight="1" x14ac:dyDescent="0.2">
      <c r="A245" s="76"/>
      <c r="B245" s="77"/>
      <c r="C245" s="78"/>
    </row>
    <row r="246" spans="1:3" ht="15" customHeight="1" x14ac:dyDescent="0.2">
      <c r="A246" s="76"/>
      <c r="B246" s="77"/>
      <c r="C246" s="78"/>
    </row>
    <row r="247" spans="1:3" ht="15" customHeight="1" x14ac:dyDescent="0.2">
      <c r="A247" s="76"/>
      <c r="B247" s="77"/>
      <c r="C247" s="78"/>
    </row>
    <row r="248" spans="1:3" ht="15" customHeight="1" x14ac:dyDescent="0.2">
      <c r="A248" s="76"/>
      <c r="B248" s="77"/>
      <c r="C248" s="78"/>
    </row>
    <row r="249" spans="1:3" ht="15" customHeight="1" x14ac:dyDescent="0.2">
      <c r="A249" s="76"/>
      <c r="B249" s="77"/>
      <c r="C249" s="78"/>
    </row>
    <row r="250" spans="1:3" ht="15" customHeight="1" x14ac:dyDescent="0.2">
      <c r="A250" s="76"/>
      <c r="B250" s="77"/>
      <c r="C250" s="78"/>
    </row>
    <row r="251" spans="1:3" ht="15" customHeight="1" x14ac:dyDescent="0.2">
      <c r="A251" s="76"/>
      <c r="B251" s="77"/>
      <c r="C251" s="78"/>
    </row>
    <row r="252" spans="1:3" ht="15" customHeight="1" x14ac:dyDescent="0.2">
      <c r="A252" s="76"/>
      <c r="B252" s="77"/>
      <c r="C252" s="78"/>
    </row>
    <row r="253" spans="1:3" ht="15" customHeight="1" x14ac:dyDescent="0.2">
      <c r="A253" s="76"/>
      <c r="B253" s="77"/>
      <c r="C253" s="78"/>
    </row>
    <row r="254" spans="1:3" ht="15" customHeight="1" x14ac:dyDescent="0.2">
      <c r="A254" s="76"/>
      <c r="B254" s="77"/>
      <c r="C254" s="78"/>
    </row>
    <row r="255" spans="1:3" ht="15" customHeight="1" x14ac:dyDescent="0.2">
      <c r="A255" s="76"/>
      <c r="B255" s="77"/>
      <c r="C255" s="78"/>
    </row>
    <row r="256" spans="1:3" ht="15" customHeight="1" x14ac:dyDescent="0.2">
      <c r="A256" s="76"/>
      <c r="B256" s="77"/>
      <c r="C256" s="78"/>
    </row>
    <row r="257" spans="1:3" ht="15" customHeight="1" x14ac:dyDescent="0.2">
      <c r="A257" s="76"/>
      <c r="B257" s="77"/>
      <c r="C257" s="78"/>
    </row>
    <row r="258" spans="1:3" ht="15" customHeight="1" x14ac:dyDescent="0.2">
      <c r="A258" s="76"/>
      <c r="B258" s="77"/>
      <c r="C258" s="78"/>
    </row>
    <row r="259" spans="1:3" ht="15" customHeight="1" x14ac:dyDescent="0.2">
      <c r="A259" s="76"/>
      <c r="B259" s="77"/>
      <c r="C259" s="78"/>
    </row>
    <row r="260" spans="1:3" ht="15" customHeight="1" x14ac:dyDescent="0.2">
      <c r="A260" s="76"/>
      <c r="B260" s="77"/>
      <c r="C260" s="78"/>
    </row>
    <row r="261" spans="1:3" ht="15" customHeight="1" x14ac:dyDescent="0.2">
      <c r="A261" s="76"/>
      <c r="B261" s="77"/>
      <c r="C261" s="78"/>
    </row>
    <row r="262" spans="1:3" ht="15" customHeight="1" x14ac:dyDescent="0.2">
      <c r="A262" s="76"/>
      <c r="B262" s="77"/>
      <c r="C262" s="78"/>
    </row>
    <row r="263" spans="1:3" ht="15" customHeight="1" x14ac:dyDescent="0.2">
      <c r="A263" s="76"/>
      <c r="B263" s="77"/>
      <c r="C263" s="78"/>
    </row>
    <row r="264" spans="1:3" ht="15" customHeight="1" x14ac:dyDescent="0.2">
      <c r="A264" s="76"/>
      <c r="B264" s="77"/>
      <c r="C264" s="78"/>
    </row>
    <row r="265" spans="1:3" ht="15" customHeight="1" x14ac:dyDescent="0.2">
      <c r="A265" s="76"/>
      <c r="B265" s="77"/>
      <c r="C265" s="78"/>
    </row>
    <row r="266" spans="1:3" ht="15" customHeight="1" x14ac:dyDescent="0.2">
      <c r="A266" s="76"/>
      <c r="B266" s="77"/>
      <c r="C266" s="78"/>
    </row>
    <row r="267" spans="1:3" ht="15" customHeight="1" x14ac:dyDescent="0.2">
      <c r="A267" s="76"/>
      <c r="B267" s="77"/>
      <c r="C267" s="78"/>
    </row>
    <row r="268" spans="1:3" ht="15" customHeight="1" x14ac:dyDescent="0.2">
      <c r="A268" s="76"/>
      <c r="B268" s="77"/>
      <c r="C268" s="78"/>
    </row>
    <row r="269" spans="1:3" ht="15" customHeight="1" x14ac:dyDescent="0.2">
      <c r="A269" s="76"/>
      <c r="B269" s="77"/>
      <c r="C269" s="78"/>
    </row>
    <row r="270" spans="1:3" ht="15" customHeight="1" x14ac:dyDescent="0.2">
      <c r="A270" s="76"/>
      <c r="B270" s="77"/>
      <c r="C270" s="78"/>
    </row>
    <row r="271" spans="1:3" ht="15" customHeight="1" x14ac:dyDescent="0.2">
      <c r="A271" s="76"/>
      <c r="B271" s="77"/>
      <c r="C271" s="78"/>
    </row>
    <row r="272" spans="1:3" ht="15" customHeight="1" x14ac:dyDescent="0.2">
      <c r="A272" s="76"/>
      <c r="B272" s="77"/>
      <c r="C272" s="78"/>
    </row>
    <row r="273" spans="1:3" ht="15" customHeight="1" x14ac:dyDescent="0.2">
      <c r="A273" s="76"/>
      <c r="B273" s="77"/>
      <c r="C273" s="78"/>
    </row>
    <row r="274" spans="1:3" ht="15" customHeight="1" x14ac:dyDescent="0.2">
      <c r="A274" s="76"/>
      <c r="B274" s="77"/>
      <c r="C274" s="78"/>
    </row>
    <row r="275" spans="1:3" ht="15" customHeight="1" x14ac:dyDescent="0.2">
      <c r="A275" s="76"/>
      <c r="B275" s="77"/>
      <c r="C275" s="78"/>
    </row>
    <row r="276" spans="1:3" ht="15" customHeight="1" x14ac:dyDescent="0.2">
      <c r="A276" s="76"/>
      <c r="B276" s="77"/>
      <c r="C276" s="78"/>
    </row>
    <row r="277" spans="1:3" ht="15" customHeight="1" x14ac:dyDescent="0.2">
      <c r="A277" s="76"/>
      <c r="B277" s="77"/>
      <c r="C277" s="78"/>
    </row>
    <row r="278" spans="1:3" ht="15" customHeight="1" x14ac:dyDescent="0.2">
      <c r="A278" s="76"/>
      <c r="B278" s="77"/>
      <c r="C278" s="78"/>
    </row>
    <row r="279" spans="1:3" ht="15" customHeight="1" x14ac:dyDescent="0.2">
      <c r="A279" s="76"/>
      <c r="B279" s="77"/>
      <c r="C279" s="78"/>
    </row>
    <row r="280" spans="1:3" ht="15" customHeight="1" x14ac:dyDescent="0.2">
      <c r="A280" s="76"/>
      <c r="B280" s="77"/>
      <c r="C280" s="78"/>
    </row>
    <row r="281" spans="1:3" ht="15" customHeight="1" x14ac:dyDescent="0.2">
      <c r="A281" s="76"/>
      <c r="B281" s="77"/>
      <c r="C281" s="78"/>
    </row>
    <row r="282" spans="1:3" ht="15" customHeight="1" x14ac:dyDescent="0.2">
      <c r="A282" s="76"/>
      <c r="B282" s="77"/>
      <c r="C282" s="78"/>
    </row>
    <row r="283" spans="1:3" ht="15" customHeight="1" x14ac:dyDescent="0.2">
      <c r="A283" s="76"/>
      <c r="B283" s="77"/>
      <c r="C283" s="78"/>
    </row>
    <row r="284" spans="1:3" ht="15" customHeight="1" x14ac:dyDescent="0.2">
      <c r="A284" s="76"/>
      <c r="B284" s="77"/>
      <c r="C284" s="78"/>
    </row>
    <row r="285" spans="1:3" ht="15" customHeight="1" x14ac:dyDescent="0.2">
      <c r="A285" s="76"/>
      <c r="B285" s="77"/>
      <c r="C285" s="78"/>
    </row>
    <row r="286" spans="1:3" ht="15" customHeight="1" x14ac:dyDescent="0.2">
      <c r="A286" s="76"/>
      <c r="B286" s="77"/>
      <c r="C286" s="78"/>
    </row>
    <row r="287" spans="1:3" ht="15" customHeight="1" x14ac:dyDescent="0.2">
      <c r="A287" s="76"/>
      <c r="B287" s="77"/>
      <c r="C287" s="78"/>
    </row>
    <row r="288" spans="1:3" ht="15" customHeight="1" x14ac:dyDescent="0.2">
      <c r="A288" s="76"/>
      <c r="B288" s="77"/>
      <c r="C288" s="78"/>
    </row>
    <row r="289" spans="1:3" ht="15" customHeight="1" x14ac:dyDescent="0.2">
      <c r="A289" s="76"/>
      <c r="B289" s="77"/>
      <c r="C289" s="78"/>
    </row>
    <row r="290" spans="1:3" ht="15" customHeight="1" x14ac:dyDescent="0.2">
      <c r="A290" s="76"/>
      <c r="B290" s="77"/>
      <c r="C290" s="78"/>
    </row>
    <row r="291" spans="1:3" ht="15" customHeight="1" x14ac:dyDescent="0.2">
      <c r="A291" s="76"/>
      <c r="B291" s="77"/>
      <c r="C291" s="78"/>
    </row>
    <row r="292" spans="1:3" ht="15" customHeight="1" x14ac:dyDescent="0.2">
      <c r="A292" s="76"/>
      <c r="B292" s="77"/>
      <c r="C292" s="78"/>
    </row>
    <row r="293" spans="1:3" ht="15" customHeight="1" x14ac:dyDescent="0.2">
      <c r="A293" s="76"/>
      <c r="B293" s="77"/>
      <c r="C293" s="78"/>
    </row>
    <row r="294" spans="1:3" ht="15" customHeight="1" x14ac:dyDescent="0.2">
      <c r="A294" s="76"/>
      <c r="B294" s="77"/>
      <c r="C294" s="78"/>
    </row>
    <row r="295" spans="1:3" ht="15" customHeight="1" x14ac:dyDescent="0.2">
      <c r="A295" s="76"/>
      <c r="B295" s="77"/>
      <c r="C295" s="78"/>
    </row>
    <row r="296" spans="1:3" ht="15" customHeight="1" x14ac:dyDescent="0.2">
      <c r="A296" s="76"/>
      <c r="B296" s="77"/>
      <c r="C296" s="78"/>
    </row>
    <row r="297" spans="1:3" ht="15" customHeight="1" x14ac:dyDescent="0.2">
      <c r="A297" s="76"/>
      <c r="B297" s="77"/>
      <c r="C297" s="78"/>
    </row>
    <row r="298" spans="1:3" ht="15" customHeight="1" x14ac:dyDescent="0.2">
      <c r="A298" s="76"/>
      <c r="B298" s="77"/>
      <c r="C298" s="78"/>
    </row>
    <row r="299" spans="1:3" ht="15" customHeight="1" x14ac:dyDescent="0.2">
      <c r="A299" s="76"/>
      <c r="B299" s="77"/>
      <c r="C299" s="78"/>
    </row>
    <row r="300" spans="1:3" ht="15" customHeight="1" x14ac:dyDescent="0.2">
      <c r="A300" s="76"/>
      <c r="B300" s="77"/>
      <c r="C300" s="78"/>
    </row>
    <row r="301" spans="1:3" ht="15" customHeight="1" x14ac:dyDescent="0.2">
      <c r="A301" s="76"/>
      <c r="B301" s="77"/>
      <c r="C301" s="78"/>
    </row>
    <row r="302" spans="1:3" ht="15" customHeight="1" x14ac:dyDescent="0.2">
      <c r="A302" s="76"/>
      <c r="B302" s="77"/>
      <c r="C302" s="78"/>
    </row>
  </sheetData>
  <mergeCells count="1">
    <mergeCell ref="A1:C1"/>
  </mergeCells>
  <pageMargins left="0.75" right="0.75" top="1" bottom="1" header="0.511811023622047" footer="0.511811023622047"/>
  <pageSetup paperSize="9"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showGridLines="0" zoomScaleNormal="100" workbookViewId="0"/>
  </sheetViews>
  <sheetFormatPr baseColWidth="10" defaultColWidth="8.6640625" defaultRowHeight="15" x14ac:dyDescent="0.2"/>
  <cols>
    <col min="1" max="1" width="26" customWidth="1"/>
    <col min="2" max="2" width="45" customWidth="1"/>
    <col min="3" max="3" width="10" customWidth="1"/>
    <col min="4" max="4" width="55" customWidth="1"/>
    <col min="5" max="6" width="1" customWidth="1"/>
  </cols>
  <sheetData>
    <row r="1" spans="1:6" ht="19.5" customHeight="1" x14ac:dyDescent="0.2">
      <c r="A1" s="14" t="s">
        <v>381</v>
      </c>
      <c r="B1" s="14"/>
      <c r="C1" s="14"/>
      <c r="D1" s="14"/>
      <c r="E1" s="14"/>
      <c r="F1" s="14"/>
    </row>
    <row r="2" spans="1:6" ht="39.75" customHeight="1" x14ac:dyDescent="0.2">
      <c r="A2" s="6" t="s">
        <v>382</v>
      </c>
      <c r="B2" s="6"/>
      <c r="C2" s="6"/>
      <c r="D2" s="6"/>
      <c r="E2" s="6"/>
      <c r="F2" s="6"/>
    </row>
    <row r="4" spans="1:6" ht="15" customHeight="1" x14ac:dyDescent="0.2">
      <c r="A4" s="83" t="s">
        <v>383</v>
      </c>
      <c r="B4" s="83"/>
      <c r="C4" s="83"/>
      <c r="D4" s="83"/>
      <c r="E4" s="83"/>
      <c r="F4" s="83"/>
    </row>
    <row r="5" spans="1:6" ht="15" customHeight="1" x14ac:dyDescent="0.2">
      <c r="A5" s="49" t="s">
        <v>384</v>
      </c>
      <c r="B5" s="49" t="s">
        <v>385</v>
      </c>
      <c r="C5" s="49" t="s">
        <v>386</v>
      </c>
      <c r="D5" s="49" t="s">
        <v>387</v>
      </c>
    </row>
    <row r="6" spans="1:6" ht="15" customHeight="1" x14ac:dyDescent="0.2">
      <c r="A6" s="79" t="s">
        <v>388</v>
      </c>
      <c r="B6" s="79" t="s">
        <v>389</v>
      </c>
      <c r="C6" s="79" t="s">
        <v>389</v>
      </c>
      <c r="D6" s="84" t="s">
        <v>390</v>
      </c>
      <c r="E6" s="84"/>
      <c r="F6" s="84"/>
    </row>
    <row r="8" spans="1:6" ht="15" customHeight="1" x14ac:dyDescent="0.2">
      <c r="A8" s="83" t="s">
        <v>391</v>
      </c>
      <c r="B8" s="83"/>
      <c r="C8" s="83"/>
      <c r="D8" s="83"/>
      <c r="E8" s="83"/>
      <c r="F8" s="83"/>
    </row>
    <row r="9" spans="1:6" ht="15" customHeight="1" x14ac:dyDescent="0.2">
      <c r="A9" s="49" t="s">
        <v>384</v>
      </c>
      <c r="B9" s="49" t="s">
        <v>385</v>
      </c>
      <c r="C9" s="49" t="s">
        <v>386</v>
      </c>
      <c r="D9" s="49" t="s">
        <v>387</v>
      </c>
    </row>
    <row r="10" spans="1:6" ht="27.75" customHeight="1" x14ac:dyDescent="0.2">
      <c r="A10" s="79" t="s">
        <v>392</v>
      </c>
      <c r="B10" s="79" t="s">
        <v>389</v>
      </c>
      <c r="C10" s="79" t="s">
        <v>393</v>
      </c>
      <c r="D10" s="84" t="s">
        <v>394</v>
      </c>
      <c r="E10" s="84"/>
      <c r="F10" s="84"/>
    </row>
    <row r="12" spans="1:6" ht="15" customHeight="1" x14ac:dyDescent="0.2">
      <c r="A12" s="83" t="s">
        <v>395</v>
      </c>
      <c r="B12" s="83"/>
      <c r="C12" s="83"/>
      <c r="D12" s="83"/>
      <c r="E12" s="83"/>
      <c r="F12" s="83"/>
    </row>
    <row r="13" spans="1:6" ht="15" customHeight="1" x14ac:dyDescent="0.2">
      <c r="A13" s="49" t="s">
        <v>384</v>
      </c>
      <c r="B13" s="49" t="s">
        <v>385</v>
      </c>
      <c r="C13" s="49" t="s">
        <v>386</v>
      </c>
      <c r="D13" s="49" t="s">
        <v>387</v>
      </c>
    </row>
    <row r="14" spans="1:6" ht="36.75" customHeight="1" x14ac:dyDescent="0.2">
      <c r="A14" s="79" t="s">
        <v>396</v>
      </c>
      <c r="B14" s="79" t="s">
        <v>397</v>
      </c>
      <c r="C14" s="79" t="s">
        <v>398</v>
      </c>
      <c r="D14" s="84" t="s">
        <v>399</v>
      </c>
      <c r="E14" s="84"/>
      <c r="F14" s="84"/>
    </row>
    <row r="16" spans="1:6" ht="15" customHeight="1" x14ac:dyDescent="0.2">
      <c r="A16" s="83" t="s">
        <v>400</v>
      </c>
      <c r="B16" s="83"/>
      <c r="C16" s="83"/>
      <c r="D16" s="83"/>
      <c r="E16" s="83"/>
      <c r="F16" s="83"/>
    </row>
    <row r="17" spans="1:6" ht="15" customHeight="1" x14ac:dyDescent="0.2">
      <c r="A17" s="49" t="s">
        <v>384</v>
      </c>
      <c r="B17" s="49" t="s">
        <v>385</v>
      </c>
      <c r="C17" s="49" t="s">
        <v>386</v>
      </c>
      <c r="D17" s="49" t="s">
        <v>387</v>
      </c>
    </row>
    <row r="18" spans="1:6" ht="18.75" customHeight="1" x14ac:dyDescent="0.2">
      <c r="A18" s="79" t="s">
        <v>401</v>
      </c>
      <c r="B18" s="79" t="s">
        <v>389</v>
      </c>
      <c r="C18" s="79" t="s">
        <v>402</v>
      </c>
      <c r="D18" s="84" t="s">
        <v>403</v>
      </c>
      <c r="E18" s="84"/>
      <c r="F18" s="84"/>
    </row>
    <row r="20" spans="1:6" ht="15" customHeight="1" x14ac:dyDescent="0.2">
      <c r="A20" s="83" t="s">
        <v>404</v>
      </c>
      <c r="B20" s="83"/>
      <c r="C20" s="83"/>
      <c r="D20" s="83"/>
      <c r="E20" s="83"/>
      <c r="F20" s="83"/>
    </row>
    <row r="21" spans="1:6" ht="15" customHeight="1" x14ac:dyDescent="0.2">
      <c r="A21" s="49" t="s">
        <v>384</v>
      </c>
      <c r="B21" s="49" t="s">
        <v>385</v>
      </c>
      <c r="C21" s="49" t="s">
        <v>386</v>
      </c>
      <c r="D21" s="49" t="s">
        <v>387</v>
      </c>
    </row>
    <row r="22" spans="1:6" ht="63.75" customHeight="1" x14ac:dyDescent="0.2">
      <c r="A22" s="79" t="s">
        <v>405</v>
      </c>
      <c r="B22" s="79" t="s">
        <v>406</v>
      </c>
      <c r="C22" s="79" t="s">
        <v>407</v>
      </c>
      <c r="D22" s="84" t="s">
        <v>408</v>
      </c>
      <c r="E22" s="84"/>
      <c r="F22" s="84"/>
    </row>
    <row r="24" spans="1:6" ht="15" customHeight="1" x14ac:dyDescent="0.2">
      <c r="A24" s="83" t="s">
        <v>409</v>
      </c>
      <c r="B24" s="83"/>
      <c r="C24" s="83"/>
      <c r="D24" s="83"/>
      <c r="E24" s="83"/>
      <c r="F24" s="83"/>
    </row>
    <row r="25" spans="1:6" ht="15" customHeight="1" x14ac:dyDescent="0.2">
      <c r="A25" s="49" t="s">
        <v>384</v>
      </c>
      <c r="B25" s="49" t="s">
        <v>385</v>
      </c>
      <c r="C25" s="49" t="s">
        <v>386</v>
      </c>
      <c r="D25" s="49" t="s">
        <v>387</v>
      </c>
    </row>
    <row r="26" spans="1:6" ht="45.75" customHeight="1" x14ac:dyDescent="0.2">
      <c r="A26" s="79" t="s">
        <v>405</v>
      </c>
      <c r="B26" s="79" t="s">
        <v>410</v>
      </c>
      <c r="C26" s="79" t="s">
        <v>411</v>
      </c>
      <c r="D26" s="84" t="s">
        <v>412</v>
      </c>
      <c r="E26" s="84"/>
      <c r="F26" s="84"/>
    </row>
    <row r="28" spans="1:6" ht="15" customHeight="1" x14ac:dyDescent="0.2">
      <c r="A28" s="83" t="s">
        <v>413</v>
      </c>
      <c r="B28" s="83"/>
      <c r="C28" s="83"/>
      <c r="D28" s="83"/>
      <c r="E28" s="83"/>
      <c r="F28" s="83"/>
    </row>
    <row r="29" spans="1:6" ht="15" customHeight="1" x14ac:dyDescent="0.2">
      <c r="A29" s="49" t="s">
        <v>384</v>
      </c>
      <c r="B29" s="49" t="s">
        <v>385</v>
      </c>
      <c r="C29" s="49" t="s">
        <v>386</v>
      </c>
      <c r="D29" s="49" t="s">
        <v>387</v>
      </c>
    </row>
    <row r="30" spans="1:6" ht="27.75" customHeight="1" x14ac:dyDescent="0.2">
      <c r="A30" s="79" t="s">
        <v>405</v>
      </c>
      <c r="B30" s="79" t="s">
        <v>414</v>
      </c>
      <c r="C30" s="79" t="s">
        <v>415</v>
      </c>
      <c r="D30" s="84" t="s">
        <v>416</v>
      </c>
      <c r="E30" s="84"/>
      <c r="F30" s="84"/>
    </row>
    <row r="32" spans="1:6" ht="15" customHeight="1" x14ac:dyDescent="0.2">
      <c r="A32" s="83" t="s">
        <v>417</v>
      </c>
      <c r="B32" s="83"/>
      <c r="C32" s="83"/>
      <c r="D32" s="83"/>
      <c r="E32" s="83"/>
      <c r="F32" s="83"/>
    </row>
    <row r="33" spans="1:6" ht="15" customHeight="1" x14ac:dyDescent="0.2">
      <c r="A33" s="49" t="s">
        <v>384</v>
      </c>
      <c r="B33" s="49" t="s">
        <v>385</v>
      </c>
      <c r="C33" s="49" t="s">
        <v>386</v>
      </c>
      <c r="D33" s="49" t="s">
        <v>387</v>
      </c>
    </row>
    <row r="34" spans="1:6" ht="45.75" customHeight="1" x14ac:dyDescent="0.2">
      <c r="A34" s="79" t="s">
        <v>396</v>
      </c>
      <c r="B34" s="79" t="s">
        <v>418</v>
      </c>
      <c r="C34" s="79" t="s">
        <v>419</v>
      </c>
      <c r="D34" s="84" t="s">
        <v>420</v>
      </c>
      <c r="E34" s="84"/>
      <c r="F34" s="84"/>
    </row>
    <row r="36" spans="1:6" ht="15" customHeight="1" x14ac:dyDescent="0.2">
      <c r="A36" s="83" t="s">
        <v>421</v>
      </c>
      <c r="B36" s="83"/>
      <c r="C36" s="83"/>
      <c r="D36" s="83"/>
      <c r="E36" s="83"/>
      <c r="F36" s="83"/>
    </row>
    <row r="37" spans="1:6" ht="15" customHeight="1" x14ac:dyDescent="0.2">
      <c r="A37" s="49" t="s">
        <v>384</v>
      </c>
      <c r="B37" s="49" t="s">
        <v>385</v>
      </c>
      <c r="C37" s="49" t="s">
        <v>386</v>
      </c>
      <c r="D37" s="49" t="s">
        <v>387</v>
      </c>
    </row>
    <row r="38" spans="1:6" ht="36.75" customHeight="1" x14ac:dyDescent="0.2">
      <c r="A38" s="79" t="s">
        <v>396</v>
      </c>
      <c r="B38" s="79" t="s">
        <v>422</v>
      </c>
      <c r="C38" s="79" t="s">
        <v>423</v>
      </c>
      <c r="D38" s="84" t="s">
        <v>424</v>
      </c>
      <c r="E38" s="84"/>
      <c r="F38" s="84"/>
    </row>
    <row r="40" spans="1:6" ht="15" customHeight="1" x14ac:dyDescent="0.2">
      <c r="A40" s="83" t="s">
        <v>425</v>
      </c>
      <c r="B40" s="83"/>
      <c r="C40" s="83"/>
      <c r="D40" s="83"/>
      <c r="E40" s="83"/>
      <c r="F40" s="83"/>
    </row>
    <row r="41" spans="1:6" ht="15" customHeight="1" x14ac:dyDescent="0.2">
      <c r="A41" s="49" t="s">
        <v>384</v>
      </c>
      <c r="B41" s="49" t="s">
        <v>385</v>
      </c>
      <c r="C41" s="49" t="s">
        <v>386</v>
      </c>
      <c r="D41" s="49" t="s">
        <v>387</v>
      </c>
    </row>
    <row r="42" spans="1:6" ht="36.75" customHeight="1" x14ac:dyDescent="0.2">
      <c r="A42" s="79" t="s">
        <v>405</v>
      </c>
      <c r="B42" s="79" t="s">
        <v>426</v>
      </c>
      <c r="C42" s="79" t="s">
        <v>427</v>
      </c>
      <c r="D42" s="84" t="s">
        <v>428</v>
      </c>
      <c r="E42" s="84"/>
      <c r="F42" s="84"/>
    </row>
    <row r="44" spans="1:6" ht="15" customHeight="1" x14ac:dyDescent="0.2">
      <c r="A44" s="83" t="s">
        <v>429</v>
      </c>
      <c r="B44" s="83"/>
      <c r="C44" s="83"/>
      <c r="D44" s="83"/>
      <c r="E44" s="83"/>
      <c r="F44" s="83"/>
    </row>
    <row r="45" spans="1:6" ht="15" customHeight="1" x14ac:dyDescent="0.2">
      <c r="A45" s="49" t="s">
        <v>384</v>
      </c>
      <c r="B45" s="49" t="s">
        <v>385</v>
      </c>
      <c r="C45" s="49" t="s">
        <v>386</v>
      </c>
      <c r="D45" s="49" t="s">
        <v>387</v>
      </c>
    </row>
    <row r="46" spans="1:6" ht="18.75" customHeight="1" x14ac:dyDescent="0.2">
      <c r="A46" s="79" t="s">
        <v>401</v>
      </c>
      <c r="B46" s="79" t="s">
        <v>389</v>
      </c>
      <c r="C46" s="79" t="s">
        <v>430</v>
      </c>
      <c r="D46" s="84" t="s">
        <v>431</v>
      </c>
      <c r="E46" s="84"/>
      <c r="F46" s="84"/>
    </row>
    <row r="48" spans="1:6" ht="15" customHeight="1" x14ac:dyDescent="0.2">
      <c r="A48" s="83" t="s">
        <v>432</v>
      </c>
      <c r="B48" s="83"/>
      <c r="C48" s="83"/>
      <c r="D48" s="83"/>
      <c r="E48" s="83"/>
      <c r="F48" s="83"/>
    </row>
    <row r="49" spans="1:6" ht="15" customHeight="1" x14ac:dyDescent="0.2">
      <c r="A49" s="49" t="s">
        <v>384</v>
      </c>
      <c r="B49" s="49" t="s">
        <v>385</v>
      </c>
      <c r="C49" s="49" t="s">
        <v>386</v>
      </c>
      <c r="D49" s="49" t="s">
        <v>387</v>
      </c>
    </row>
    <row r="50" spans="1:6" ht="18.75" customHeight="1" x14ac:dyDescent="0.2">
      <c r="A50" s="79" t="s">
        <v>433</v>
      </c>
      <c r="B50" s="79" t="s">
        <v>389</v>
      </c>
      <c r="C50" s="79" t="s">
        <v>434</v>
      </c>
      <c r="D50" s="84" t="s">
        <v>435</v>
      </c>
      <c r="E50" s="84"/>
      <c r="F50" s="84"/>
    </row>
    <row r="52" spans="1:6" ht="15" customHeight="1" x14ac:dyDescent="0.2">
      <c r="A52" s="83" t="s">
        <v>436</v>
      </c>
      <c r="B52" s="83"/>
      <c r="C52" s="83"/>
      <c r="D52" s="83"/>
      <c r="E52" s="83"/>
      <c r="F52" s="83"/>
    </row>
    <row r="53" spans="1:6" ht="15" customHeight="1" x14ac:dyDescent="0.2">
      <c r="A53" s="49" t="s">
        <v>384</v>
      </c>
      <c r="B53" s="49" t="s">
        <v>385</v>
      </c>
      <c r="C53" s="49" t="s">
        <v>386</v>
      </c>
      <c r="D53" s="49" t="s">
        <v>387</v>
      </c>
    </row>
    <row r="54" spans="1:6" ht="36.75" customHeight="1" x14ac:dyDescent="0.2">
      <c r="A54" s="79" t="s">
        <v>437</v>
      </c>
      <c r="B54" s="79" t="s">
        <v>389</v>
      </c>
      <c r="C54" s="79" t="s">
        <v>438</v>
      </c>
      <c r="D54" s="84" t="s">
        <v>439</v>
      </c>
      <c r="E54" s="84"/>
      <c r="F54" s="84"/>
    </row>
    <row r="56" spans="1:6" ht="15" customHeight="1" x14ac:dyDescent="0.2">
      <c r="A56" s="83" t="s">
        <v>440</v>
      </c>
      <c r="B56" s="83"/>
      <c r="C56" s="83"/>
      <c r="D56" s="83"/>
      <c r="E56" s="83"/>
      <c r="F56" s="83"/>
    </row>
    <row r="57" spans="1:6" ht="15" customHeight="1" x14ac:dyDescent="0.2">
      <c r="A57" s="49" t="s">
        <v>384</v>
      </c>
      <c r="B57" s="49" t="s">
        <v>385</v>
      </c>
      <c r="C57" s="49" t="s">
        <v>386</v>
      </c>
      <c r="D57" s="49" t="s">
        <v>387</v>
      </c>
    </row>
    <row r="58" spans="1:6" ht="18.75" customHeight="1" x14ac:dyDescent="0.2">
      <c r="A58" s="79" t="s">
        <v>405</v>
      </c>
      <c r="B58" s="79" t="s">
        <v>441</v>
      </c>
      <c r="C58" s="79" t="s">
        <v>442</v>
      </c>
      <c r="D58" s="84" t="s">
        <v>443</v>
      </c>
      <c r="E58" s="84"/>
      <c r="F58" s="84"/>
    </row>
  </sheetData>
  <mergeCells count="30">
    <mergeCell ref="D50:F50"/>
    <mergeCell ref="A52:F52"/>
    <mergeCell ref="D54:F54"/>
    <mergeCell ref="A56:F56"/>
    <mergeCell ref="D58:F58"/>
    <mergeCell ref="A40:F40"/>
    <mergeCell ref="D42:F42"/>
    <mergeCell ref="A44:F44"/>
    <mergeCell ref="D46:F46"/>
    <mergeCell ref="A48:F48"/>
    <mergeCell ref="D30:F30"/>
    <mergeCell ref="A32:F32"/>
    <mergeCell ref="D34:F34"/>
    <mergeCell ref="A36:F36"/>
    <mergeCell ref="D38:F38"/>
    <mergeCell ref="A20:F20"/>
    <mergeCell ref="D22:F22"/>
    <mergeCell ref="A24:F24"/>
    <mergeCell ref="D26:F26"/>
    <mergeCell ref="A28:F28"/>
    <mergeCell ref="D10:F10"/>
    <mergeCell ref="A12:F12"/>
    <mergeCell ref="D14:F14"/>
    <mergeCell ref="A16:F16"/>
    <mergeCell ref="D18:F18"/>
    <mergeCell ref="A1:F1"/>
    <mergeCell ref="A2:F2"/>
    <mergeCell ref="A4:F4"/>
    <mergeCell ref="D6:F6"/>
    <mergeCell ref="A8:F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Schema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0</cp:revision>
  <dcterms:created xsi:type="dcterms:W3CDTF">2026-08-05T19:31:08Z</dcterms:created>
  <dcterms:modified xsi:type="dcterms:W3CDTF">2026-08-10T20:20:48Z</dcterms:modified>
  <dc:language>en-US</dc:language>
</cp:coreProperties>
</file>