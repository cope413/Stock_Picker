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lan/Library/CloudStorage/Dropbox/1 Personal/Financial/1 AI Optimization/CLAUDE TRADING STRATEGY/"/>
    </mc:Choice>
  </mc:AlternateContent>
  <xr:revisionPtr revIDLastSave="0" documentId="13_ncr:1_{CC067093-99EB-5D4B-B765-16576CD49920}" xr6:coauthVersionLast="47" xr6:coauthVersionMax="47" xr10:uidLastSave="{00000000-0000-0000-0000-000000000000}"/>
  <bookViews>
    <workbookView xWindow="0" yWindow="600" windowWidth="22300" windowHeight="12420" tabRatio="500" firstSheet="12" activeTab="17" xr2:uid="{00000000-000D-0000-FFFF-FFFF00000000}"/>
  </bookViews>
  <sheets>
    <sheet name="Instructions" sheetId="1" r:id="rId1"/>
    <sheet name="Action Items" sheetId="2" r:id="rId2"/>
    <sheet name="Current Positions" sheetId="3" r:id="rId3"/>
    <sheet name="Monitor &amp; Recheck Triggers" sheetId="4" r:id="rId4"/>
    <sheet name="Price History" sheetId="5" r:id="rId5"/>
    <sheet name="Dashboard" sheetId="6" r:id="rId6"/>
    <sheet name="Scoring" sheetId="7" r:id="rId7"/>
    <sheet name="Entry Checklist" sheetId="8" r:id="rId8"/>
    <sheet name="Market Data" sheetId="9" r:id="rId9"/>
    <sheet name="Returns (Calc)" sheetId="10" r:id="rId10"/>
    <sheet name="Correlation Matrix" sheetId="11" r:id="rId11"/>
    <sheet name="Portfolio Drawdown Log" sheetId="12" r:id="rId12"/>
    <sheet name="Watch List Tracker" sheetId="13" r:id="rId13"/>
    <sheet name="Implied-Return Calculator" sheetId="14" r:id="rId14"/>
    <sheet name="Holding Monitor" sheetId="15" r:id="rId15"/>
    <sheet name="Performance Tracking" sheetId="16" r:id="rId16"/>
    <sheet name="Journal" sheetId="17" r:id="rId17"/>
    <sheet name="Schema Reference"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P32" i="16" l="1"/>
  <c r="O32" i="16"/>
  <c r="Q32" i="16" s="1"/>
  <c r="P31" i="16"/>
  <c r="O31" i="16"/>
  <c r="Q31" i="16" s="1"/>
  <c r="P30" i="16"/>
  <c r="O30" i="16"/>
  <c r="Q30" i="16" s="1"/>
  <c r="P29" i="16"/>
  <c r="O29" i="16"/>
  <c r="Q29" i="16" s="1"/>
  <c r="P28" i="16"/>
  <c r="Q28" i="16" s="1"/>
  <c r="O28" i="16"/>
  <c r="P27" i="16"/>
  <c r="Q27" i="16" s="1"/>
  <c r="O27" i="16"/>
  <c r="P26" i="16"/>
  <c r="O26" i="16"/>
  <c r="Q26" i="16" s="1"/>
  <c r="P25" i="16"/>
  <c r="O25" i="16"/>
  <c r="Q25" i="16" s="1"/>
  <c r="Q24" i="16"/>
  <c r="P24" i="16"/>
  <c r="O24" i="16"/>
  <c r="P23" i="16"/>
  <c r="O23" i="16"/>
  <c r="Q23" i="16" s="1"/>
  <c r="P22" i="16"/>
  <c r="O22" i="16"/>
  <c r="Q22" i="16" s="1"/>
  <c r="P21" i="16"/>
  <c r="O21" i="16"/>
  <c r="Q21" i="16" s="1"/>
  <c r="P20" i="16"/>
  <c r="O20" i="16"/>
  <c r="Q20" i="16" s="1"/>
  <c r="P19" i="16"/>
  <c r="Q19" i="16" s="1"/>
  <c r="O19" i="16"/>
  <c r="P18" i="16"/>
  <c r="O18" i="16"/>
  <c r="Q18" i="16" s="1"/>
  <c r="P17" i="16"/>
  <c r="O17" i="16"/>
  <c r="Q17" i="16" s="1"/>
  <c r="Q16" i="16"/>
  <c r="P16" i="16"/>
  <c r="O16" i="16"/>
  <c r="P15" i="16"/>
  <c r="O15" i="16"/>
  <c r="Q15" i="16" s="1"/>
  <c r="P14" i="16"/>
  <c r="O14" i="16"/>
  <c r="Q14" i="16" s="1"/>
  <c r="P13" i="16"/>
  <c r="O13" i="16"/>
  <c r="Q13" i="16" s="1"/>
  <c r="P12" i="16"/>
  <c r="O12" i="16"/>
  <c r="Q12" i="16" s="1"/>
  <c r="P11" i="16"/>
  <c r="Q11" i="16" s="1"/>
  <c r="O11" i="16"/>
  <c r="P10" i="16"/>
  <c r="O10" i="16"/>
  <c r="Q10" i="16" s="1"/>
  <c r="P9" i="16"/>
  <c r="O9" i="16"/>
  <c r="Q9" i="16" s="1"/>
  <c r="Q8" i="16"/>
  <c r="P8" i="16"/>
  <c r="O8" i="16"/>
  <c r="P7" i="16"/>
  <c r="O7" i="16"/>
  <c r="Q7" i="16" s="1"/>
  <c r="P6" i="16"/>
  <c r="O6" i="16"/>
  <c r="Q6" i="16" s="1"/>
  <c r="P5" i="16"/>
  <c r="O5" i="16"/>
  <c r="Q5" i="16" s="1"/>
  <c r="P4" i="16"/>
  <c r="O4" i="16"/>
  <c r="Q4" i="16" s="1"/>
  <c r="P3" i="16"/>
  <c r="Q3" i="16" s="1"/>
  <c r="O3" i="16"/>
  <c r="Z23" i="15"/>
  <c r="S23" i="15"/>
  <c r="P23" i="15"/>
  <c r="M23" i="15"/>
  <c r="J23" i="15"/>
  <c r="G23" i="15"/>
  <c r="AB23" i="15" s="1"/>
  <c r="Z22" i="15"/>
  <c r="S22" i="15"/>
  <c r="AB22" i="15" s="1"/>
  <c r="P22" i="15"/>
  <c r="M22" i="15"/>
  <c r="J22" i="15"/>
  <c r="G22" i="15"/>
  <c r="Z21" i="15"/>
  <c r="S21" i="15"/>
  <c r="P21" i="15"/>
  <c r="AB21" i="15" s="1"/>
  <c r="M21" i="15"/>
  <c r="J21" i="15"/>
  <c r="G21" i="15"/>
  <c r="Z20" i="15"/>
  <c r="S20" i="15"/>
  <c r="P20" i="15"/>
  <c r="M20" i="15"/>
  <c r="AB20" i="15" s="1"/>
  <c r="J20" i="15"/>
  <c r="G20" i="15"/>
  <c r="Z19" i="15"/>
  <c r="S19" i="15"/>
  <c r="P19" i="15"/>
  <c r="M19" i="15"/>
  <c r="J19" i="15"/>
  <c r="AB19" i="15" s="1"/>
  <c r="G19" i="15"/>
  <c r="Z18" i="15"/>
  <c r="S18" i="15"/>
  <c r="P18" i="15"/>
  <c r="M18" i="15"/>
  <c r="J18" i="15"/>
  <c r="G18" i="15"/>
  <c r="AB18" i="15" s="1"/>
  <c r="Z17" i="15"/>
  <c r="S17" i="15"/>
  <c r="P17" i="15"/>
  <c r="M17" i="15"/>
  <c r="J17" i="15"/>
  <c r="G17" i="15"/>
  <c r="AB17" i="15" s="1"/>
  <c r="Z16" i="15"/>
  <c r="S16" i="15"/>
  <c r="P16" i="15"/>
  <c r="M16" i="15"/>
  <c r="J16" i="15"/>
  <c r="AB16" i="15" s="1"/>
  <c r="G16" i="15"/>
  <c r="Z15" i="15"/>
  <c r="S15" i="15"/>
  <c r="P15" i="15"/>
  <c r="M15" i="15"/>
  <c r="J15" i="15"/>
  <c r="G15" i="15"/>
  <c r="AB15" i="15" s="1"/>
  <c r="Z14" i="15"/>
  <c r="S14" i="15"/>
  <c r="P14" i="15"/>
  <c r="M14" i="15"/>
  <c r="J14" i="15"/>
  <c r="G14" i="15"/>
  <c r="AB14" i="15" s="1"/>
  <c r="AB13" i="15"/>
  <c r="Z13" i="15"/>
  <c r="S13" i="15"/>
  <c r="P13" i="15"/>
  <c r="M13" i="15"/>
  <c r="J13" i="15"/>
  <c r="G13" i="15"/>
  <c r="Z12" i="15"/>
  <c r="S12" i="15"/>
  <c r="P12" i="15"/>
  <c r="M12" i="15"/>
  <c r="J12" i="15"/>
  <c r="G12" i="15"/>
  <c r="AB12" i="15" s="1"/>
  <c r="Z11" i="15"/>
  <c r="S11" i="15"/>
  <c r="P11" i="15"/>
  <c r="M11" i="15"/>
  <c r="J11" i="15"/>
  <c r="G11" i="15"/>
  <c r="AB11" i="15" s="1"/>
  <c r="Z10" i="15"/>
  <c r="S10" i="15"/>
  <c r="P10" i="15"/>
  <c r="M10" i="15"/>
  <c r="J10" i="15"/>
  <c r="G10" i="15"/>
  <c r="AB10" i="15" s="1"/>
  <c r="Z9" i="15"/>
  <c r="S9" i="15"/>
  <c r="P9" i="15"/>
  <c r="M9" i="15"/>
  <c r="AB9" i="15" s="1"/>
  <c r="J9" i="15"/>
  <c r="G9" i="15"/>
  <c r="Z8" i="15"/>
  <c r="S8" i="15"/>
  <c r="P8" i="15"/>
  <c r="M8" i="15"/>
  <c r="J8" i="15"/>
  <c r="AB8" i="15" s="1"/>
  <c r="G8" i="15"/>
  <c r="Z7" i="15"/>
  <c r="S7" i="15"/>
  <c r="P7" i="15"/>
  <c r="M7" i="15"/>
  <c r="J7" i="15"/>
  <c r="G7" i="15"/>
  <c r="AB7" i="15" s="1"/>
  <c r="Z6" i="15"/>
  <c r="S6" i="15"/>
  <c r="P6" i="15"/>
  <c r="M6" i="15"/>
  <c r="J6" i="15"/>
  <c r="G6" i="15"/>
  <c r="AB6" i="15" s="1"/>
  <c r="AB5" i="15"/>
  <c r="Z5" i="15"/>
  <c r="S5" i="15"/>
  <c r="P5" i="15"/>
  <c r="M5" i="15"/>
  <c r="J5" i="15"/>
  <c r="G5" i="15"/>
  <c r="Z4" i="15"/>
  <c r="S4" i="15"/>
  <c r="P4" i="15"/>
  <c r="M4" i="15"/>
  <c r="J4" i="15"/>
  <c r="G4" i="15"/>
  <c r="AB4" i="15" s="1"/>
  <c r="U23" i="14"/>
  <c r="S23" i="14"/>
  <c r="Q23" i="14"/>
  <c r="L23" i="14"/>
  <c r="T23" i="14" s="1"/>
  <c r="G23" i="14"/>
  <c r="U22" i="14"/>
  <c r="Q22" i="14"/>
  <c r="L22" i="14"/>
  <c r="T22" i="14" s="1"/>
  <c r="G22" i="14"/>
  <c r="S22" i="14" s="1"/>
  <c r="U21" i="14"/>
  <c r="T21" i="14"/>
  <c r="S21" i="14"/>
  <c r="Q21" i="14"/>
  <c r="L21" i="14"/>
  <c r="G21" i="14"/>
  <c r="U20" i="14"/>
  <c r="S20" i="14"/>
  <c r="Q20" i="14"/>
  <c r="L20" i="14"/>
  <c r="T20" i="14" s="1"/>
  <c r="G20" i="14"/>
  <c r="U19" i="14"/>
  <c r="S19" i="14"/>
  <c r="Q19" i="14"/>
  <c r="L19" i="14"/>
  <c r="T19" i="14" s="1"/>
  <c r="G19" i="14"/>
  <c r="U18" i="14"/>
  <c r="Q18" i="14"/>
  <c r="L18" i="14"/>
  <c r="T18" i="14" s="1"/>
  <c r="G18" i="14"/>
  <c r="S18" i="14" s="1"/>
  <c r="U17" i="14"/>
  <c r="T17" i="14"/>
  <c r="S17" i="14"/>
  <c r="Q17" i="14"/>
  <c r="L17" i="14"/>
  <c r="G17" i="14"/>
  <c r="U16" i="14"/>
  <c r="S16" i="14"/>
  <c r="Q16" i="14"/>
  <c r="L16" i="14"/>
  <c r="T16" i="14" s="1"/>
  <c r="G16" i="14"/>
  <c r="U15" i="14"/>
  <c r="S15" i="14"/>
  <c r="Q15" i="14"/>
  <c r="L15" i="14"/>
  <c r="T15" i="14" s="1"/>
  <c r="G15" i="14"/>
  <c r="U14" i="14"/>
  <c r="Q14" i="14"/>
  <c r="L14" i="14"/>
  <c r="T14" i="14" s="1"/>
  <c r="G14" i="14"/>
  <c r="S14" i="14" s="1"/>
  <c r="U13" i="14"/>
  <c r="T13" i="14"/>
  <c r="S13" i="14"/>
  <c r="Q13" i="14"/>
  <c r="L13" i="14"/>
  <c r="G13" i="14"/>
  <c r="U12" i="14"/>
  <c r="S12" i="14"/>
  <c r="Q12" i="14"/>
  <c r="L12" i="14"/>
  <c r="T12" i="14" s="1"/>
  <c r="G12" i="14"/>
  <c r="U11" i="14"/>
  <c r="S11" i="14"/>
  <c r="Q11" i="14"/>
  <c r="L11" i="14"/>
  <c r="T11" i="14" s="1"/>
  <c r="G11" i="14"/>
  <c r="U10" i="14"/>
  <c r="Q10" i="14"/>
  <c r="L10" i="14"/>
  <c r="T10" i="14" s="1"/>
  <c r="G10" i="14"/>
  <c r="S10" i="14" s="1"/>
  <c r="U9" i="14"/>
  <c r="T9" i="14"/>
  <c r="S9" i="14"/>
  <c r="Q9" i="14"/>
  <c r="L9" i="14"/>
  <c r="G9" i="14"/>
  <c r="U8" i="14"/>
  <c r="Q8" i="14"/>
  <c r="L8" i="14"/>
  <c r="T8" i="14" s="1"/>
  <c r="G8" i="14"/>
  <c r="S8" i="14" s="1"/>
  <c r="U7" i="14"/>
  <c r="S7" i="14"/>
  <c r="Q7" i="14"/>
  <c r="L7" i="14"/>
  <c r="T7" i="14" s="1"/>
  <c r="G7" i="14"/>
  <c r="U6" i="14"/>
  <c r="Q6" i="14"/>
  <c r="L6" i="14"/>
  <c r="T6" i="14" s="1"/>
  <c r="G6" i="14"/>
  <c r="S6" i="14" s="1"/>
  <c r="U5" i="14"/>
  <c r="T5" i="14"/>
  <c r="S5" i="14"/>
  <c r="Q5" i="14"/>
  <c r="L5" i="14"/>
  <c r="G5" i="14"/>
  <c r="U4" i="14"/>
  <c r="Q4" i="14"/>
  <c r="L4" i="14"/>
  <c r="T4" i="14" s="1"/>
  <c r="G4" i="14"/>
  <c r="S4" i="14" s="1"/>
  <c r="K22" i="13"/>
  <c r="I22" i="13"/>
  <c r="J22" i="13" s="1"/>
  <c r="K21" i="13"/>
  <c r="J21" i="13"/>
  <c r="I21" i="13"/>
  <c r="K20" i="13"/>
  <c r="J20" i="13"/>
  <c r="I20" i="13"/>
  <c r="K19" i="13"/>
  <c r="J19" i="13"/>
  <c r="I19" i="13"/>
  <c r="K18" i="13"/>
  <c r="J18" i="13"/>
  <c r="I18" i="13"/>
  <c r="K17" i="13"/>
  <c r="I17" i="13"/>
  <c r="J17" i="13" s="1"/>
  <c r="K16" i="13"/>
  <c r="I16" i="13"/>
  <c r="J16" i="13" s="1"/>
  <c r="K15" i="13"/>
  <c r="I15" i="13"/>
  <c r="J15" i="13" s="1"/>
  <c r="K14" i="13"/>
  <c r="I14" i="13"/>
  <c r="J14" i="13" s="1"/>
  <c r="K13" i="13"/>
  <c r="J13" i="13"/>
  <c r="I13" i="13"/>
  <c r="K12" i="13"/>
  <c r="J12" i="13"/>
  <c r="I12" i="13"/>
  <c r="K11" i="13"/>
  <c r="J11" i="13"/>
  <c r="I11" i="13"/>
  <c r="K10" i="13"/>
  <c r="J10" i="13"/>
  <c r="I10" i="13"/>
  <c r="K9" i="13"/>
  <c r="I9" i="13"/>
  <c r="J9" i="13" s="1"/>
  <c r="K8" i="13"/>
  <c r="I8" i="13"/>
  <c r="J8" i="13" s="1"/>
  <c r="K7" i="13"/>
  <c r="I7" i="13"/>
  <c r="J7" i="13" s="1"/>
  <c r="K6" i="13"/>
  <c r="I6" i="13"/>
  <c r="J6" i="13" s="1"/>
  <c r="K5" i="13"/>
  <c r="J5" i="13"/>
  <c r="I5" i="13"/>
  <c r="K4" i="13"/>
  <c r="J4" i="13"/>
  <c r="I4" i="13"/>
  <c r="K3" i="13"/>
  <c r="J3" i="13"/>
  <c r="I3" i="13"/>
  <c r="D42" i="12"/>
  <c r="E42" i="12" s="1"/>
  <c r="C42" i="12"/>
  <c r="F41" i="12"/>
  <c r="D41" i="12"/>
  <c r="E41" i="12" s="1"/>
  <c r="G41" i="12" s="1"/>
  <c r="C41" i="12"/>
  <c r="C40" i="12"/>
  <c r="D40" i="12" s="1"/>
  <c r="E40" i="12" s="1"/>
  <c r="C39" i="12"/>
  <c r="D39" i="12" s="1"/>
  <c r="E39" i="12" s="1"/>
  <c r="E38" i="12"/>
  <c r="C38" i="12"/>
  <c r="D38" i="12" s="1"/>
  <c r="C37" i="12"/>
  <c r="D37" i="12" s="1"/>
  <c r="E37" i="12" s="1"/>
  <c r="G36" i="12"/>
  <c r="E36" i="12"/>
  <c r="F36" i="12" s="1"/>
  <c r="D36" i="12"/>
  <c r="C36" i="12"/>
  <c r="D35" i="12"/>
  <c r="E35" i="12" s="1"/>
  <c r="C35" i="12"/>
  <c r="D34" i="12"/>
  <c r="E34" i="12" s="1"/>
  <c r="C34" i="12"/>
  <c r="F33" i="12"/>
  <c r="D33" i="12"/>
  <c r="E33" i="12" s="1"/>
  <c r="G33" i="12" s="1"/>
  <c r="C33" i="12"/>
  <c r="C32" i="12"/>
  <c r="D32" i="12" s="1"/>
  <c r="E32" i="12" s="1"/>
  <c r="C31" i="12"/>
  <c r="D31" i="12" s="1"/>
  <c r="E31" i="12" s="1"/>
  <c r="E30" i="12"/>
  <c r="C30" i="12"/>
  <c r="D30" i="12" s="1"/>
  <c r="C29" i="12"/>
  <c r="D29" i="12" s="1"/>
  <c r="E29" i="12" s="1"/>
  <c r="G28" i="12"/>
  <c r="E28" i="12"/>
  <c r="F28" i="12" s="1"/>
  <c r="D28" i="12"/>
  <c r="C28" i="12"/>
  <c r="D27" i="12"/>
  <c r="E27" i="12" s="1"/>
  <c r="C27" i="12"/>
  <c r="D26" i="12"/>
  <c r="E26" i="12" s="1"/>
  <c r="C26" i="12"/>
  <c r="F25" i="12"/>
  <c r="D25" i="12"/>
  <c r="E25" i="12" s="1"/>
  <c r="G25" i="12" s="1"/>
  <c r="C25" i="12"/>
  <c r="C24" i="12"/>
  <c r="D24" i="12" s="1"/>
  <c r="E24" i="12" s="1"/>
  <c r="C23" i="12"/>
  <c r="D23" i="12" s="1"/>
  <c r="E23" i="12" s="1"/>
  <c r="E22" i="12"/>
  <c r="C22" i="12"/>
  <c r="D22" i="12" s="1"/>
  <c r="C21" i="12"/>
  <c r="D21" i="12" s="1"/>
  <c r="E21" i="12" s="1"/>
  <c r="G20" i="12"/>
  <c r="E20" i="12"/>
  <c r="F20" i="12" s="1"/>
  <c r="D20" i="12"/>
  <c r="C20" i="12"/>
  <c r="D19" i="12"/>
  <c r="E19" i="12" s="1"/>
  <c r="C19" i="12"/>
  <c r="D18" i="12"/>
  <c r="E18" i="12" s="1"/>
  <c r="C18" i="12"/>
  <c r="F17" i="12"/>
  <c r="D17" i="12"/>
  <c r="E17" i="12" s="1"/>
  <c r="G17" i="12" s="1"/>
  <c r="C17" i="12"/>
  <c r="C16" i="12"/>
  <c r="D16" i="12" s="1"/>
  <c r="E16" i="12" s="1"/>
  <c r="C15" i="12"/>
  <c r="D15" i="12" s="1"/>
  <c r="E15" i="12" s="1"/>
  <c r="E14" i="12"/>
  <c r="C14" i="12"/>
  <c r="D14" i="12" s="1"/>
  <c r="C13" i="12"/>
  <c r="D13" i="12" s="1"/>
  <c r="E13" i="12" s="1"/>
  <c r="G12" i="12"/>
  <c r="E12" i="12"/>
  <c r="F12" i="12" s="1"/>
  <c r="D12" i="12"/>
  <c r="C12" i="12"/>
  <c r="D11" i="12"/>
  <c r="E11" i="12" s="1"/>
  <c r="C11" i="12"/>
  <c r="D10" i="12"/>
  <c r="E10" i="12" s="1"/>
  <c r="C10" i="12"/>
  <c r="F9" i="12"/>
  <c r="D9" i="12"/>
  <c r="E9" i="12" s="1"/>
  <c r="G9" i="12" s="1"/>
  <c r="C9" i="12"/>
  <c r="C8" i="12"/>
  <c r="D8" i="12" s="1"/>
  <c r="E8" i="12" s="1"/>
  <c r="C7" i="12"/>
  <c r="D7" i="12" s="1"/>
  <c r="E7" i="12" s="1"/>
  <c r="E6" i="12"/>
  <c r="C6" i="12"/>
  <c r="D6" i="12" s="1"/>
  <c r="C5" i="12"/>
  <c r="D5" i="12" s="1"/>
  <c r="E5" i="12" s="1"/>
  <c r="G4" i="12"/>
  <c r="E4" i="12"/>
  <c r="F4" i="12" s="1"/>
  <c r="D4" i="12"/>
  <c r="C4" i="12"/>
  <c r="D3" i="12"/>
  <c r="E3" i="12" s="1"/>
  <c r="C3" i="12"/>
  <c r="A8" i="11"/>
  <c r="A7" i="11"/>
  <c r="A4" i="11"/>
  <c r="A3" i="11"/>
  <c r="O2" i="11"/>
  <c r="K2" i="11"/>
  <c r="G2" i="11"/>
  <c r="F2" i="11"/>
  <c r="C2" i="11"/>
  <c r="B2" i="11"/>
  <c r="Q161" i="10"/>
  <c r="P161" i="10"/>
  <c r="O161" i="10"/>
  <c r="N161" i="10"/>
  <c r="M161" i="10"/>
  <c r="L161" i="10"/>
  <c r="K161" i="10"/>
  <c r="J161" i="10"/>
  <c r="I161" i="10"/>
  <c r="H161" i="10"/>
  <c r="G161" i="10"/>
  <c r="F161" i="10"/>
  <c r="E161" i="10"/>
  <c r="D161" i="10"/>
  <c r="C161" i="10"/>
  <c r="B161" i="10"/>
  <c r="A161" i="10"/>
  <c r="Q160" i="10"/>
  <c r="P160" i="10"/>
  <c r="O160" i="10"/>
  <c r="N160" i="10"/>
  <c r="M160" i="10"/>
  <c r="L160" i="10"/>
  <c r="K160" i="10"/>
  <c r="J160" i="10"/>
  <c r="I160" i="10"/>
  <c r="H160" i="10"/>
  <c r="G160" i="10"/>
  <c r="F160" i="10"/>
  <c r="E160" i="10"/>
  <c r="D160" i="10"/>
  <c r="C160" i="10"/>
  <c r="B160" i="10"/>
  <c r="A160" i="10"/>
  <c r="Q159" i="10"/>
  <c r="P159" i="10"/>
  <c r="O159" i="10"/>
  <c r="N159" i="10"/>
  <c r="M159" i="10"/>
  <c r="L159" i="10"/>
  <c r="K159" i="10"/>
  <c r="J159" i="10"/>
  <c r="I159" i="10"/>
  <c r="H159" i="10"/>
  <c r="G159" i="10"/>
  <c r="F159" i="10"/>
  <c r="E159" i="10"/>
  <c r="D159" i="10"/>
  <c r="C159" i="10"/>
  <c r="B159" i="10"/>
  <c r="A159" i="10"/>
  <c r="Q158" i="10"/>
  <c r="P158" i="10"/>
  <c r="O158" i="10"/>
  <c r="N158" i="10"/>
  <c r="M158" i="10"/>
  <c r="L158" i="10"/>
  <c r="K158" i="10"/>
  <c r="J158" i="10"/>
  <c r="I158" i="10"/>
  <c r="H158" i="10"/>
  <c r="G158" i="10"/>
  <c r="F158" i="10"/>
  <c r="E158" i="10"/>
  <c r="D158" i="10"/>
  <c r="C158" i="10"/>
  <c r="B158" i="10"/>
  <c r="A158" i="10"/>
  <c r="Q157" i="10"/>
  <c r="P157" i="10"/>
  <c r="O157" i="10"/>
  <c r="N157" i="10"/>
  <c r="M157" i="10"/>
  <c r="L157" i="10"/>
  <c r="K157" i="10"/>
  <c r="J157" i="10"/>
  <c r="I157" i="10"/>
  <c r="H157" i="10"/>
  <c r="G157" i="10"/>
  <c r="F157" i="10"/>
  <c r="E157" i="10"/>
  <c r="D157" i="10"/>
  <c r="C157" i="10"/>
  <c r="B157" i="10"/>
  <c r="A157" i="10"/>
  <c r="Q156" i="10"/>
  <c r="P156" i="10"/>
  <c r="O156" i="10"/>
  <c r="N156" i="10"/>
  <c r="M156" i="10"/>
  <c r="L156" i="10"/>
  <c r="K156" i="10"/>
  <c r="J156" i="10"/>
  <c r="I156" i="10"/>
  <c r="H156" i="10"/>
  <c r="G156" i="10"/>
  <c r="F156" i="10"/>
  <c r="E156" i="10"/>
  <c r="D156" i="10"/>
  <c r="C156" i="10"/>
  <c r="B156" i="10"/>
  <c r="A156" i="10"/>
  <c r="Q155" i="10"/>
  <c r="P155" i="10"/>
  <c r="O155" i="10"/>
  <c r="N155" i="10"/>
  <c r="M155" i="10"/>
  <c r="L155" i="10"/>
  <c r="K155" i="10"/>
  <c r="J155" i="10"/>
  <c r="I155" i="10"/>
  <c r="H155" i="10"/>
  <c r="G155" i="10"/>
  <c r="F155" i="10"/>
  <c r="E155" i="10"/>
  <c r="D155" i="10"/>
  <c r="C155" i="10"/>
  <c r="B155" i="10"/>
  <c r="A155" i="10"/>
  <c r="Q154" i="10"/>
  <c r="P154" i="10"/>
  <c r="O154" i="10"/>
  <c r="N154" i="10"/>
  <c r="M154" i="10"/>
  <c r="L154" i="10"/>
  <c r="K154" i="10"/>
  <c r="J154" i="10"/>
  <c r="I154" i="10"/>
  <c r="H154" i="10"/>
  <c r="G154" i="10"/>
  <c r="F154" i="10"/>
  <c r="E154" i="10"/>
  <c r="D154" i="10"/>
  <c r="C154" i="10"/>
  <c r="B154" i="10"/>
  <c r="A154" i="10"/>
  <c r="Q153" i="10"/>
  <c r="P153" i="10"/>
  <c r="O153" i="10"/>
  <c r="N153" i="10"/>
  <c r="M153" i="10"/>
  <c r="L153" i="10"/>
  <c r="K153" i="10"/>
  <c r="J153" i="10"/>
  <c r="I153" i="10"/>
  <c r="H153" i="10"/>
  <c r="G153" i="10"/>
  <c r="F153" i="10"/>
  <c r="E153" i="10"/>
  <c r="D153" i="10"/>
  <c r="C153" i="10"/>
  <c r="B153" i="10"/>
  <c r="A153" i="10"/>
  <c r="Q152" i="10"/>
  <c r="P152" i="10"/>
  <c r="O152" i="10"/>
  <c r="N152" i="10"/>
  <c r="M152" i="10"/>
  <c r="L152" i="10"/>
  <c r="K152" i="10"/>
  <c r="J152" i="10"/>
  <c r="I152" i="10"/>
  <c r="H152" i="10"/>
  <c r="G152" i="10"/>
  <c r="F152" i="10"/>
  <c r="E152" i="10"/>
  <c r="D152" i="10"/>
  <c r="C152" i="10"/>
  <c r="B152" i="10"/>
  <c r="A152" i="10"/>
  <c r="Q151" i="10"/>
  <c r="P151" i="10"/>
  <c r="O151" i="10"/>
  <c r="N151" i="10"/>
  <c r="M151" i="10"/>
  <c r="L151" i="10"/>
  <c r="K151" i="10"/>
  <c r="J151" i="10"/>
  <c r="I151" i="10"/>
  <c r="H151" i="10"/>
  <c r="G151" i="10"/>
  <c r="F151" i="10"/>
  <c r="E151" i="10"/>
  <c r="D151" i="10"/>
  <c r="C151" i="10"/>
  <c r="B151" i="10"/>
  <c r="A151" i="10"/>
  <c r="Q150" i="10"/>
  <c r="P150" i="10"/>
  <c r="O150" i="10"/>
  <c r="N150" i="10"/>
  <c r="M150" i="10"/>
  <c r="L150" i="10"/>
  <c r="K150" i="10"/>
  <c r="J150" i="10"/>
  <c r="I150" i="10"/>
  <c r="H150" i="10"/>
  <c r="G150" i="10"/>
  <c r="F150" i="10"/>
  <c r="E150" i="10"/>
  <c r="D150" i="10"/>
  <c r="C150" i="10"/>
  <c r="B150" i="10"/>
  <c r="A150" i="10"/>
  <c r="Q149" i="10"/>
  <c r="P149" i="10"/>
  <c r="O149" i="10"/>
  <c r="N149" i="10"/>
  <c r="M149" i="10"/>
  <c r="L149" i="10"/>
  <c r="K149" i="10"/>
  <c r="J149" i="10"/>
  <c r="I149" i="10"/>
  <c r="H149" i="10"/>
  <c r="G149" i="10"/>
  <c r="F149" i="10"/>
  <c r="E149" i="10"/>
  <c r="D149" i="10"/>
  <c r="C149" i="10"/>
  <c r="B149" i="10"/>
  <c r="A149" i="10"/>
  <c r="Q148" i="10"/>
  <c r="P148" i="10"/>
  <c r="O148" i="10"/>
  <c r="N148" i="10"/>
  <c r="M148" i="10"/>
  <c r="L148" i="10"/>
  <c r="K148" i="10"/>
  <c r="J148" i="10"/>
  <c r="I148" i="10"/>
  <c r="H148" i="10"/>
  <c r="G148" i="10"/>
  <c r="F148" i="10"/>
  <c r="E148" i="10"/>
  <c r="D148" i="10"/>
  <c r="C148" i="10"/>
  <c r="B148" i="10"/>
  <c r="A148" i="10"/>
  <c r="Q147" i="10"/>
  <c r="P147" i="10"/>
  <c r="O147" i="10"/>
  <c r="N147" i="10"/>
  <c r="M147" i="10"/>
  <c r="L147" i="10"/>
  <c r="K147" i="10"/>
  <c r="J147" i="10"/>
  <c r="I147" i="10"/>
  <c r="H147" i="10"/>
  <c r="G147" i="10"/>
  <c r="F147" i="10"/>
  <c r="E147" i="10"/>
  <c r="D147" i="10"/>
  <c r="C147" i="10"/>
  <c r="B147" i="10"/>
  <c r="A147" i="10"/>
  <c r="Q146" i="10"/>
  <c r="P146" i="10"/>
  <c r="O146" i="10"/>
  <c r="N146" i="10"/>
  <c r="M146" i="10"/>
  <c r="L146" i="10"/>
  <c r="K146" i="10"/>
  <c r="J146" i="10"/>
  <c r="I146" i="10"/>
  <c r="H146" i="10"/>
  <c r="G146" i="10"/>
  <c r="F146" i="10"/>
  <c r="E146" i="10"/>
  <c r="D146" i="10"/>
  <c r="C146" i="10"/>
  <c r="B146" i="10"/>
  <c r="A146" i="10"/>
  <c r="Q145" i="10"/>
  <c r="P145" i="10"/>
  <c r="O145" i="10"/>
  <c r="N145" i="10"/>
  <c r="M145" i="10"/>
  <c r="L145" i="10"/>
  <c r="K145" i="10"/>
  <c r="J145" i="10"/>
  <c r="I145" i="10"/>
  <c r="H145" i="10"/>
  <c r="G145" i="10"/>
  <c r="F145" i="10"/>
  <c r="E145" i="10"/>
  <c r="D145" i="10"/>
  <c r="C145" i="10"/>
  <c r="B145" i="10"/>
  <c r="A145" i="10"/>
  <c r="Q144" i="10"/>
  <c r="P144" i="10"/>
  <c r="O144" i="10"/>
  <c r="N144" i="10"/>
  <c r="M144" i="10"/>
  <c r="L144" i="10"/>
  <c r="K144" i="10"/>
  <c r="J144" i="10"/>
  <c r="I144" i="10"/>
  <c r="H144" i="10"/>
  <c r="G144" i="10"/>
  <c r="F144" i="10"/>
  <c r="E144" i="10"/>
  <c r="D144" i="10"/>
  <c r="C144" i="10"/>
  <c r="B144" i="10"/>
  <c r="A144" i="10"/>
  <c r="Q143" i="10"/>
  <c r="P143" i="10"/>
  <c r="O143" i="10"/>
  <c r="N143" i="10"/>
  <c r="M143" i="10"/>
  <c r="L143" i="10"/>
  <c r="K143" i="10"/>
  <c r="J143" i="10"/>
  <c r="I143" i="10"/>
  <c r="H143" i="10"/>
  <c r="G143" i="10"/>
  <c r="F143" i="10"/>
  <c r="E143" i="10"/>
  <c r="D143" i="10"/>
  <c r="C143" i="10"/>
  <c r="B143" i="10"/>
  <c r="A143" i="10"/>
  <c r="Q142" i="10"/>
  <c r="P142" i="10"/>
  <c r="O142" i="10"/>
  <c r="N142" i="10"/>
  <c r="M142" i="10"/>
  <c r="L142" i="10"/>
  <c r="K142" i="10"/>
  <c r="J142" i="10"/>
  <c r="I142" i="10"/>
  <c r="H142" i="10"/>
  <c r="G142" i="10"/>
  <c r="F142" i="10"/>
  <c r="E142" i="10"/>
  <c r="D142" i="10"/>
  <c r="C142" i="10"/>
  <c r="B142" i="10"/>
  <c r="A142" i="10"/>
  <c r="Q141" i="10"/>
  <c r="P141" i="10"/>
  <c r="O141" i="10"/>
  <c r="N141" i="10"/>
  <c r="M141" i="10"/>
  <c r="L141" i="10"/>
  <c r="K141" i="10"/>
  <c r="J141" i="10"/>
  <c r="I141" i="10"/>
  <c r="H141" i="10"/>
  <c r="G141" i="10"/>
  <c r="F141" i="10"/>
  <c r="E141" i="10"/>
  <c r="D141" i="10"/>
  <c r="C141" i="10"/>
  <c r="B141" i="10"/>
  <c r="A141" i="10"/>
  <c r="Q140" i="10"/>
  <c r="P140" i="10"/>
  <c r="O140" i="10"/>
  <c r="N140" i="10"/>
  <c r="M140" i="10"/>
  <c r="L140" i="10"/>
  <c r="K140" i="10"/>
  <c r="J140" i="10"/>
  <c r="I140" i="10"/>
  <c r="H140" i="10"/>
  <c r="G140" i="10"/>
  <c r="F140" i="10"/>
  <c r="E140" i="10"/>
  <c r="D140" i="10"/>
  <c r="C140" i="10"/>
  <c r="B140" i="10"/>
  <c r="A140" i="10"/>
  <c r="Q139" i="10"/>
  <c r="P139" i="10"/>
  <c r="O139" i="10"/>
  <c r="N139" i="10"/>
  <c r="M139" i="10"/>
  <c r="L139" i="10"/>
  <c r="K139" i="10"/>
  <c r="J139" i="10"/>
  <c r="I139" i="10"/>
  <c r="H139" i="10"/>
  <c r="G139" i="10"/>
  <c r="F139" i="10"/>
  <c r="E139" i="10"/>
  <c r="D139" i="10"/>
  <c r="C139" i="10"/>
  <c r="B139" i="10"/>
  <c r="A139" i="10"/>
  <c r="Q138" i="10"/>
  <c r="P138" i="10"/>
  <c r="O138" i="10"/>
  <c r="N138" i="10"/>
  <c r="M138" i="10"/>
  <c r="L138" i="10"/>
  <c r="K138" i="10"/>
  <c r="J138" i="10"/>
  <c r="I138" i="10"/>
  <c r="H138" i="10"/>
  <c r="G138" i="10"/>
  <c r="F138" i="10"/>
  <c r="E138" i="10"/>
  <c r="D138" i="10"/>
  <c r="C138" i="10"/>
  <c r="B138" i="10"/>
  <c r="A138" i="10"/>
  <c r="Q137" i="10"/>
  <c r="P137" i="10"/>
  <c r="O137" i="10"/>
  <c r="N137" i="10"/>
  <c r="M137" i="10"/>
  <c r="L137" i="10"/>
  <c r="K137" i="10"/>
  <c r="J137" i="10"/>
  <c r="I137" i="10"/>
  <c r="H137" i="10"/>
  <c r="G137" i="10"/>
  <c r="F137" i="10"/>
  <c r="E137" i="10"/>
  <c r="D137" i="10"/>
  <c r="C137" i="10"/>
  <c r="B137" i="10"/>
  <c r="A137" i="10"/>
  <c r="Q136" i="10"/>
  <c r="P136" i="10"/>
  <c r="O136" i="10"/>
  <c r="N136" i="10"/>
  <c r="M136" i="10"/>
  <c r="L136" i="10"/>
  <c r="K136" i="10"/>
  <c r="J136" i="10"/>
  <c r="I136" i="10"/>
  <c r="H136" i="10"/>
  <c r="G136" i="10"/>
  <c r="F136" i="10"/>
  <c r="E136" i="10"/>
  <c r="D136" i="10"/>
  <c r="C136" i="10"/>
  <c r="B136" i="10"/>
  <c r="A136" i="10"/>
  <c r="Q135" i="10"/>
  <c r="P135" i="10"/>
  <c r="O135" i="10"/>
  <c r="N135" i="10"/>
  <c r="M135" i="10"/>
  <c r="L135" i="10"/>
  <c r="K135" i="10"/>
  <c r="J135" i="10"/>
  <c r="I135" i="10"/>
  <c r="H135" i="10"/>
  <c r="G135" i="10"/>
  <c r="F135" i="10"/>
  <c r="E135" i="10"/>
  <c r="D135" i="10"/>
  <c r="C135" i="10"/>
  <c r="B135" i="10"/>
  <c r="A135" i="10"/>
  <c r="Q134" i="10"/>
  <c r="P134" i="10"/>
  <c r="O134" i="10"/>
  <c r="N134" i="10"/>
  <c r="M134" i="10"/>
  <c r="L134" i="10"/>
  <c r="K134" i="10"/>
  <c r="J134" i="10"/>
  <c r="I134" i="10"/>
  <c r="H134" i="10"/>
  <c r="G134" i="10"/>
  <c r="F134" i="10"/>
  <c r="E134" i="10"/>
  <c r="D134" i="10"/>
  <c r="C134" i="10"/>
  <c r="B134" i="10"/>
  <c r="A134" i="10"/>
  <c r="Q133" i="10"/>
  <c r="P133" i="10"/>
  <c r="O133" i="10"/>
  <c r="N133" i="10"/>
  <c r="M133" i="10"/>
  <c r="L133" i="10"/>
  <c r="K133" i="10"/>
  <c r="J133" i="10"/>
  <c r="I133" i="10"/>
  <c r="H133" i="10"/>
  <c r="G133" i="10"/>
  <c r="F133" i="10"/>
  <c r="E133" i="10"/>
  <c r="D133" i="10"/>
  <c r="C133" i="10"/>
  <c r="B133" i="10"/>
  <c r="A133" i="10"/>
  <c r="Q132" i="10"/>
  <c r="P132" i="10"/>
  <c r="O132" i="10"/>
  <c r="N132" i="10"/>
  <c r="M132" i="10"/>
  <c r="L132" i="10"/>
  <c r="K132" i="10"/>
  <c r="J132" i="10"/>
  <c r="I132" i="10"/>
  <c r="H132" i="10"/>
  <c r="G132" i="10"/>
  <c r="F132" i="10"/>
  <c r="E132" i="10"/>
  <c r="D132" i="10"/>
  <c r="C132" i="10"/>
  <c r="B132" i="10"/>
  <c r="A132" i="10"/>
  <c r="Q131" i="10"/>
  <c r="P131" i="10"/>
  <c r="O131" i="10"/>
  <c r="N131" i="10"/>
  <c r="M131" i="10"/>
  <c r="L131" i="10"/>
  <c r="K131" i="10"/>
  <c r="J131" i="10"/>
  <c r="I131" i="10"/>
  <c r="H131" i="10"/>
  <c r="G131" i="10"/>
  <c r="F131" i="10"/>
  <c r="E131" i="10"/>
  <c r="D131" i="10"/>
  <c r="C131" i="10"/>
  <c r="B131" i="10"/>
  <c r="A131" i="10"/>
  <c r="Q130" i="10"/>
  <c r="P130" i="10"/>
  <c r="O130" i="10"/>
  <c r="N130" i="10"/>
  <c r="M130" i="10"/>
  <c r="L130" i="10"/>
  <c r="K130" i="10"/>
  <c r="J130" i="10"/>
  <c r="I130" i="10"/>
  <c r="H130" i="10"/>
  <c r="G130" i="10"/>
  <c r="F130" i="10"/>
  <c r="E130" i="10"/>
  <c r="D130" i="10"/>
  <c r="C130" i="10"/>
  <c r="B130" i="10"/>
  <c r="A130" i="10"/>
  <c r="Q129" i="10"/>
  <c r="P129" i="10"/>
  <c r="O129" i="10"/>
  <c r="N129" i="10"/>
  <c r="M129" i="10"/>
  <c r="L129" i="10"/>
  <c r="K129" i="10"/>
  <c r="J129" i="10"/>
  <c r="I129" i="10"/>
  <c r="H129" i="10"/>
  <c r="G129" i="10"/>
  <c r="F129" i="10"/>
  <c r="E129" i="10"/>
  <c r="D129" i="10"/>
  <c r="C129" i="10"/>
  <c r="B129" i="10"/>
  <c r="A129" i="10"/>
  <c r="Q128" i="10"/>
  <c r="P128" i="10"/>
  <c r="O128" i="10"/>
  <c r="N128" i="10"/>
  <c r="M128" i="10"/>
  <c r="L128" i="10"/>
  <c r="K128" i="10"/>
  <c r="J128" i="10"/>
  <c r="I128" i="10"/>
  <c r="H128" i="10"/>
  <c r="G128" i="10"/>
  <c r="F128" i="10"/>
  <c r="E128" i="10"/>
  <c r="D128" i="10"/>
  <c r="C128" i="10"/>
  <c r="B128" i="10"/>
  <c r="A128" i="10"/>
  <c r="Q127" i="10"/>
  <c r="P127" i="10"/>
  <c r="O127" i="10"/>
  <c r="N127" i="10"/>
  <c r="M127" i="10"/>
  <c r="L127" i="10"/>
  <c r="K127" i="10"/>
  <c r="J127" i="10"/>
  <c r="I127" i="10"/>
  <c r="H127" i="10"/>
  <c r="G127" i="10"/>
  <c r="F127" i="10"/>
  <c r="E127" i="10"/>
  <c r="D127" i="10"/>
  <c r="C127" i="10"/>
  <c r="B127" i="10"/>
  <c r="A127" i="10"/>
  <c r="Q126" i="10"/>
  <c r="P126" i="10"/>
  <c r="O126" i="10"/>
  <c r="N126" i="10"/>
  <c r="M126" i="10"/>
  <c r="L126" i="10"/>
  <c r="K126" i="10"/>
  <c r="J126" i="10"/>
  <c r="I126" i="10"/>
  <c r="H126" i="10"/>
  <c r="G126" i="10"/>
  <c r="F126" i="10"/>
  <c r="E126" i="10"/>
  <c r="D126" i="10"/>
  <c r="C126" i="10"/>
  <c r="B126" i="10"/>
  <c r="A126" i="10"/>
  <c r="Q125" i="10"/>
  <c r="P125" i="10"/>
  <c r="O125" i="10"/>
  <c r="N125" i="10"/>
  <c r="M125" i="10"/>
  <c r="L125" i="10"/>
  <c r="K125" i="10"/>
  <c r="J125" i="10"/>
  <c r="I125" i="10"/>
  <c r="H125" i="10"/>
  <c r="G125" i="10"/>
  <c r="F125" i="10"/>
  <c r="E125" i="10"/>
  <c r="D125" i="10"/>
  <c r="C125" i="10"/>
  <c r="B125" i="10"/>
  <c r="A125" i="10"/>
  <c r="Q124" i="10"/>
  <c r="P124" i="10"/>
  <c r="O124" i="10"/>
  <c r="N124" i="10"/>
  <c r="M124" i="10"/>
  <c r="L124" i="10"/>
  <c r="K124" i="10"/>
  <c r="J124" i="10"/>
  <c r="I124" i="10"/>
  <c r="H124" i="10"/>
  <c r="G124" i="10"/>
  <c r="F124" i="10"/>
  <c r="E124" i="10"/>
  <c r="D124" i="10"/>
  <c r="C124" i="10"/>
  <c r="B124" i="10"/>
  <c r="A124" i="10"/>
  <c r="Q123" i="10"/>
  <c r="P123" i="10"/>
  <c r="O123" i="10"/>
  <c r="N123" i="10"/>
  <c r="M123" i="10"/>
  <c r="L123" i="10"/>
  <c r="K123" i="10"/>
  <c r="J123" i="10"/>
  <c r="I123" i="10"/>
  <c r="H123" i="10"/>
  <c r="G123" i="10"/>
  <c r="F123" i="10"/>
  <c r="E123" i="10"/>
  <c r="D123" i="10"/>
  <c r="C123" i="10"/>
  <c r="B123" i="10"/>
  <c r="A123" i="10"/>
  <c r="Q122" i="10"/>
  <c r="P122" i="10"/>
  <c r="O122" i="10"/>
  <c r="N122" i="10"/>
  <c r="M122" i="10"/>
  <c r="L122" i="10"/>
  <c r="K122" i="10"/>
  <c r="J122" i="10"/>
  <c r="I122" i="10"/>
  <c r="H122" i="10"/>
  <c r="G122" i="10"/>
  <c r="F122" i="10"/>
  <c r="E122" i="10"/>
  <c r="D122" i="10"/>
  <c r="C122" i="10"/>
  <c r="B122" i="10"/>
  <c r="A122" i="10"/>
  <c r="Q121" i="10"/>
  <c r="P121" i="10"/>
  <c r="O121" i="10"/>
  <c r="N121" i="10"/>
  <c r="M121" i="10"/>
  <c r="L121" i="10"/>
  <c r="K121" i="10"/>
  <c r="J121" i="10"/>
  <c r="I121" i="10"/>
  <c r="H121" i="10"/>
  <c r="G121" i="10"/>
  <c r="F121" i="10"/>
  <c r="E121" i="10"/>
  <c r="D121" i="10"/>
  <c r="C121" i="10"/>
  <c r="B121" i="10"/>
  <c r="A121" i="10"/>
  <c r="Q120" i="10"/>
  <c r="P120" i="10"/>
  <c r="O120" i="10"/>
  <c r="N120" i="10"/>
  <c r="M120" i="10"/>
  <c r="L120" i="10"/>
  <c r="K120" i="10"/>
  <c r="J120" i="10"/>
  <c r="I120" i="10"/>
  <c r="H120" i="10"/>
  <c r="G120" i="10"/>
  <c r="F120" i="10"/>
  <c r="E120" i="10"/>
  <c r="D120" i="10"/>
  <c r="C120" i="10"/>
  <c r="B120" i="10"/>
  <c r="A120" i="10"/>
  <c r="Q119" i="10"/>
  <c r="P119" i="10"/>
  <c r="O119" i="10"/>
  <c r="N119" i="10"/>
  <c r="M119" i="10"/>
  <c r="L119" i="10"/>
  <c r="K119" i="10"/>
  <c r="J119" i="10"/>
  <c r="I119" i="10"/>
  <c r="H119" i="10"/>
  <c r="G119" i="10"/>
  <c r="F119" i="10"/>
  <c r="E119" i="10"/>
  <c r="D119" i="10"/>
  <c r="C119" i="10"/>
  <c r="B119" i="10"/>
  <c r="A119" i="10"/>
  <c r="Q118" i="10"/>
  <c r="P118" i="10"/>
  <c r="O118" i="10"/>
  <c r="N118" i="10"/>
  <c r="M118" i="10"/>
  <c r="L118" i="10"/>
  <c r="K118" i="10"/>
  <c r="J118" i="10"/>
  <c r="I118" i="10"/>
  <c r="H118" i="10"/>
  <c r="G118" i="10"/>
  <c r="F118" i="10"/>
  <c r="E118" i="10"/>
  <c r="D118" i="10"/>
  <c r="C118" i="10"/>
  <c r="B118" i="10"/>
  <c r="A118" i="10"/>
  <c r="Q117" i="10"/>
  <c r="P117" i="10"/>
  <c r="O117" i="10"/>
  <c r="N117" i="10"/>
  <c r="M117" i="10"/>
  <c r="L117" i="10"/>
  <c r="K117" i="10"/>
  <c r="J117" i="10"/>
  <c r="I117" i="10"/>
  <c r="H117" i="10"/>
  <c r="G117" i="10"/>
  <c r="F117" i="10"/>
  <c r="E117" i="10"/>
  <c r="D117" i="10"/>
  <c r="C117" i="10"/>
  <c r="B117" i="10"/>
  <c r="A117" i="10"/>
  <c r="Q116" i="10"/>
  <c r="P116" i="10"/>
  <c r="O116" i="10"/>
  <c r="N116" i="10"/>
  <c r="M116" i="10"/>
  <c r="L116" i="10"/>
  <c r="K116" i="10"/>
  <c r="J116" i="10"/>
  <c r="I116" i="10"/>
  <c r="H116" i="10"/>
  <c r="G116" i="10"/>
  <c r="F116" i="10"/>
  <c r="E116" i="10"/>
  <c r="D116" i="10"/>
  <c r="C116" i="10"/>
  <c r="B116" i="10"/>
  <c r="A116" i="10"/>
  <c r="Q115" i="10"/>
  <c r="P115" i="10"/>
  <c r="O115" i="10"/>
  <c r="N115" i="10"/>
  <c r="M115" i="10"/>
  <c r="L115" i="10"/>
  <c r="K115" i="10"/>
  <c r="J115" i="10"/>
  <c r="I115" i="10"/>
  <c r="H115" i="10"/>
  <c r="G115" i="10"/>
  <c r="F115" i="10"/>
  <c r="E115" i="10"/>
  <c r="D115" i="10"/>
  <c r="C115" i="10"/>
  <c r="B115" i="10"/>
  <c r="A115" i="10"/>
  <c r="Q114" i="10"/>
  <c r="P114" i="10"/>
  <c r="O114" i="10"/>
  <c r="N114" i="10"/>
  <c r="M114" i="10"/>
  <c r="L114" i="10"/>
  <c r="K114" i="10"/>
  <c r="J114" i="10"/>
  <c r="I114" i="10"/>
  <c r="H114" i="10"/>
  <c r="G114" i="10"/>
  <c r="F114" i="10"/>
  <c r="E114" i="10"/>
  <c r="D114" i="10"/>
  <c r="C114" i="10"/>
  <c r="B114" i="10"/>
  <c r="A114" i="10"/>
  <c r="Q113" i="10"/>
  <c r="P113" i="10"/>
  <c r="O113" i="10"/>
  <c r="N113" i="10"/>
  <c r="M113" i="10"/>
  <c r="L113" i="10"/>
  <c r="K113" i="10"/>
  <c r="J113" i="10"/>
  <c r="I113" i="10"/>
  <c r="H113" i="10"/>
  <c r="G113" i="10"/>
  <c r="F113" i="10"/>
  <c r="E113" i="10"/>
  <c r="D113" i="10"/>
  <c r="C113" i="10"/>
  <c r="B113" i="10"/>
  <c r="A113" i="10"/>
  <c r="Q112" i="10"/>
  <c r="P112" i="10"/>
  <c r="O112" i="10"/>
  <c r="N112" i="10"/>
  <c r="M112" i="10"/>
  <c r="L112" i="10"/>
  <c r="K112" i="10"/>
  <c r="J112" i="10"/>
  <c r="I112" i="10"/>
  <c r="H112" i="10"/>
  <c r="G112" i="10"/>
  <c r="F112" i="10"/>
  <c r="E112" i="10"/>
  <c r="D112" i="10"/>
  <c r="C112" i="10"/>
  <c r="B112" i="10"/>
  <c r="A112" i="10"/>
  <c r="Q111" i="10"/>
  <c r="P111" i="10"/>
  <c r="O111" i="10"/>
  <c r="N111" i="10"/>
  <c r="M111" i="10"/>
  <c r="L111" i="10"/>
  <c r="K111" i="10"/>
  <c r="J111" i="10"/>
  <c r="I111" i="10"/>
  <c r="H111" i="10"/>
  <c r="G111" i="10"/>
  <c r="F111" i="10"/>
  <c r="E111" i="10"/>
  <c r="D111" i="10"/>
  <c r="C111" i="10"/>
  <c r="B111" i="10"/>
  <c r="A111" i="10"/>
  <c r="Q110" i="10"/>
  <c r="P110" i="10"/>
  <c r="O110" i="10"/>
  <c r="N110" i="10"/>
  <c r="M110" i="10"/>
  <c r="L110" i="10"/>
  <c r="K110" i="10"/>
  <c r="J110" i="10"/>
  <c r="I110" i="10"/>
  <c r="H110" i="10"/>
  <c r="G110" i="10"/>
  <c r="F110" i="10"/>
  <c r="E110" i="10"/>
  <c r="D110" i="10"/>
  <c r="C110" i="10"/>
  <c r="B110" i="10"/>
  <c r="A110" i="10"/>
  <c r="Q109" i="10"/>
  <c r="P109" i="10"/>
  <c r="O109" i="10"/>
  <c r="N109" i="10"/>
  <c r="M109" i="10"/>
  <c r="L109" i="10"/>
  <c r="K109" i="10"/>
  <c r="J109" i="10"/>
  <c r="I109" i="10"/>
  <c r="H109" i="10"/>
  <c r="G109" i="10"/>
  <c r="F109" i="10"/>
  <c r="E109" i="10"/>
  <c r="D109" i="10"/>
  <c r="C109" i="10"/>
  <c r="B109" i="10"/>
  <c r="A109" i="10"/>
  <c r="Q108" i="10"/>
  <c r="P108" i="10"/>
  <c r="O108" i="10"/>
  <c r="N108" i="10"/>
  <c r="M108" i="10"/>
  <c r="L108" i="10"/>
  <c r="K108" i="10"/>
  <c r="J108" i="10"/>
  <c r="I108" i="10"/>
  <c r="H108" i="10"/>
  <c r="G108" i="10"/>
  <c r="F108" i="10"/>
  <c r="E108" i="10"/>
  <c r="D108" i="10"/>
  <c r="C108" i="10"/>
  <c r="B108" i="10"/>
  <c r="A108" i="10"/>
  <c r="Q107" i="10"/>
  <c r="P107" i="10"/>
  <c r="O107" i="10"/>
  <c r="N107" i="10"/>
  <c r="M107" i="10"/>
  <c r="L107" i="10"/>
  <c r="K107" i="10"/>
  <c r="J107" i="10"/>
  <c r="I107" i="10"/>
  <c r="H107" i="10"/>
  <c r="G107" i="10"/>
  <c r="F107" i="10"/>
  <c r="E107" i="10"/>
  <c r="D107" i="10"/>
  <c r="C107" i="10"/>
  <c r="B107" i="10"/>
  <c r="A107" i="10"/>
  <c r="Q106" i="10"/>
  <c r="P106" i="10"/>
  <c r="O106" i="10"/>
  <c r="N106" i="10"/>
  <c r="M106" i="10"/>
  <c r="L106" i="10"/>
  <c r="K106" i="10"/>
  <c r="J106" i="10"/>
  <c r="I106" i="10"/>
  <c r="H106" i="10"/>
  <c r="G106" i="10"/>
  <c r="F106" i="10"/>
  <c r="E106" i="10"/>
  <c r="D106" i="10"/>
  <c r="C106" i="10"/>
  <c r="B106" i="10"/>
  <c r="A106" i="10"/>
  <c r="Q105" i="10"/>
  <c r="P105" i="10"/>
  <c r="O105" i="10"/>
  <c r="N105" i="10"/>
  <c r="M105" i="10"/>
  <c r="L105" i="10"/>
  <c r="K105" i="10"/>
  <c r="J105" i="10"/>
  <c r="I105" i="10"/>
  <c r="H105" i="10"/>
  <c r="G105" i="10"/>
  <c r="F105" i="10"/>
  <c r="E105" i="10"/>
  <c r="D105" i="10"/>
  <c r="C105" i="10"/>
  <c r="B105" i="10"/>
  <c r="A105" i="10"/>
  <c r="Q104" i="10"/>
  <c r="P104" i="10"/>
  <c r="O104" i="10"/>
  <c r="N104" i="10"/>
  <c r="M104" i="10"/>
  <c r="L104" i="10"/>
  <c r="K104" i="10"/>
  <c r="J104" i="10"/>
  <c r="I104" i="10"/>
  <c r="H104" i="10"/>
  <c r="G104" i="10"/>
  <c r="F104" i="10"/>
  <c r="E104" i="10"/>
  <c r="D104" i="10"/>
  <c r="C104" i="10"/>
  <c r="B104" i="10"/>
  <c r="A104" i="10"/>
  <c r="Q103" i="10"/>
  <c r="P103" i="10"/>
  <c r="O103" i="10"/>
  <c r="N103" i="10"/>
  <c r="M103" i="10"/>
  <c r="L103" i="10"/>
  <c r="K103" i="10"/>
  <c r="J103" i="10"/>
  <c r="I103" i="10"/>
  <c r="H103" i="10"/>
  <c r="G103" i="10"/>
  <c r="F103" i="10"/>
  <c r="E103" i="10"/>
  <c r="D103" i="10"/>
  <c r="C103" i="10"/>
  <c r="B103" i="10"/>
  <c r="A103" i="10"/>
  <c r="Q102" i="10"/>
  <c r="P102" i="10"/>
  <c r="O102" i="10"/>
  <c r="N102" i="10"/>
  <c r="M102" i="10"/>
  <c r="L102" i="10"/>
  <c r="K102" i="10"/>
  <c r="J102" i="10"/>
  <c r="I102" i="10"/>
  <c r="H102" i="10"/>
  <c r="G102" i="10"/>
  <c r="F102" i="10"/>
  <c r="E102" i="10"/>
  <c r="D102" i="10"/>
  <c r="C102" i="10"/>
  <c r="B102" i="10"/>
  <c r="A102" i="10"/>
  <c r="Q101" i="10"/>
  <c r="P101" i="10"/>
  <c r="O101" i="10"/>
  <c r="N101" i="10"/>
  <c r="M101" i="10"/>
  <c r="L101" i="10"/>
  <c r="K101" i="10"/>
  <c r="J101" i="10"/>
  <c r="I101" i="10"/>
  <c r="H101" i="10"/>
  <c r="G101" i="10"/>
  <c r="F101" i="10"/>
  <c r="E101" i="10"/>
  <c r="D101" i="10"/>
  <c r="C101" i="10"/>
  <c r="B101" i="10"/>
  <c r="A101" i="10"/>
  <c r="Q100" i="10"/>
  <c r="P100" i="10"/>
  <c r="O100" i="10"/>
  <c r="N100" i="10"/>
  <c r="M100" i="10"/>
  <c r="L100" i="10"/>
  <c r="K100" i="10"/>
  <c r="J100" i="10"/>
  <c r="I100" i="10"/>
  <c r="H100" i="10"/>
  <c r="G100" i="10"/>
  <c r="F100" i="10"/>
  <c r="E100" i="10"/>
  <c r="D100" i="10"/>
  <c r="C100" i="10"/>
  <c r="B100" i="10"/>
  <c r="A100" i="10"/>
  <c r="Q99" i="10"/>
  <c r="P99" i="10"/>
  <c r="O99" i="10"/>
  <c r="N99" i="10"/>
  <c r="M99" i="10"/>
  <c r="L99" i="10"/>
  <c r="K99" i="10"/>
  <c r="J99" i="10"/>
  <c r="I99" i="10"/>
  <c r="H99" i="10"/>
  <c r="G99" i="10"/>
  <c r="F99" i="10"/>
  <c r="E99" i="10"/>
  <c r="D99" i="10"/>
  <c r="C99" i="10"/>
  <c r="B99" i="10"/>
  <c r="A99" i="10"/>
  <c r="Q98" i="10"/>
  <c r="P98" i="10"/>
  <c r="O98" i="10"/>
  <c r="N98" i="10"/>
  <c r="M98" i="10"/>
  <c r="L98" i="10"/>
  <c r="K98" i="10"/>
  <c r="J98" i="10"/>
  <c r="I98" i="10"/>
  <c r="H98" i="10"/>
  <c r="G98" i="10"/>
  <c r="F98" i="10"/>
  <c r="E98" i="10"/>
  <c r="D98" i="10"/>
  <c r="C98" i="10"/>
  <c r="B98" i="10"/>
  <c r="A98" i="10"/>
  <c r="Q97" i="10"/>
  <c r="P97" i="10"/>
  <c r="O97" i="10"/>
  <c r="N97" i="10"/>
  <c r="M97" i="10"/>
  <c r="L97" i="10"/>
  <c r="K97" i="10"/>
  <c r="J97" i="10"/>
  <c r="I97" i="10"/>
  <c r="H97" i="10"/>
  <c r="G97" i="10"/>
  <c r="F97" i="10"/>
  <c r="E97" i="10"/>
  <c r="D97" i="10"/>
  <c r="C97" i="10"/>
  <c r="B97" i="10"/>
  <c r="A97" i="10"/>
  <c r="Q96" i="10"/>
  <c r="P96" i="10"/>
  <c r="O96" i="10"/>
  <c r="N96" i="10"/>
  <c r="M96" i="10"/>
  <c r="L96" i="10"/>
  <c r="K96" i="10"/>
  <c r="J96" i="10"/>
  <c r="I96" i="10"/>
  <c r="H96" i="10"/>
  <c r="G96" i="10"/>
  <c r="F96" i="10"/>
  <c r="E96" i="10"/>
  <c r="D96" i="10"/>
  <c r="C96" i="10"/>
  <c r="B96" i="10"/>
  <c r="A96" i="10"/>
  <c r="Q95" i="10"/>
  <c r="P95" i="10"/>
  <c r="O95" i="10"/>
  <c r="N95" i="10"/>
  <c r="M95" i="10"/>
  <c r="L95" i="10"/>
  <c r="K95" i="10"/>
  <c r="J95" i="10"/>
  <c r="I95" i="10"/>
  <c r="H95" i="10"/>
  <c r="G95" i="10"/>
  <c r="F95" i="10"/>
  <c r="E95" i="10"/>
  <c r="D95" i="10"/>
  <c r="C95" i="10"/>
  <c r="B95" i="10"/>
  <c r="A95" i="10"/>
  <c r="Q94" i="10"/>
  <c r="P94" i="10"/>
  <c r="O94" i="10"/>
  <c r="N94" i="10"/>
  <c r="M94" i="10"/>
  <c r="L94" i="10"/>
  <c r="K94" i="10"/>
  <c r="J94" i="10"/>
  <c r="I94" i="10"/>
  <c r="H94" i="10"/>
  <c r="G94" i="10"/>
  <c r="F94" i="10"/>
  <c r="E94" i="10"/>
  <c r="D94" i="10"/>
  <c r="C94" i="10"/>
  <c r="B94" i="10"/>
  <c r="A94" i="10"/>
  <c r="Q93" i="10"/>
  <c r="P93" i="10"/>
  <c r="O93" i="10"/>
  <c r="N93" i="10"/>
  <c r="M93" i="10"/>
  <c r="L93" i="10"/>
  <c r="K93" i="10"/>
  <c r="J93" i="10"/>
  <c r="I93" i="10"/>
  <c r="H93" i="10"/>
  <c r="G93" i="10"/>
  <c r="F93" i="10"/>
  <c r="E93" i="10"/>
  <c r="D93" i="10"/>
  <c r="C93" i="10"/>
  <c r="B93" i="10"/>
  <c r="A93" i="10"/>
  <c r="Q92" i="10"/>
  <c r="P92" i="10"/>
  <c r="O92" i="10"/>
  <c r="N92" i="10"/>
  <c r="M92" i="10"/>
  <c r="L92" i="10"/>
  <c r="K92" i="10"/>
  <c r="J92" i="10"/>
  <c r="I92" i="10"/>
  <c r="H92" i="10"/>
  <c r="G92" i="10"/>
  <c r="F92" i="10"/>
  <c r="E92" i="10"/>
  <c r="D92" i="10"/>
  <c r="C92" i="10"/>
  <c r="B92" i="10"/>
  <c r="A92" i="10"/>
  <c r="Q91" i="10"/>
  <c r="P91" i="10"/>
  <c r="O91" i="10"/>
  <c r="N91" i="10"/>
  <c r="M91" i="10"/>
  <c r="L91" i="10"/>
  <c r="K91" i="10"/>
  <c r="J91" i="10"/>
  <c r="I91" i="10"/>
  <c r="H91" i="10"/>
  <c r="G91" i="10"/>
  <c r="F91" i="10"/>
  <c r="E91" i="10"/>
  <c r="D91" i="10"/>
  <c r="C91" i="10"/>
  <c r="B91" i="10"/>
  <c r="A91" i="10"/>
  <c r="Q90" i="10"/>
  <c r="P90" i="10"/>
  <c r="O90" i="10"/>
  <c r="N90" i="10"/>
  <c r="M90" i="10"/>
  <c r="L90" i="10"/>
  <c r="K90" i="10"/>
  <c r="J90" i="10"/>
  <c r="I90" i="10"/>
  <c r="H90" i="10"/>
  <c r="G90" i="10"/>
  <c r="F90" i="10"/>
  <c r="E90" i="10"/>
  <c r="D90" i="10"/>
  <c r="C90" i="10"/>
  <c r="B90" i="10"/>
  <c r="A90" i="10"/>
  <c r="Q89" i="10"/>
  <c r="P89" i="10"/>
  <c r="O89" i="10"/>
  <c r="N89" i="10"/>
  <c r="M89" i="10"/>
  <c r="L89" i="10"/>
  <c r="K89" i="10"/>
  <c r="J89" i="10"/>
  <c r="I89" i="10"/>
  <c r="H89" i="10"/>
  <c r="G89" i="10"/>
  <c r="F89" i="10"/>
  <c r="E89" i="10"/>
  <c r="D89" i="10"/>
  <c r="C89" i="10"/>
  <c r="B89" i="10"/>
  <c r="A89" i="10"/>
  <c r="Q88" i="10"/>
  <c r="P88" i="10"/>
  <c r="O88" i="10"/>
  <c r="N88" i="10"/>
  <c r="M88" i="10"/>
  <c r="L88" i="10"/>
  <c r="K88" i="10"/>
  <c r="J88" i="10"/>
  <c r="I88" i="10"/>
  <c r="H88" i="10"/>
  <c r="G88" i="10"/>
  <c r="F88" i="10"/>
  <c r="E88" i="10"/>
  <c r="D88" i="10"/>
  <c r="C88" i="10"/>
  <c r="B88" i="10"/>
  <c r="A88" i="10"/>
  <c r="Q87" i="10"/>
  <c r="P87" i="10"/>
  <c r="O87" i="10"/>
  <c r="N87" i="10"/>
  <c r="M87" i="10"/>
  <c r="L87" i="10"/>
  <c r="K87" i="10"/>
  <c r="J87" i="10"/>
  <c r="I87" i="10"/>
  <c r="H87" i="10"/>
  <c r="G87" i="10"/>
  <c r="F87" i="10"/>
  <c r="E87" i="10"/>
  <c r="D87" i="10"/>
  <c r="C87" i="10"/>
  <c r="B87" i="10"/>
  <c r="A87" i="10"/>
  <c r="Q86" i="10"/>
  <c r="P86" i="10"/>
  <c r="O86" i="10"/>
  <c r="N86" i="10"/>
  <c r="M86" i="10"/>
  <c r="L86" i="10"/>
  <c r="K86" i="10"/>
  <c r="J86" i="10"/>
  <c r="I86" i="10"/>
  <c r="H86" i="10"/>
  <c r="G86" i="10"/>
  <c r="F86" i="10"/>
  <c r="E86" i="10"/>
  <c r="D86" i="10"/>
  <c r="C86" i="10"/>
  <c r="B86" i="10"/>
  <c r="A86" i="10"/>
  <c r="Q85" i="10"/>
  <c r="P85" i="10"/>
  <c r="O85" i="10"/>
  <c r="N85" i="10"/>
  <c r="M85" i="10"/>
  <c r="L85" i="10"/>
  <c r="K85" i="10"/>
  <c r="J85" i="10"/>
  <c r="I85" i="10"/>
  <c r="H85" i="10"/>
  <c r="G85" i="10"/>
  <c r="F85" i="10"/>
  <c r="E85" i="10"/>
  <c r="D85" i="10"/>
  <c r="C85" i="10"/>
  <c r="B85" i="10"/>
  <c r="A85" i="10"/>
  <c r="Q84" i="10"/>
  <c r="P84" i="10"/>
  <c r="O84" i="10"/>
  <c r="N84" i="10"/>
  <c r="M84" i="10"/>
  <c r="L84" i="10"/>
  <c r="K84" i="10"/>
  <c r="J84" i="10"/>
  <c r="I84" i="10"/>
  <c r="H84" i="10"/>
  <c r="G84" i="10"/>
  <c r="F84" i="10"/>
  <c r="E84" i="10"/>
  <c r="D84" i="10"/>
  <c r="C84" i="10"/>
  <c r="B84" i="10"/>
  <c r="A84" i="10"/>
  <c r="Q83" i="10"/>
  <c r="P83" i="10"/>
  <c r="O83" i="10"/>
  <c r="N83" i="10"/>
  <c r="M83" i="10"/>
  <c r="L83" i="10"/>
  <c r="K83" i="10"/>
  <c r="J83" i="10"/>
  <c r="I83" i="10"/>
  <c r="H83" i="10"/>
  <c r="G83" i="10"/>
  <c r="F83" i="10"/>
  <c r="E83" i="10"/>
  <c r="D83" i="10"/>
  <c r="C83" i="10"/>
  <c r="B83" i="10"/>
  <c r="A83" i="10"/>
  <c r="Q82" i="10"/>
  <c r="P82" i="10"/>
  <c r="O82" i="10"/>
  <c r="N82" i="10"/>
  <c r="M82" i="10"/>
  <c r="L82" i="10"/>
  <c r="K82" i="10"/>
  <c r="J82" i="10"/>
  <c r="I82" i="10"/>
  <c r="H82" i="10"/>
  <c r="G82" i="10"/>
  <c r="F82" i="10"/>
  <c r="E82" i="10"/>
  <c r="D82" i="10"/>
  <c r="C82" i="10"/>
  <c r="B82" i="10"/>
  <c r="A82" i="10"/>
  <c r="Q81" i="10"/>
  <c r="P81" i="10"/>
  <c r="O81" i="10"/>
  <c r="N81" i="10"/>
  <c r="M81" i="10"/>
  <c r="L81" i="10"/>
  <c r="K81" i="10"/>
  <c r="J81" i="10"/>
  <c r="I81" i="10"/>
  <c r="H81" i="10"/>
  <c r="G81" i="10"/>
  <c r="F81" i="10"/>
  <c r="E81" i="10"/>
  <c r="D81" i="10"/>
  <c r="C81" i="10"/>
  <c r="B81" i="10"/>
  <c r="A81" i="10"/>
  <c r="Q80" i="10"/>
  <c r="P80" i="10"/>
  <c r="O80" i="10"/>
  <c r="N80" i="10"/>
  <c r="M80" i="10"/>
  <c r="L80" i="10"/>
  <c r="K80" i="10"/>
  <c r="J80" i="10"/>
  <c r="I80" i="10"/>
  <c r="H80" i="10"/>
  <c r="G80" i="10"/>
  <c r="F80" i="10"/>
  <c r="E80" i="10"/>
  <c r="D80" i="10"/>
  <c r="C80" i="10"/>
  <c r="B80" i="10"/>
  <c r="A80" i="10"/>
  <c r="Q79" i="10"/>
  <c r="P79" i="10"/>
  <c r="O79" i="10"/>
  <c r="N79" i="10"/>
  <c r="M79" i="10"/>
  <c r="L79" i="10"/>
  <c r="K79" i="10"/>
  <c r="J79" i="10"/>
  <c r="I79" i="10"/>
  <c r="H79" i="10"/>
  <c r="G79" i="10"/>
  <c r="F79" i="10"/>
  <c r="E79" i="10"/>
  <c r="D79" i="10"/>
  <c r="C79" i="10"/>
  <c r="B79" i="10"/>
  <c r="A79" i="10"/>
  <c r="Q78" i="10"/>
  <c r="P78" i="10"/>
  <c r="O78" i="10"/>
  <c r="N78" i="10"/>
  <c r="M78" i="10"/>
  <c r="L78" i="10"/>
  <c r="K78" i="10"/>
  <c r="J78" i="10"/>
  <c r="I78" i="10"/>
  <c r="H78" i="10"/>
  <c r="G78" i="10"/>
  <c r="F78" i="10"/>
  <c r="E78" i="10"/>
  <c r="D78" i="10"/>
  <c r="C78" i="10"/>
  <c r="B78" i="10"/>
  <c r="A78" i="10"/>
  <c r="Q77" i="10"/>
  <c r="P77" i="10"/>
  <c r="O77" i="10"/>
  <c r="N77" i="10"/>
  <c r="M77" i="10"/>
  <c r="L77" i="10"/>
  <c r="K77" i="10"/>
  <c r="J77" i="10"/>
  <c r="I77" i="10"/>
  <c r="H77" i="10"/>
  <c r="G77" i="10"/>
  <c r="F77" i="10"/>
  <c r="E77" i="10"/>
  <c r="D77" i="10"/>
  <c r="C77" i="10"/>
  <c r="B77" i="10"/>
  <c r="A77" i="10"/>
  <c r="Q76" i="10"/>
  <c r="P76" i="10"/>
  <c r="O76" i="10"/>
  <c r="N76" i="10"/>
  <c r="M76" i="10"/>
  <c r="L76" i="10"/>
  <c r="K76" i="10"/>
  <c r="J76" i="10"/>
  <c r="I76" i="10"/>
  <c r="H76" i="10"/>
  <c r="G76" i="10"/>
  <c r="F76" i="10"/>
  <c r="E76" i="10"/>
  <c r="D76" i="10"/>
  <c r="C76" i="10"/>
  <c r="B76" i="10"/>
  <c r="A76" i="10"/>
  <c r="Q75" i="10"/>
  <c r="P75" i="10"/>
  <c r="O75" i="10"/>
  <c r="N75" i="10"/>
  <c r="M75" i="10"/>
  <c r="L75" i="10"/>
  <c r="K75" i="10"/>
  <c r="J75" i="10"/>
  <c r="I75" i="10"/>
  <c r="H75" i="10"/>
  <c r="G75" i="10"/>
  <c r="F75" i="10"/>
  <c r="E75" i="10"/>
  <c r="D75" i="10"/>
  <c r="C75" i="10"/>
  <c r="B75" i="10"/>
  <c r="A75" i="10"/>
  <c r="Q74" i="10"/>
  <c r="P74" i="10"/>
  <c r="O74" i="10"/>
  <c r="N74" i="10"/>
  <c r="M74" i="10"/>
  <c r="L74" i="10"/>
  <c r="K74" i="10"/>
  <c r="J74" i="10"/>
  <c r="I74" i="10"/>
  <c r="H74" i="10"/>
  <c r="G74" i="10"/>
  <c r="F74" i="10"/>
  <c r="E74" i="10"/>
  <c r="D74" i="10"/>
  <c r="C74" i="10"/>
  <c r="B74" i="10"/>
  <c r="A74" i="10"/>
  <c r="Q73" i="10"/>
  <c r="P73" i="10"/>
  <c r="O73" i="10"/>
  <c r="N73" i="10"/>
  <c r="M73" i="10"/>
  <c r="L73" i="10"/>
  <c r="K73" i="10"/>
  <c r="J73" i="10"/>
  <c r="I73" i="10"/>
  <c r="H73" i="10"/>
  <c r="G73" i="10"/>
  <c r="F73" i="10"/>
  <c r="E73" i="10"/>
  <c r="D73" i="10"/>
  <c r="C73" i="10"/>
  <c r="B73" i="10"/>
  <c r="A73" i="10"/>
  <c r="Q72" i="10"/>
  <c r="P72" i="10"/>
  <c r="O72" i="10"/>
  <c r="N72" i="10"/>
  <c r="M72" i="10"/>
  <c r="L72" i="10"/>
  <c r="K72" i="10"/>
  <c r="J72" i="10"/>
  <c r="I72" i="10"/>
  <c r="H72" i="10"/>
  <c r="G72" i="10"/>
  <c r="F72" i="10"/>
  <c r="E72" i="10"/>
  <c r="D72" i="10"/>
  <c r="C72" i="10"/>
  <c r="B72" i="10"/>
  <c r="A72" i="10"/>
  <c r="Q71" i="10"/>
  <c r="P71" i="10"/>
  <c r="O71" i="10"/>
  <c r="N71" i="10"/>
  <c r="M71" i="10"/>
  <c r="L71" i="10"/>
  <c r="K71" i="10"/>
  <c r="J71" i="10"/>
  <c r="I71" i="10"/>
  <c r="H71" i="10"/>
  <c r="G71" i="10"/>
  <c r="F71" i="10"/>
  <c r="E71" i="10"/>
  <c r="D71" i="10"/>
  <c r="C71" i="10"/>
  <c r="B71" i="10"/>
  <c r="A71" i="10"/>
  <c r="Q70" i="10"/>
  <c r="P70" i="10"/>
  <c r="O70" i="10"/>
  <c r="N70" i="10"/>
  <c r="M70" i="10"/>
  <c r="L70" i="10"/>
  <c r="K70" i="10"/>
  <c r="J70" i="10"/>
  <c r="I70" i="10"/>
  <c r="H70" i="10"/>
  <c r="G70" i="10"/>
  <c r="F70" i="10"/>
  <c r="E70" i="10"/>
  <c r="D70" i="10"/>
  <c r="C70" i="10"/>
  <c r="B70" i="10"/>
  <c r="A70" i="10"/>
  <c r="Q69" i="10"/>
  <c r="P69" i="10"/>
  <c r="O69" i="10"/>
  <c r="N69" i="10"/>
  <c r="M69" i="10"/>
  <c r="L69" i="10"/>
  <c r="K69" i="10"/>
  <c r="J69" i="10"/>
  <c r="I69" i="10"/>
  <c r="H69" i="10"/>
  <c r="G69" i="10"/>
  <c r="F69" i="10"/>
  <c r="E69" i="10"/>
  <c r="D69" i="10"/>
  <c r="C69" i="10"/>
  <c r="B69" i="10"/>
  <c r="A69" i="10"/>
  <c r="Q68" i="10"/>
  <c r="P68" i="10"/>
  <c r="O68" i="10"/>
  <c r="N68" i="10"/>
  <c r="M68" i="10"/>
  <c r="L68" i="10"/>
  <c r="K68" i="10"/>
  <c r="J68" i="10"/>
  <c r="I68" i="10"/>
  <c r="H68" i="10"/>
  <c r="G68" i="10"/>
  <c r="F68" i="10"/>
  <c r="E68" i="10"/>
  <c r="D68" i="10"/>
  <c r="C68" i="10"/>
  <c r="B68" i="10"/>
  <c r="A68" i="10"/>
  <c r="Q67" i="10"/>
  <c r="P67" i="10"/>
  <c r="O67" i="10"/>
  <c r="N67" i="10"/>
  <c r="M67" i="10"/>
  <c r="L67" i="10"/>
  <c r="K67" i="10"/>
  <c r="J67" i="10"/>
  <c r="I67" i="10"/>
  <c r="H67" i="10"/>
  <c r="G67" i="10"/>
  <c r="F67" i="10"/>
  <c r="E67" i="10"/>
  <c r="D67" i="10"/>
  <c r="C67" i="10"/>
  <c r="B67" i="10"/>
  <c r="A67" i="10"/>
  <c r="Q66" i="10"/>
  <c r="P66" i="10"/>
  <c r="O66" i="10"/>
  <c r="N66" i="10"/>
  <c r="M66" i="10"/>
  <c r="L66" i="10"/>
  <c r="K66" i="10"/>
  <c r="J66" i="10"/>
  <c r="I66" i="10"/>
  <c r="H66" i="10"/>
  <c r="G66" i="10"/>
  <c r="F66" i="10"/>
  <c r="E66" i="10"/>
  <c r="D66" i="10"/>
  <c r="C66" i="10"/>
  <c r="B66" i="10"/>
  <c r="A66" i="10"/>
  <c r="Q65" i="10"/>
  <c r="P65" i="10"/>
  <c r="O65" i="10"/>
  <c r="N65" i="10"/>
  <c r="M65" i="10"/>
  <c r="L65" i="10"/>
  <c r="K65" i="10"/>
  <c r="J65" i="10"/>
  <c r="I65" i="10"/>
  <c r="H65" i="10"/>
  <c r="G65" i="10"/>
  <c r="F65" i="10"/>
  <c r="E65" i="10"/>
  <c r="D65" i="10"/>
  <c r="C65" i="10"/>
  <c r="B65" i="10"/>
  <c r="A65" i="10"/>
  <c r="Q64" i="10"/>
  <c r="P64" i="10"/>
  <c r="O64" i="10"/>
  <c r="N64" i="10"/>
  <c r="M64" i="10"/>
  <c r="L64" i="10"/>
  <c r="K64" i="10"/>
  <c r="J64" i="10"/>
  <c r="I64" i="10"/>
  <c r="H64" i="10"/>
  <c r="G64" i="10"/>
  <c r="F64" i="10"/>
  <c r="E64" i="10"/>
  <c r="D64" i="10"/>
  <c r="C64" i="10"/>
  <c r="B64" i="10"/>
  <c r="A64" i="10"/>
  <c r="Q63" i="10"/>
  <c r="P63" i="10"/>
  <c r="O63" i="10"/>
  <c r="N63" i="10"/>
  <c r="M63" i="10"/>
  <c r="L63" i="10"/>
  <c r="K63" i="10"/>
  <c r="J63" i="10"/>
  <c r="I63" i="10"/>
  <c r="H63" i="10"/>
  <c r="G63" i="10"/>
  <c r="F63" i="10"/>
  <c r="E63" i="10"/>
  <c r="D63" i="10"/>
  <c r="C63" i="10"/>
  <c r="B63" i="10"/>
  <c r="A63" i="10"/>
  <c r="Q62" i="10"/>
  <c r="P62" i="10"/>
  <c r="O62" i="10"/>
  <c r="N62" i="10"/>
  <c r="M62" i="10"/>
  <c r="L62" i="10"/>
  <c r="K62" i="10"/>
  <c r="J62" i="10"/>
  <c r="I62" i="10"/>
  <c r="H62" i="10"/>
  <c r="G62" i="10"/>
  <c r="F62" i="10"/>
  <c r="E62" i="10"/>
  <c r="D62" i="10"/>
  <c r="C62" i="10"/>
  <c r="B62" i="10"/>
  <c r="A62" i="10"/>
  <c r="Q61" i="10"/>
  <c r="P61" i="10"/>
  <c r="O61" i="10"/>
  <c r="N61" i="10"/>
  <c r="M61" i="10"/>
  <c r="L61" i="10"/>
  <c r="K61" i="10"/>
  <c r="J61" i="10"/>
  <c r="I61" i="10"/>
  <c r="H61" i="10"/>
  <c r="G61" i="10"/>
  <c r="F61" i="10"/>
  <c r="E61" i="10"/>
  <c r="D61" i="10"/>
  <c r="C61" i="10"/>
  <c r="B61" i="10"/>
  <c r="A61" i="10"/>
  <c r="Q60" i="10"/>
  <c r="P60" i="10"/>
  <c r="O60" i="10"/>
  <c r="N60" i="10"/>
  <c r="M60" i="10"/>
  <c r="L60" i="10"/>
  <c r="K60" i="10"/>
  <c r="J60" i="10"/>
  <c r="I60" i="10"/>
  <c r="H60" i="10"/>
  <c r="G60" i="10"/>
  <c r="F60" i="10"/>
  <c r="E60" i="10"/>
  <c r="D60" i="10"/>
  <c r="C60" i="10"/>
  <c r="B60" i="10"/>
  <c r="A60" i="10"/>
  <c r="Q59" i="10"/>
  <c r="P59" i="10"/>
  <c r="O59" i="10"/>
  <c r="N59" i="10"/>
  <c r="M59" i="10"/>
  <c r="L59" i="10"/>
  <c r="K59" i="10"/>
  <c r="J59" i="10"/>
  <c r="I59" i="10"/>
  <c r="H59" i="10"/>
  <c r="G59" i="10"/>
  <c r="F59" i="10"/>
  <c r="E59" i="10"/>
  <c r="D59" i="10"/>
  <c r="C59" i="10"/>
  <c r="B59" i="10"/>
  <c r="A59" i="10"/>
  <c r="Q58" i="10"/>
  <c r="P58" i="10"/>
  <c r="O58" i="10"/>
  <c r="N58" i="10"/>
  <c r="M58" i="10"/>
  <c r="L58" i="10"/>
  <c r="K58" i="10"/>
  <c r="J58" i="10"/>
  <c r="I58" i="10"/>
  <c r="H58" i="10"/>
  <c r="G58" i="10"/>
  <c r="F58" i="10"/>
  <c r="E58" i="10"/>
  <c r="D58" i="10"/>
  <c r="C58" i="10"/>
  <c r="B58" i="10"/>
  <c r="A58" i="10"/>
  <c r="Q57" i="10"/>
  <c r="P57" i="10"/>
  <c r="O57" i="10"/>
  <c r="N57" i="10"/>
  <c r="M57" i="10"/>
  <c r="L57" i="10"/>
  <c r="K57" i="10"/>
  <c r="J57" i="10"/>
  <c r="I57" i="10"/>
  <c r="H57" i="10"/>
  <c r="G57" i="10"/>
  <c r="F57" i="10"/>
  <c r="E57" i="10"/>
  <c r="D57" i="10"/>
  <c r="C57" i="10"/>
  <c r="B57" i="10"/>
  <c r="A57" i="10"/>
  <c r="Q56" i="10"/>
  <c r="P56" i="10"/>
  <c r="O56" i="10"/>
  <c r="N56" i="10"/>
  <c r="M56" i="10"/>
  <c r="L56" i="10"/>
  <c r="K56" i="10"/>
  <c r="J56" i="10"/>
  <c r="I56" i="10"/>
  <c r="H56" i="10"/>
  <c r="G56" i="10"/>
  <c r="F56" i="10"/>
  <c r="E56" i="10"/>
  <c r="D56" i="10"/>
  <c r="C56" i="10"/>
  <c r="B56" i="10"/>
  <c r="A56" i="10"/>
  <c r="Q55" i="10"/>
  <c r="P55" i="10"/>
  <c r="O55" i="10"/>
  <c r="N55" i="10"/>
  <c r="M55" i="10"/>
  <c r="L55" i="10"/>
  <c r="K55" i="10"/>
  <c r="J55" i="10"/>
  <c r="I55" i="10"/>
  <c r="H55" i="10"/>
  <c r="G55" i="10"/>
  <c r="F55" i="10"/>
  <c r="E55" i="10"/>
  <c r="D55" i="10"/>
  <c r="C55" i="10"/>
  <c r="B55" i="10"/>
  <c r="A55" i="10"/>
  <c r="Q54" i="10"/>
  <c r="P54" i="10"/>
  <c r="O54" i="10"/>
  <c r="N54" i="10"/>
  <c r="M54" i="10"/>
  <c r="L54" i="10"/>
  <c r="K54" i="10"/>
  <c r="J54" i="10"/>
  <c r="I54" i="10"/>
  <c r="H54" i="10"/>
  <c r="G54" i="10"/>
  <c r="F54" i="10"/>
  <c r="E54" i="10"/>
  <c r="D54" i="10"/>
  <c r="C54" i="10"/>
  <c r="B54" i="10"/>
  <c r="A54" i="10"/>
  <c r="Q53" i="10"/>
  <c r="P53" i="10"/>
  <c r="O53" i="10"/>
  <c r="N53" i="10"/>
  <c r="M53" i="10"/>
  <c r="L53" i="10"/>
  <c r="K53" i="10"/>
  <c r="J53" i="10"/>
  <c r="I53" i="10"/>
  <c r="H53" i="10"/>
  <c r="G53" i="10"/>
  <c r="F53" i="10"/>
  <c r="E53" i="10"/>
  <c r="D53" i="10"/>
  <c r="C53" i="10"/>
  <c r="B53" i="10"/>
  <c r="A53" i="10"/>
  <c r="Q52" i="10"/>
  <c r="P52" i="10"/>
  <c r="O52" i="10"/>
  <c r="N52" i="10"/>
  <c r="M52" i="10"/>
  <c r="L52" i="10"/>
  <c r="K52" i="10"/>
  <c r="J52" i="10"/>
  <c r="I52" i="10"/>
  <c r="H52" i="10"/>
  <c r="G52" i="10"/>
  <c r="F52" i="10"/>
  <c r="E52" i="10"/>
  <c r="D52" i="10"/>
  <c r="C52" i="10"/>
  <c r="B52" i="10"/>
  <c r="A52" i="10"/>
  <c r="Q51" i="10"/>
  <c r="P51" i="10"/>
  <c r="O51" i="10"/>
  <c r="N51" i="10"/>
  <c r="M51" i="10"/>
  <c r="L51" i="10"/>
  <c r="K51" i="10"/>
  <c r="J51" i="10"/>
  <c r="I51" i="10"/>
  <c r="H51" i="10"/>
  <c r="G51" i="10"/>
  <c r="F51" i="10"/>
  <c r="E51" i="10"/>
  <c r="D51" i="10"/>
  <c r="C51" i="10"/>
  <c r="B51" i="10"/>
  <c r="A51" i="10"/>
  <c r="Q50" i="10"/>
  <c r="P50" i="10"/>
  <c r="O50" i="10"/>
  <c r="N50" i="10"/>
  <c r="M50" i="10"/>
  <c r="L50" i="10"/>
  <c r="K50" i="10"/>
  <c r="J50" i="10"/>
  <c r="I50" i="10"/>
  <c r="H50" i="10"/>
  <c r="G50" i="10"/>
  <c r="F50" i="10"/>
  <c r="E50" i="10"/>
  <c r="D50" i="10"/>
  <c r="C50" i="10"/>
  <c r="B50" i="10"/>
  <c r="A50" i="10"/>
  <c r="Q49" i="10"/>
  <c r="P49" i="10"/>
  <c r="O49" i="10"/>
  <c r="N49" i="10"/>
  <c r="M49" i="10"/>
  <c r="L49" i="10"/>
  <c r="K49" i="10"/>
  <c r="J49" i="10"/>
  <c r="I49" i="10"/>
  <c r="H49" i="10"/>
  <c r="G49" i="10"/>
  <c r="F49" i="10"/>
  <c r="E49" i="10"/>
  <c r="D49" i="10"/>
  <c r="C49" i="10"/>
  <c r="B49" i="10"/>
  <c r="A49" i="10"/>
  <c r="Q48" i="10"/>
  <c r="P48" i="10"/>
  <c r="O48" i="10"/>
  <c r="N48" i="10"/>
  <c r="M48" i="10"/>
  <c r="L48" i="10"/>
  <c r="K48" i="10"/>
  <c r="J48" i="10"/>
  <c r="I48" i="10"/>
  <c r="H48" i="10"/>
  <c r="G48" i="10"/>
  <c r="F48" i="10"/>
  <c r="E48" i="10"/>
  <c r="D48" i="10"/>
  <c r="C48" i="10"/>
  <c r="B48" i="10"/>
  <c r="A48" i="10"/>
  <c r="Q47" i="10"/>
  <c r="P47" i="10"/>
  <c r="O47" i="10"/>
  <c r="N47" i="10"/>
  <c r="M47" i="10"/>
  <c r="L47" i="10"/>
  <c r="K47" i="10"/>
  <c r="J47" i="10"/>
  <c r="I47" i="10"/>
  <c r="H47" i="10"/>
  <c r="G47" i="10"/>
  <c r="F47" i="10"/>
  <c r="E47" i="10"/>
  <c r="D47" i="10"/>
  <c r="C47" i="10"/>
  <c r="B47" i="10"/>
  <c r="A47" i="10"/>
  <c r="Q46" i="10"/>
  <c r="P46" i="10"/>
  <c r="O46" i="10"/>
  <c r="N46" i="10"/>
  <c r="M46" i="10"/>
  <c r="L46" i="10"/>
  <c r="K46" i="10"/>
  <c r="J46" i="10"/>
  <c r="I46" i="10"/>
  <c r="H46" i="10"/>
  <c r="G46" i="10"/>
  <c r="F46" i="10"/>
  <c r="E46" i="10"/>
  <c r="D46" i="10"/>
  <c r="C46" i="10"/>
  <c r="B46" i="10"/>
  <c r="A46" i="10"/>
  <c r="Q45" i="10"/>
  <c r="P45" i="10"/>
  <c r="O45" i="10"/>
  <c r="N45" i="10"/>
  <c r="M45" i="10"/>
  <c r="L45" i="10"/>
  <c r="K45" i="10"/>
  <c r="J45" i="10"/>
  <c r="I45" i="10"/>
  <c r="H45" i="10"/>
  <c r="G45" i="10"/>
  <c r="F45" i="10"/>
  <c r="E45" i="10"/>
  <c r="D45" i="10"/>
  <c r="C45" i="10"/>
  <c r="B45" i="10"/>
  <c r="A45" i="10"/>
  <c r="Q44" i="10"/>
  <c r="P44" i="10"/>
  <c r="O44" i="10"/>
  <c r="N44" i="10"/>
  <c r="M44" i="10"/>
  <c r="L44" i="10"/>
  <c r="K44" i="10"/>
  <c r="J44" i="10"/>
  <c r="I44" i="10"/>
  <c r="H44" i="10"/>
  <c r="G44" i="10"/>
  <c r="F44" i="10"/>
  <c r="E44" i="10"/>
  <c r="D44" i="10"/>
  <c r="C44" i="10"/>
  <c r="B44" i="10"/>
  <c r="A44" i="10"/>
  <c r="Q43" i="10"/>
  <c r="P43" i="10"/>
  <c r="O43" i="10"/>
  <c r="N43" i="10"/>
  <c r="M43" i="10"/>
  <c r="L43" i="10"/>
  <c r="K43" i="10"/>
  <c r="J43" i="10"/>
  <c r="I43" i="10"/>
  <c r="H43" i="10"/>
  <c r="G43" i="10"/>
  <c r="F43" i="10"/>
  <c r="E43" i="10"/>
  <c r="D43" i="10"/>
  <c r="C43" i="10"/>
  <c r="B43" i="10"/>
  <c r="A43" i="10"/>
  <c r="Q42" i="10"/>
  <c r="P42" i="10"/>
  <c r="O42" i="10"/>
  <c r="N42" i="10"/>
  <c r="M42" i="10"/>
  <c r="L42" i="10"/>
  <c r="K42" i="10"/>
  <c r="J42" i="10"/>
  <c r="I42" i="10"/>
  <c r="H42" i="10"/>
  <c r="G42" i="10"/>
  <c r="F42" i="10"/>
  <c r="E42" i="10"/>
  <c r="D42" i="10"/>
  <c r="C42" i="10"/>
  <c r="B42" i="10"/>
  <c r="A42" i="10"/>
  <c r="Q41" i="10"/>
  <c r="P41" i="10"/>
  <c r="O41" i="10"/>
  <c r="N41" i="10"/>
  <c r="M41" i="10"/>
  <c r="L41" i="10"/>
  <c r="K41" i="10"/>
  <c r="J41" i="10"/>
  <c r="I41" i="10"/>
  <c r="H41" i="10"/>
  <c r="G41" i="10"/>
  <c r="F41" i="10"/>
  <c r="E41" i="10"/>
  <c r="D41" i="10"/>
  <c r="C41" i="10"/>
  <c r="B41" i="10"/>
  <c r="A41" i="10"/>
  <c r="Q40" i="10"/>
  <c r="P40" i="10"/>
  <c r="O40" i="10"/>
  <c r="N40" i="10"/>
  <c r="M40" i="10"/>
  <c r="L40" i="10"/>
  <c r="K40" i="10"/>
  <c r="J40" i="10"/>
  <c r="I40" i="10"/>
  <c r="H40" i="10"/>
  <c r="G40" i="10"/>
  <c r="F40" i="10"/>
  <c r="E40" i="10"/>
  <c r="D40" i="10"/>
  <c r="C40" i="10"/>
  <c r="B40" i="10"/>
  <c r="A40" i="10"/>
  <c r="Q39" i="10"/>
  <c r="P39" i="10"/>
  <c r="O39" i="10"/>
  <c r="N39" i="10"/>
  <c r="M39" i="10"/>
  <c r="L39" i="10"/>
  <c r="K39" i="10"/>
  <c r="J39" i="10"/>
  <c r="I39" i="10"/>
  <c r="H39" i="10"/>
  <c r="G39" i="10"/>
  <c r="F39" i="10"/>
  <c r="E39" i="10"/>
  <c r="D39" i="10"/>
  <c r="C39" i="10"/>
  <c r="B39" i="10"/>
  <c r="A39" i="10"/>
  <c r="Q38" i="10"/>
  <c r="P38" i="10"/>
  <c r="O38" i="10"/>
  <c r="N38" i="10"/>
  <c r="M38" i="10"/>
  <c r="L38" i="10"/>
  <c r="K38" i="10"/>
  <c r="J38" i="10"/>
  <c r="I38" i="10"/>
  <c r="H38" i="10"/>
  <c r="G38" i="10"/>
  <c r="F38" i="10"/>
  <c r="E38" i="10"/>
  <c r="D38" i="10"/>
  <c r="C38" i="10"/>
  <c r="B38" i="10"/>
  <c r="A38" i="10"/>
  <c r="Q37" i="10"/>
  <c r="P37" i="10"/>
  <c r="O37" i="10"/>
  <c r="N37" i="10"/>
  <c r="M37" i="10"/>
  <c r="L37" i="10"/>
  <c r="K37" i="10"/>
  <c r="J37" i="10"/>
  <c r="I37" i="10"/>
  <c r="H37" i="10"/>
  <c r="G37" i="10"/>
  <c r="F37" i="10"/>
  <c r="E37" i="10"/>
  <c r="D37" i="10"/>
  <c r="C37" i="10"/>
  <c r="B37" i="10"/>
  <c r="A37" i="10"/>
  <c r="Q36" i="10"/>
  <c r="P36" i="10"/>
  <c r="O36" i="10"/>
  <c r="N36" i="10"/>
  <c r="M36" i="10"/>
  <c r="L36" i="10"/>
  <c r="K36" i="10"/>
  <c r="J36" i="10"/>
  <c r="I36" i="10"/>
  <c r="H36" i="10"/>
  <c r="G36" i="10"/>
  <c r="F36" i="10"/>
  <c r="E36" i="10"/>
  <c r="D36" i="10"/>
  <c r="C36" i="10"/>
  <c r="B36" i="10"/>
  <c r="A36" i="10"/>
  <c r="Q35" i="10"/>
  <c r="P35" i="10"/>
  <c r="O35" i="10"/>
  <c r="N35" i="10"/>
  <c r="M35" i="10"/>
  <c r="L35" i="10"/>
  <c r="K35" i="10"/>
  <c r="J35" i="10"/>
  <c r="I35" i="10"/>
  <c r="H35" i="10"/>
  <c r="G35" i="10"/>
  <c r="F35" i="10"/>
  <c r="E35" i="10"/>
  <c r="D35" i="10"/>
  <c r="C35" i="10"/>
  <c r="B35" i="10"/>
  <c r="A35" i="10"/>
  <c r="Q34" i="10"/>
  <c r="P34" i="10"/>
  <c r="O34" i="10"/>
  <c r="N34" i="10"/>
  <c r="M34" i="10"/>
  <c r="L34" i="10"/>
  <c r="K34" i="10"/>
  <c r="J34" i="10"/>
  <c r="I34" i="10"/>
  <c r="H34" i="10"/>
  <c r="G34" i="10"/>
  <c r="F34" i="10"/>
  <c r="E34" i="10"/>
  <c r="D34" i="10"/>
  <c r="C34" i="10"/>
  <c r="B34" i="10"/>
  <c r="A34" i="10"/>
  <c r="Q33" i="10"/>
  <c r="P33" i="10"/>
  <c r="O33" i="10"/>
  <c r="N33" i="10"/>
  <c r="M33" i="10"/>
  <c r="L33" i="10"/>
  <c r="K33" i="10"/>
  <c r="J33" i="10"/>
  <c r="I33" i="10"/>
  <c r="H33" i="10"/>
  <c r="G33" i="10"/>
  <c r="F33" i="10"/>
  <c r="E33" i="10"/>
  <c r="D33" i="10"/>
  <c r="C33" i="10"/>
  <c r="B33" i="10"/>
  <c r="A33" i="10"/>
  <c r="Q32" i="10"/>
  <c r="P32" i="10"/>
  <c r="O32" i="10"/>
  <c r="N32" i="10"/>
  <c r="M32" i="10"/>
  <c r="L32" i="10"/>
  <c r="K32" i="10"/>
  <c r="J32" i="10"/>
  <c r="I32" i="10"/>
  <c r="H32" i="10"/>
  <c r="G32" i="10"/>
  <c r="F32" i="10"/>
  <c r="E32" i="10"/>
  <c r="D32" i="10"/>
  <c r="C32" i="10"/>
  <c r="B32" i="10"/>
  <c r="A32" i="10"/>
  <c r="Q31" i="10"/>
  <c r="P31" i="10"/>
  <c r="O31" i="10"/>
  <c r="N31" i="10"/>
  <c r="M31" i="10"/>
  <c r="L31" i="10"/>
  <c r="K31" i="10"/>
  <c r="J31" i="10"/>
  <c r="I31" i="10"/>
  <c r="H31" i="10"/>
  <c r="G31" i="10"/>
  <c r="F31" i="10"/>
  <c r="E31" i="10"/>
  <c r="D31" i="10"/>
  <c r="C31" i="10"/>
  <c r="B31" i="10"/>
  <c r="A31" i="10"/>
  <c r="Q30" i="10"/>
  <c r="P30" i="10"/>
  <c r="O30" i="10"/>
  <c r="N30" i="10"/>
  <c r="M30" i="10"/>
  <c r="L30" i="10"/>
  <c r="K30" i="10"/>
  <c r="J30" i="10"/>
  <c r="I30" i="10"/>
  <c r="H30" i="10"/>
  <c r="G30" i="10"/>
  <c r="F30" i="10"/>
  <c r="E30" i="10"/>
  <c r="D30" i="10"/>
  <c r="C30" i="10"/>
  <c r="B30" i="10"/>
  <c r="A30" i="10"/>
  <c r="Q29" i="10"/>
  <c r="P29" i="10"/>
  <c r="O29" i="10"/>
  <c r="N29" i="10"/>
  <c r="M29" i="10"/>
  <c r="L29" i="10"/>
  <c r="K29" i="10"/>
  <c r="J29" i="10"/>
  <c r="I29" i="10"/>
  <c r="H29" i="10"/>
  <c r="G29" i="10"/>
  <c r="F29" i="10"/>
  <c r="E29" i="10"/>
  <c r="D29" i="10"/>
  <c r="C29" i="10"/>
  <c r="B29" i="10"/>
  <c r="A29" i="10"/>
  <c r="Q28" i="10"/>
  <c r="P28" i="10"/>
  <c r="O28" i="10"/>
  <c r="N28" i="10"/>
  <c r="M28" i="10"/>
  <c r="L28" i="10"/>
  <c r="K28" i="10"/>
  <c r="J28" i="10"/>
  <c r="I28" i="10"/>
  <c r="H28" i="10"/>
  <c r="G28" i="10"/>
  <c r="F28" i="10"/>
  <c r="E28" i="10"/>
  <c r="D28" i="10"/>
  <c r="C28" i="10"/>
  <c r="B28" i="10"/>
  <c r="A28" i="10"/>
  <c r="Q27" i="10"/>
  <c r="P27" i="10"/>
  <c r="O27" i="10"/>
  <c r="N27" i="10"/>
  <c r="M27" i="10"/>
  <c r="L27" i="10"/>
  <c r="K27" i="10"/>
  <c r="J27" i="10"/>
  <c r="I27" i="10"/>
  <c r="H27" i="10"/>
  <c r="G27" i="10"/>
  <c r="F27" i="10"/>
  <c r="E27" i="10"/>
  <c r="D27" i="10"/>
  <c r="C27" i="10"/>
  <c r="B27" i="10"/>
  <c r="A27" i="10"/>
  <c r="Q26" i="10"/>
  <c r="P26" i="10"/>
  <c r="O26" i="10"/>
  <c r="N26" i="10"/>
  <c r="M26" i="10"/>
  <c r="L26" i="10"/>
  <c r="K26" i="10"/>
  <c r="J26" i="10"/>
  <c r="I26" i="10"/>
  <c r="H26" i="10"/>
  <c r="G26" i="10"/>
  <c r="F26" i="10"/>
  <c r="E26" i="10"/>
  <c r="D26" i="10"/>
  <c r="C26" i="10"/>
  <c r="B26" i="10"/>
  <c r="A26" i="10"/>
  <c r="Q25" i="10"/>
  <c r="P25" i="10"/>
  <c r="O25" i="10"/>
  <c r="N25" i="10"/>
  <c r="M25" i="10"/>
  <c r="L25" i="10"/>
  <c r="K25" i="10"/>
  <c r="J25" i="10"/>
  <c r="I25" i="10"/>
  <c r="H25" i="10"/>
  <c r="G25" i="10"/>
  <c r="F25" i="10"/>
  <c r="E25" i="10"/>
  <c r="D25" i="10"/>
  <c r="C25" i="10"/>
  <c r="B25" i="10"/>
  <c r="A25" i="10"/>
  <c r="Q24" i="10"/>
  <c r="P24" i="10"/>
  <c r="O24" i="10"/>
  <c r="N24" i="10"/>
  <c r="M24" i="10"/>
  <c r="L24" i="10"/>
  <c r="K24" i="10"/>
  <c r="J24" i="10"/>
  <c r="I24" i="10"/>
  <c r="H24" i="10"/>
  <c r="G24" i="10"/>
  <c r="F24" i="10"/>
  <c r="E24" i="10"/>
  <c r="D24" i="10"/>
  <c r="C24" i="10"/>
  <c r="B24" i="10"/>
  <c r="A24" i="10"/>
  <c r="Q23" i="10"/>
  <c r="P23" i="10"/>
  <c r="O23" i="10"/>
  <c r="N23" i="10"/>
  <c r="M23" i="10"/>
  <c r="L23" i="10"/>
  <c r="K23" i="10"/>
  <c r="J23" i="10"/>
  <c r="I23" i="10"/>
  <c r="H23" i="10"/>
  <c r="G23" i="10"/>
  <c r="F23" i="10"/>
  <c r="E23" i="10"/>
  <c r="D23" i="10"/>
  <c r="C23" i="10"/>
  <c r="B23" i="10"/>
  <c r="A23" i="10"/>
  <c r="Q22" i="10"/>
  <c r="P22" i="10"/>
  <c r="O22" i="10"/>
  <c r="N22" i="10"/>
  <c r="M22" i="10"/>
  <c r="L22" i="10"/>
  <c r="K22" i="10"/>
  <c r="J22" i="10"/>
  <c r="I22" i="10"/>
  <c r="H22" i="10"/>
  <c r="G22" i="10"/>
  <c r="F22" i="10"/>
  <c r="E22" i="10"/>
  <c r="D22" i="10"/>
  <c r="C22" i="10"/>
  <c r="B22" i="10"/>
  <c r="A22" i="10"/>
  <c r="Q21" i="10"/>
  <c r="P21" i="10"/>
  <c r="O21" i="10"/>
  <c r="N21" i="10"/>
  <c r="M21" i="10"/>
  <c r="L21" i="10"/>
  <c r="K21" i="10"/>
  <c r="J21" i="10"/>
  <c r="I21" i="10"/>
  <c r="H21" i="10"/>
  <c r="G21" i="10"/>
  <c r="F21" i="10"/>
  <c r="E21" i="10"/>
  <c r="D21" i="10"/>
  <c r="C21" i="10"/>
  <c r="B21" i="10"/>
  <c r="A21" i="10"/>
  <c r="Q20" i="10"/>
  <c r="P20" i="10"/>
  <c r="O20" i="10"/>
  <c r="N20" i="10"/>
  <c r="M20" i="10"/>
  <c r="L20" i="10"/>
  <c r="K20" i="10"/>
  <c r="J20" i="10"/>
  <c r="I20" i="10"/>
  <c r="H20" i="10"/>
  <c r="G20" i="10"/>
  <c r="F20" i="10"/>
  <c r="E20" i="10"/>
  <c r="D20" i="10"/>
  <c r="C20" i="10"/>
  <c r="B20" i="10"/>
  <c r="A20" i="10"/>
  <c r="Q19" i="10"/>
  <c r="P19" i="10"/>
  <c r="O19" i="10"/>
  <c r="N19" i="10"/>
  <c r="M19" i="10"/>
  <c r="L19" i="10"/>
  <c r="K19" i="10"/>
  <c r="J19" i="10"/>
  <c r="I19" i="10"/>
  <c r="H19" i="10"/>
  <c r="G19" i="10"/>
  <c r="F19" i="10"/>
  <c r="E19" i="10"/>
  <c r="D19" i="10"/>
  <c r="C19" i="10"/>
  <c r="B19" i="10"/>
  <c r="A19" i="10"/>
  <c r="Q18" i="10"/>
  <c r="P18" i="10"/>
  <c r="O18" i="10"/>
  <c r="N18" i="10"/>
  <c r="M18" i="10"/>
  <c r="L18" i="10"/>
  <c r="K18" i="10"/>
  <c r="J18" i="10"/>
  <c r="I18" i="10"/>
  <c r="H18" i="10"/>
  <c r="G18" i="10"/>
  <c r="F18" i="10"/>
  <c r="E18" i="10"/>
  <c r="D18" i="10"/>
  <c r="C18" i="10"/>
  <c r="B18" i="10"/>
  <c r="A18" i="10"/>
  <c r="Q17" i="10"/>
  <c r="P17" i="10"/>
  <c r="O17" i="10"/>
  <c r="N17" i="10"/>
  <c r="M17" i="10"/>
  <c r="L17" i="10"/>
  <c r="K17" i="10"/>
  <c r="J17" i="10"/>
  <c r="I17" i="10"/>
  <c r="H17" i="10"/>
  <c r="G17" i="10"/>
  <c r="F17" i="10"/>
  <c r="E17" i="10"/>
  <c r="D17" i="10"/>
  <c r="C17" i="10"/>
  <c r="B17" i="10"/>
  <c r="A17" i="10"/>
  <c r="Q16" i="10"/>
  <c r="P16" i="10"/>
  <c r="O16" i="10"/>
  <c r="N16" i="10"/>
  <c r="M16" i="10"/>
  <c r="L16" i="10"/>
  <c r="K16" i="10"/>
  <c r="J16" i="10"/>
  <c r="I16" i="10"/>
  <c r="H16" i="10"/>
  <c r="G16" i="10"/>
  <c r="F16" i="10"/>
  <c r="E16" i="10"/>
  <c r="D16" i="10"/>
  <c r="C16" i="10"/>
  <c r="B16" i="10"/>
  <c r="A16" i="10"/>
  <c r="Q15" i="10"/>
  <c r="P15" i="10"/>
  <c r="O15" i="10"/>
  <c r="N15" i="10"/>
  <c r="M15" i="10"/>
  <c r="L15" i="10"/>
  <c r="K15" i="10"/>
  <c r="J15" i="10"/>
  <c r="I15" i="10"/>
  <c r="H15" i="10"/>
  <c r="G15" i="10"/>
  <c r="F15" i="10"/>
  <c r="E15" i="10"/>
  <c r="D15" i="10"/>
  <c r="C15" i="10"/>
  <c r="B15" i="10"/>
  <c r="A15" i="10"/>
  <c r="Q14" i="10"/>
  <c r="P14" i="10"/>
  <c r="O14" i="10"/>
  <c r="N14" i="10"/>
  <c r="M14" i="10"/>
  <c r="L14" i="10"/>
  <c r="K14" i="10"/>
  <c r="J14" i="10"/>
  <c r="I14" i="10"/>
  <c r="H14" i="10"/>
  <c r="G14" i="10"/>
  <c r="F14" i="10"/>
  <c r="E14" i="10"/>
  <c r="D14" i="10"/>
  <c r="C14" i="10"/>
  <c r="B14" i="10"/>
  <c r="A14" i="10"/>
  <c r="Q13" i="10"/>
  <c r="P13" i="10"/>
  <c r="O13" i="10"/>
  <c r="N13" i="10"/>
  <c r="M13" i="10"/>
  <c r="L13" i="10"/>
  <c r="K13" i="10"/>
  <c r="J13" i="10"/>
  <c r="I13" i="10"/>
  <c r="H13" i="10"/>
  <c r="G13" i="10"/>
  <c r="F13" i="10"/>
  <c r="E13" i="10"/>
  <c r="D13" i="10"/>
  <c r="C13" i="10"/>
  <c r="B13" i="10"/>
  <c r="A13" i="10"/>
  <c r="Q12" i="10"/>
  <c r="P12" i="10"/>
  <c r="O12" i="10"/>
  <c r="N12" i="10"/>
  <c r="M12" i="10"/>
  <c r="L12" i="10"/>
  <c r="K12" i="10"/>
  <c r="J12" i="10"/>
  <c r="I12" i="10"/>
  <c r="H12" i="10"/>
  <c r="G12" i="10"/>
  <c r="F12" i="10"/>
  <c r="E12" i="10"/>
  <c r="D12" i="10"/>
  <c r="C12" i="10"/>
  <c r="B12" i="10"/>
  <c r="A12" i="10"/>
  <c r="Q11" i="10"/>
  <c r="P11" i="10"/>
  <c r="O11" i="10"/>
  <c r="N11" i="10"/>
  <c r="M11" i="10"/>
  <c r="L11" i="10"/>
  <c r="K11" i="10"/>
  <c r="J11" i="10"/>
  <c r="I11" i="10"/>
  <c r="H11" i="10"/>
  <c r="G11" i="10"/>
  <c r="F11" i="10"/>
  <c r="E11" i="10"/>
  <c r="D11" i="10"/>
  <c r="C11" i="10"/>
  <c r="B11" i="10"/>
  <c r="A11" i="10"/>
  <c r="Q10" i="10"/>
  <c r="P10" i="10"/>
  <c r="O10" i="10"/>
  <c r="N10" i="10"/>
  <c r="M10" i="10"/>
  <c r="L10" i="10"/>
  <c r="K10" i="10"/>
  <c r="J10" i="10"/>
  <c r="I10" i="10"/>
  <c r="H10" i="10"/>
  <c r="G10" i="10"/>
  <c r="F10" i="10"/>
  <c r="E10" i="10"/>
  <c r="D10" i="10"/>
  <c r="C10" i="10"/>
  <c r="B10" i="10"/>
  <c r="A10" i="10"/>
  <c r="Q9" i="10"/>
  <c r="P9" i="10"/>
  <c r="O9" i="10"/>
  <c r="N9" i="10"/>
  <c r="M9" i="10"/>
  <c r="L9" i="10"/>
  <c r="K9" i="10"/>
  <c r="J9" i="10"/>
  <c r="I9" i="10"/>
  <c r="P10" i="11" s="1"/>
  <c r="H9" i="10"/>
  <c r="G9" i="10"/>
  <c r="F9" i="10"/>
  <c r="E9" i="10"/>
  <c r="D9" i="10"/>
  <c r="C9" i="10"/>
  <c r="B9" i="10"/>
  <c r="A9" i="10"/>
  <c r="Q8" i="10"/>
  <c r="P8" i="10"/>
  <c r="O8" i="10"/>
  <c r="N8" i="10"/>
  <c r="M8" i="10"/>
  <c r="L8" i="10"/>
  <c r="K8" i="10"/>
  <c r="J8" i="10"/>
  <c r="I8" i="10"/>
  <c r="H8" i="10"/>
  <c r="G8" i="10"/>
  <c r="F8" i="10"/>
  <c r="E8" i="10"/>
  <c r="D8" i="10"/>
  <c r="C8" i="10"/>
  <c r="B8" i="10"/>
  <c r="Q3" i="11" s="1"/>
  <c r="A8" i="10"/>
  <c r="Q7" i="10"/>
  <c r="P7" i="10"/>
  <c r="O7" i="10"/>
  <c r="N7" i="10"/>
  <c r="M7" i="10"/>
  <c r="L7" i="10"/>
  <c r="K7" i="10"/>
  <c r="K9" i="11" s="1"/>
  <c r="J7" i="10"/>
  <c r="I7" i="10"/>
  <c r="H7" i="10"/>
  <c r="G7" i="10"/>
  <c r="F7" i="10"/>
  <c r="E7" i="10"/>
  <c r="D7" i="10"/>
  <c r="C7" i="10"/>
  <c r="C10" i="11" s="1"/>
  <c r="B7" i="10"/>
  <c r="A7" i="10"/>
  <c r="Q6" i="10"/>
  <c r="P6" i="10"/>
  <c r="O6" i="10"/>
  <c r="N6" i="10"/>
  <c r="M6" i="10"/>
  <c r="L6" i="10"/>
  <c r="K6" i="10"/>
  <c r="J6" i="10"/>
  <c r="I6" i="10"/>
  <c r="H6" i="10"/>
  <c r="G6" i="10"/>
  <c r="F6" i="10"/>
  <c r="E6" i="10"/>
  <c r="D6" i="10"/>
  <c r="C5" i="11" s="1"/>
  <c r="C6" i="10"/>
  <c r="B6" i="10"/>
  <c r="A6" i="10"/>
  <c r="Q5" i="10"/>
  <c r="P5" i="10"/>
  <c r="O5" i="10"/>
  <c r="N5" i="10"/>
  <c r="M5" i="10"/>
  <c r="M11" i="11" s="1"/>
  <c r="L5" i="10"/>
  <c r="K5" i="10"/>
  <c r="J5" i="10"/>
  <c r="I5" i="10"/>
  <c r="H5" i="10"/>
  <c r="G5" i="10"/>
  <c r="F5" i="10"/>
  <c r="E5" i="10"/>
  <c r="J6" i="11" s="1"/>
  <c r="D5" i="10"/>
  <c r="C5" i="10"/>
  <c r="B5" i="10"/>
  <c r="A5" i="10"/>
  <c r="Q4" i="10"/>
  <c r="P4" i="10"/>
  <c r="O4" i="10"/>
  <c r="N4" i="10"/>
  <c r="M4" i="10"/>
  <c r="L4" i="10"/>
  <c r="K4" i="10"/>
  <c r="J4" i="10"/>
  <c r="I4" i="10"/>
  <c r="H4" i="10"/>
  <c r="G4" i="10"/>
  <c r="F4" i="10"/>
  <c r="M7" i="11" s="1"/>
  <c r="E4" i="10"/>
  <c r="D4" i="10"/>
  <c r="C4" i="10"/>
  <c r="B4" i="10"/>
  <c r="A4" i="10"/>
  <c r="Q3" i="10"/>
  <c r="P3" i="10"/>
  <c r="O3" i="10"/>
  <c r="N3" i="10"/>
  <c r="M3" i="10"/>
  <c r="L3" i="10"/>
  <c r="K3" i="10"/>
  <c r="J3" i="10"/>
  <c r="I3" i="10"/>
  <c r="H3" i="10"/>
  <c r="G3" i="10"/>
  <c r="F3" i="10"/>
  <c r="E3" i="10"/>
  <c r="D3" i="10"/>
  <c r="C3" i="10"/>
  <c r="B3" i="10"/>
  <c r="A3" i="10"/>
  <c r="Q2" i="10"/>
  <c r="A18" i="11" s="1"/>
  <c r="P2" i="10"/>
  <c r="O2" i="10"/>
  <c r="A16" i="11" s="1"/>
  <c r="N2" i="10"/>
  <c r="A15" i="11" s="1"/>
  <c r="M2" i="10"/>
  <c r="M2" i="11" s="1"/>
  <c r="L2" i="10"/>
  <c r="K2" i="10"/>
  <c r="A12" i="11" s="1"/>
  <c r="J2" i="10"/>
  <c r="A11" i="11" s="1"/>
  <c r="I2" i="10"/>
  <c r="A10" i="11" s="1"/>
  <c r="H2" i="10"/>
  <c r="G2" i="10"/>
  <c r="F2" i="10"/>
  <c r="E2" i="10"/>
  <c r="A6" i="11" s="1"/>
  <c r="D2" i="10"/>
  <c r="C2" i="10"/>
  <c r="B2" i="10"/>
  <c r="P27" i="8"/>
  <c r="M27" i="8"/>
  <c r="L27" i="8"/>
  <c r="K27" i="8"/>
  <c r="H27" i="8"/>
  <c r="E27" i="8"/>
  <c r="B27" i="8"/>
  <c r="A27" i="8"/>
  <c r="P26" i="8"/>
  <c r="M26" i="8"/>
  <c r="L26" i="8"/>
  <c r="K26" i="8"/>
  <c r="H26" i="8"/>
  <c r="B26" i="8"/>
  <c r="A26" i="8"/>
  <c r="P25" i="8"/>
  <c r="M25" i="8"/>
  <c r="L25" i="8"/>
  <c r="K25" i="8"/>
  <c r="H25" i="8"/>
  <c r="E25" i="8"/>
  <c r="B25" i="8"/>
  <c r="A25" i="8"/>
  <c r="P24" i="8"/>
  <c r="M24" i="8"/>
  <c r="L24" i="8"/>
  <c r="K24" i="8"/>
  <c r="H24" i="8"/>
  <c r="B24" i="8"/>
  <c r="A24" i="8"/>
  <c r="P23" i="8"/>
  <c r="M23" i="8"/>
  <c r="L23" i="8"/>
  <c r="K23" i="8"/>
  <c r="H23" i="8"/>
  <c r="E23" i="8"/>
  <c r="D23" i="8"/>
  <c r="B23" i="8"/>
  <c r="A23" i="8"/>
  <c r="P22" i="8"/>
  <c r="M22" i="8"/>
  <c r="L22" i="8"/>
  <c r="K22" i="8"/>
  <c r="H22" i="8"/>
  <c r="E22" i="8"/>
  <c r="B22" i="8"/>
  <c r="A22" i="8"/>
  <c r="P21" i="8"/>
  <c r="M21" i="8"/>
  <c r="L21" i="8"/>
  <c r="K21" i="8"/>
  <c r="H21" i="8"/>
  <c r="E21" i="8"/>
  <c r="B21" i="8"/>
  <c r="A21" i="8"/>
  <c r="P20" i="8"/>
  <c r="M20" i="8"/>
  <c r="L20" i="8"/>
  <c r="K20" i="8"/>
  <c r="H20" i="8"/>
  <c r="B20" i="8"/>
  <c r="A20" i="8"/>
  <c r="P19" i="8"/>
  <c r="M19" i="8"/>
  <c r="L19" i="8"/>
  <c r="K19" i="8"/>
  <c r="H19" i="8"/>
  <c r="E19" i="8"/>
  <c r="B19" i="8"/>
  <c r="A19" i="8"/>
  <c r="P18" i="8"/>
  <c r="M18" i="8"/>
  <c r="L18" i="8"/>
  <c r="K18" i="8"/>
  <c r="H18" i="8"/>
  <c r="D18" i="8"/>
  <c r="B18" i="8"/>
  <c r="A18" i="8"/>
  <c r="P17" i="8"/>
  <c r="M17" i="8"/>
  <c r="L17" i="8"/>
  <c r="K17" i="8"/>
  <c r="H17" i="8"/>
  <c r="E17" i="8"/>
  <c r="C17" i="8"/>
  <c r="B17" i="8"/>
  <c r="A17" i="8"/>
  <c r="P16" i="8"/>
  <c r="M16" i="8"/>
  <c r="L16" i="8"/>
  <c r="K16" i="8"/>
  <c r="H16" i="8"/>
  <c r="D16" i="8"/>
  <c r="B16" i="8"/>
  <c r="A16" i="8"/>
  <c r="P15" i="8"/>
  <c r="M15" i="8"/>
  <c r="L15" i="8"/>
  <c r="K15" i="8"/>
  <c r="H15" i="8"/>
  <c r="E15" i="8"/>
  <c r="B15" i="8"/>
  <c r="A15" i="8"/>
  <c r="P14" i="8"/>
  <c r="M14" i="8"/>
  <c r="L14" i="8"/>
  <c r="K14" i="8"/>
  <c r="H14" i="8"/>
  <c r="E14" i="8"/>
  <c r="B14" i="8"/>
  <c r="A14" i="8"/>
  <c r="P13" i="8"/>
  <c r="M13" i="8"/>
  <c r="L13" i="8"/>
  <c r="K13" i="8"/>
  <c r="H13" i="8"/>
  <c r="E13" i="8"/>
  <c r="B13" i="8"/>
  <c r="A13" i="8"/>
  <c r="P12" i="8"/>
  <c r="M12" i="8"/>
  <c r="L12" i="8"/>
  <c r="K12" i="8"/>
  <c r="H12" i="8"/>
  <c r="B12" i="8"/>
  <c r="A12" i="8"/>
  <c r="P11" i="8"/>
  <c r="M11" i="8"/>
  <c r="L11" i="8"/>
  <c r="K11" i="8"/>
  <c r="H11" i="8"/>
  <c r="E11" i="8"/>
  <c r="C11" i="8"/>
  <c r="B11" i="8"/>
  <c r="A11" i="8"/>
  <c r="P10" i="8"/>
  <c r="M10" i="8"/>
  <c r="L10" i="8"/>
  <c r="K10" i="8"/>
  <c r="H10" i="8"/>
  <c r="B10" i="8"/>
  <c r="A10" i="8"/>
  <c r="P9" i="8"/>
  <c r="M9" i="8"/>
  <c r="L9" i="8"/>
  <c r="K9" i="8"/>
  <c r="H9" i="8"/>
  <c r="E9" i="8"/>
  <c r="B9" i="8"/>
  <c r="A9" i="8"/>
  <c r="P8" i="8"/>
  <c r="M8" i="8"/>
  <c r="L8" i="8"/>
  <c r="K8" i="8"/>
  <c r="H8" i="8"/>
  <c r="B8" i="8"/>
  <c r="A8" i="8"/>
  <c r="P7" i="8"/>
  <c r="M7" i="8"/>
  <c r="L7" i="8"/>
  <c r="K7" i="8"/>
  <c r="H7" i="8"/>
  <c r="E7" i="8"/>
  <c r="D7" i="8"/>
  <c r="B7" i="8"/>
  <c r="A7" i="8"/>
  <c r="P6" i="8"/>
  <c r="M6" i="8"/>
  <c r="L6" i="8"/>
  <c r="K6" i="8"/>
  <c r="H6" i="8"/>
  <c r="E6" i="8"/>
  <c r="B6" i="8"/>
  <c r="A6" i="8"/>
  <c r="P5" i="8"/>
  <c r="M5" i="8"/>
  <c r="L5" i="8"/>
  <c r="K5" i="8"/>
  <c r="H5" i="8"/>
  <c r="E5" i="8"/>
  <c r="B5" i="8"/>
  <c r="A5" i="8"/>
  <c r="P4" i="8"/>
  <c r="M4" i="8"/>
  <c r="L4" i="8"/>
  <c r="K4" i="8"/>
  <c r="H4" i="8"/>
  <c r="B4" i="8"/>
  <c r="A4" i="8"/>
  <c r="P3" i="8"/>
  <c r="M3" i="8"/>
  <c r="L3" i="8"/>
  <c r="K3" i="8"/>
  <c r="H3" i="8"/>
  <c r="E3" i="8"/>
  <c r="C3" i="8"/>
  <c r="B3" i="8"/>
  <c r="A3" i="8"/>
  <c r="AK27" i="7"/>
  <c r="J26" i="6" s="1"/>
  <c r="AJ27" i="7"/>
  <c r="I26" i="6" s="1"/>
  <c r="AI27" i="7"/>
  <c r="AF27" i="7"/>
  <c r="AE27" i="7"/>
  <c r="X27" i="7"/>
  <c r="O27" i="7"/>
  <c r="N27" i="7"/>
  <c r="D26" i="6" s="1"/>
  <c r="AK26" i="7"/>
  <c r="AJ26" i="7"/>
  <c r="I25" i="6" s="1"/>
  <c r="AI26" i="7"/>
  <c r="H25" i="6" s="1"/>
  <c r="AH26" i="7"/>
  <c r="AE26" i="7"/>
  <c r="X26" i="7"/>
  <c r="AF26" i="7" s="1"/>
  <c r="O26" i="7"/>
  <c r="N26" i="7"/>
  <c r="D25" i="6" s="1"/>
  <c r="AK25" i="7"/>
  <c r="J24" i="6" s="1"/>
  <c r="AJ25" i="7"/>
  <c r="I24" i="6" s="1"/>
  <c r="AI25" i="7"/>
  <c r="AF25" i="7"/>
  <c r="E24" i="6" s="1"/>
  <c r="AE25" i="7"/>
  <c r="X25" i="7"/>
  <c r="O25" i="7"/>
  <c r="N25" i="7"/>
  <c r="D24" i="6" s="1"/>
  <c r="AK24" i="7"/>
  <c r="AJ24" i="7"/>
  <c r="AI24" i="7"/>
  <c r="H23" i="6" s="1"/>
  <c r="AF24" i="7"/>
  <c r="AG24" i="7" s="1"/>
  <c r="C24" i="8" s="1"/>
  <c r="AE24" i="7"/>
  <c r="X24" i="7"/>
  <c r="O24" i="7"/>
  <c r="N24" i="7"/>
  <c r="AK23" i="7"/>
  <c r="J22" i="6" s="1"/>
  <c r="AJ23" i="7"/>
  <c r="AI23" i="7"/>
  <c r="AH23" i="7"/>
  <c r="G22" i="6" s="1"/>
  <c r="AE23" i="7"/>
  <c r="X23" i="7"/>
  <c r="AF23" i="7" s="1"/>
  <c r="O23" i="7"/>
  <c r="N23" i="7"/>
  <c r="AK22" i="7"/>
  <c r="AJ22" i="7"/>
  <c r="I21" i="6" s="1"/>
  <c r="AI22" i="7"/>
  <c r="AE22" i="7"/>
  <c r="AF22" i="7" s="1"/>
  <c r="X22" i="7"/>
  <c r="O22" i="7"/>
  <c r="N22" i="7"/>
  <c r="D21" i="6" s="1"/>
  <c r="AK21" i="7"/>
  <c r="J20" i="6" s="1"/>
  <c r="AJ21" i="7"/>
  <c r="AI21" i="7"/>
  <c r="AH21" i="7"/>
  <c r="D21" i="8" s="1"/>
  <c r="AG21" i="7"/>
  <c r="F20" i="6" s="1"/>
  <c r="AE21" i="7"/>
  <c r="X21" i="7"/>
  <c r="O21" i="7"/>
  <c r="AF21" i="7" s="1"/>
  <c r="E20" i="6" s="1"/>
  <c r="N21" i="7"/>
  <c r="AK20" i="7"/>
  <c r="AJ20" i="7"/>
  <c r="AI20" i="7"/>
  <c r="AE20" i="7"/>
  <c r="X20" i="7"/>
  <c r="AF20" i="7" s="1"/>
  <c r="O20" i="7"/>
  <c r="N20" i="7"/>
  <c r="AH20" i="7" s="1"/>
  <c r="D20" i="8" s="1"/>
  <c r="AK19" i="7"/>
  <c r="J18" i="6" s="1"/>
  <c r="AJ19" i="7"/>
  <c r="I18" i="6" s="1"/>
  <c r="AI19" i="7"/>
  <c r="AE19" i="7"/>
  <c r="X19" i="7"/>
  <c r="O19" i="7"/>
  <c r="AF19" i="7" s="1"/>
  <c r="AG19" i="7" s="1"/>
  <c r="F18" i="6" s="1"/>
  <c r="N19" i="7"/>
  <c r="AK18" i="7"/>
  <c r="AJ18" i="7"/>
  <c r="I17" i="6" s="1"/>
  <c r="AI18" i="7"/>
  <c r="E18" i="8" s="1"/>
  <c r="AH18" i="7"/>
  <c r="AE18" i="7"/>
  <c r="X18" i="7"/>
  <c r="AF18" i="7" s="1"/>
  <c r="O18" i="7"/>
  <c r="N18" i="7"/>
  <c r="AK17" i="7"/>
  <c r="AJ17" i="7"/>
  <c r="AI17" i="7"/>
  <c r="AF17" i="7"/>
  <c r="AG17" i="7" s="1"/>
  <c r="F16" i="6" s="1"/>
  <c r="AE17" i="7"/>
  <c r="X17" i="7"/>
  <c r="O17" i="7"/>
  <c r="N17" i="7"/>
  <c r="AH17" i="7" s="1"/>
  <c r="AK16" i="7"/>
  <c r="AJ16" i="7"/>
  <c r="AI16" i="7"/>
  <c r="E16" i="8" s="1"/>
  <c r="AH16" i="7"/>
  <c r="AF16" i="7"/>
  <c r="AE16" i="7"/>
  <c r="X16" i="7"/>
  <c r="O16" i="7"/>
  <c r="N16" i="7"/>
  <c r="D15" i="6" s="1"/>
  <c r="AK15" i="7"/>
  <c r="AJ15" i="7"/>
  <c r="AI15" i="7"/>
  <c r="AH15" i="7"/>
  <c r="AE15" i="7"/>
  <c r="X15" i="7"/>
  <c r="AF15" i="7" s="1"/>
  <c r="AG15" i="7" s="1"/>
  <c r="F14" i="6" s="1"/>
  <c r="O15" i="7"/>
  <c r="N15" i="7"/>
  <c r="AK14" i="7"/>
  <c r="AJ14" i="7"/>
  <c r="I13" i="6" s="1"/>
  <c r="AI14" i="7"/>
  <c r="AF14" i="7"/>
  <c r="AG14" i="7" s="1"/>
  <c r="C14" i="8" s="1"/>
  <c r="AE14" i="7"/>
  <c r="X14" i="7"/>
  <c r="O14" i="7"/>
  <c r="N14" i="7"/>
  <c r="D13" i="6" s="1"/>
  <c r="AK13" i="7"/>
  <c r="J12" i="6" s="1"/>
  <c r="AJ13" i="7"/>
  <c r="AI13" i="7"/>
  <c r="AH13" i="7"/>
  <c r="G12" i="6" s="1"/>
  <c r="AE13" i="7"/>
  <c r="X13" i="7"/>
  <c r="O13" i="7"/>
  <c r="AF13" i="7" s="1"/>
  <c r="N13" i="7"/>
  <c r="AK12" i="7"/>
  <c r="AJ12" i="7"/>
  <c r="I11" i="6" s="1"/>
  <c r="AI12" i="7"/>
  <c r="H11" i="6" s="1"/>
  <c r="AE12" i="7"/>
  <c r="X12" i="7"/>
  <c r="AF12" i="7" s="1"/>
  <c r="O12" i="7"/>
  <c r="N12" i="7"/>
  <c r="AH12" i="7" s="1"/>
  <c r="AK11" i="7"/>
  <c r="J10" i="6" s="1"/>
  <c r="AJ11" i="7"/>
  <c r="AI11" i="7"/>
  <c r="AF11" i="7"/>
  <c r="AG11" i="7" s="1"/>
  <c r="F10" i="6" s="1"/>
  <c r="AE11" i="7"/>
  <c r="X11" i="7"/>
  <c r="O11" i="7"/>
  <c r="N11" i="7"/>
  <c r="AH11" i="7" s="1"/>
  <c r="AK10" i="7"/>
  <c r="AJ10" i="7"/>
  <c r="I9" i="6" s="1"/>
  <c r="AI10" i="7"/>
  <c r="E10" i="8" s="1"/>
  <c r="AH10" i="7"/>
  <c r="D10" i="8" s="1"/>
  <c r="AE10" i="7"/>
  <c r="X10" i="7"/>
  <c r="AF10" i="7" s="1"/>
  <c r="O10" i="7"/>
  <c r="N10" i="7"/>
  <c r="AK9" i="7"/>
  <c r="J8" i="6" s="1"/>
  <c r="AJ9" i="7"/>
  <c r="AI9" i="7"/>
  <c r="AF9" i="7"/>
  <c r="E8" i="6" s="1"/>
  <c r="AE9" i="7"/>
  <c r="X9" i="7"/>
  <c r="O9" i="7"/>
  <c r="N9" i="7"/>
  <c r="AH9" i="7" s="1"/>
  <c r="AK8" i="7"/>
  <c r="AJ8" i="7"/>
  <c r="I7" i="6" s="1"/>
  <c r="AI8" i="7"/>
  <c r="E8" i="8" s="1"/>
  <c r="AF8" i="7"/>
  <c r="AG8" i="7" s="1"/>
  <c r="C8" i="8" s="1"/>
  <c r="AE8" i="7"/>
  <c r="X8" i="7"/>
  <c r="O8" i="7"/>
  <c r="N8" i="7"/>
  <c r="AK7" i="7"/>
  <c r="AJ7" i="7"/>
  <c r="AI7" i="7"/>
  <c r="AH7" i="7"/>
  <c r="G6" i="6" s="1"/>
  <c r="AE7" i="7"/>
  <c r="X7" i="7"/>
  <c r="AF7" i="7" s="1"/>
  <c r="AG7" i="7" s="1"/>
  <c r="F6" i="6" s="1"/>
  <c r="O7" i="7"/>
  <c r="N7" i="7"/>
  <c r="AK6" i="7"/>
  <c r="AJ6" i="7"/>
  <c r="I5" i="6" s="1"/>
  <c r="AI6" i="7"/>
  <c r="AE6" i="7"/>
  <c r="AF6" i="7" s="1"/>
  <c r="X6" i="7"/>
  <c r="O6" i="7"/>
  <c r="N6" i="7"/>
  <c r="AH6" i="7" s="1"/>
  <c r="D6" i="8" s="1"/>
  <c r="AK5" i="7"/>
  <c r="J4" i="6" s="1"/>
  <c r="AJ5" i="7"/>
  <c r="AI5" i="7"/>
  <c r="AH5" i="7"/>
  <c r="G4" i="6" s="1"/>
  <c r="AE5" i="7"/>
  <c r="X5" i="7"/>
  <c r="O5" i="7"/>
  <c r="AF5" i="7" s="1"/>
  <c r="E4" i="6" s="1"/>
  <c r="N5" i="7"/>
  <c r="AK4" i="7"/>
  <c r="AJ4" i="7"/>
  <c r="I3" i="6" s="1"/>
  <c r="AI4" i="7"/>
  <c r="AE4" i="7"/>
  <c r="X4" i="7"/>
  <c r="AF4" i="7" s="1"/>
  <c r="O4" i="7"/>
  <c r="N4" i="7"/>
  <c r="AH4" i="7" s="1"/>
  <c r="AK3" i="7"/>
  <c r="J2" i="6" s="1"/>
  <c r="AJ3" i="7"/>
  <c r="I2" i="6" s="1"/>
  <c r="AI3" i="7"/>
  <c r="AE3" i="7"/>
  <c r="X3" i="7"/>
  <c r="O3" i="7"/>
  <c r="AF3" i="7" s="1"/>
  <c r="AG3" i="7" s="1"/>
  <c r="F2" i="6" s="1"/>
  <c r="N3" i="7"/>
  <c r="H26" i="6"/>
  <c r="C26" i="6"/>
  <c r="B26" i="6"/>
  <c r="A26" i="6"/>
  <c r="J25" i="6"/>
  <c r="C25" i="6"/>
  <c r="B25" i="6"/>
  <c r="A25" i="6"/>
  <c r="H24" i="6"/>
  <c r="C24" i="6"/>
  <c r="B24" i="6"/>
  <c r="A24" i="6"/>
  <c r="J23" i="6"/>
  <c r="I23" i="6"/>
  <c r="C23" i="6"/>
  <c r="B23" i="6"/>
  <c r="A23" i="6"/>
  <c r="I22" i="6"/>
  <c r="H22" i="6"/>
  <c r="D22" i="6"/>
  <c r="C22" i="6"/>
  <c r="B22" i="6"/>
  <c r="A22" i="6"/>
  <c r="J21" i="6"/>
  <c r="H21" i="6"/>
  <c r="C21" i="6"/>
  <c r="B21" i="6"/>
  <c r="A21" i="6"/>
  <c r="I20" i="6"/>
  <c r="H20" i="6"/>
  <c r="G20" i="6"/>
  <c r="D20" i="6"/>
  <c r="C20" i="6"/>
  <c r="B20" i="6"/>
  <c r="A20" i="6"/>
  <c r="J19" i="6"/>
  <c r="I19" i="6"/>
  <c r="G19" i="6"/>
  <c r="D19" i="6"/>
  <c r="C19" i="6"/>
  <c r="B19" i="6"/>
  <c r="A19" i="6"/>
  <c r="H18" i="6"/>
  <c r="C18" i="6"/>
  <c r="B18" i="6"/>
  <c r="A18" i="6"/>
  <c r="J17" i="6"/>
  <c r="G17" i="6"/>
  <c r="D17" i="6"/>
  <c r="C17" i="6"/>
  <c r="B17" i="6"/>
  <c r="A17" i="6"/>
  <c r="J16" i="6"/>
  <c r="I16" i="6"/>
  <c r="H16" i="6"/>
  <c r="E16" i="6"/>
  <c r="D16" i="6"/>
  <c r="C16" i="6"/>
  <c r="B16" i="6"/>
  <c r="A16" i="6"/>
  <c r="J15" i="6"/>
  <c r="I15" i="6"/>
  <c r="H15" i="6"/>
  <c r="G15" i="6"/>
  <c r="C15" i="6"/>
  <c r="B15" i="6"/>
  <c r="A15" i="6"/>
  <c r="J14" i="6"/>
  <c r="I14" i="6"/>
  <c r="H14" i="6"/>
  <c r="D14" i="6"/>
  <c r="C14" i="6"/>
  <c r="B14" i="6"/>
  <c r="A14" i="6"/>
  <c r="J13" i="6"/>
  <c r="H13" i="6"/>
  <c r="C13" i="6"/>
  <c r="B13" i="6"/>
  <c r="A13" i="6"/>
  <c r="I12" i="6"/>
  <c r="H12" i="6"/>
  <c r="D12" i="6"/>
  <c r="C12" i="6"/>
  <c r="B12" i="6"/>
  <c r="A12" i="6"/>
  <c r="J11" i="6"/>
  <c r="D11" i="6"/>
  <c r="C11" i="6"/>
  <c r="B11" i="6"/>
  <c r="A11" i="6"/>
  <c r="I10" i="6"/>
  <c r="H10" i="6"/>
  <c r="E10" i="6"/>
  <c r="D10" i="6"/>
  <c r="C10" i="6"/>
  <c r="B10" i="6"/>
  <c r="A10" i="6"/>
  <c r="J9" i="6"/>
  <c r="G9" i="6"/>
  <c r="D9" i="6"/>
  <c r="C9" i="6"/>
  <c r="B9" i="6"/>
  <c r="A9" i="6"/>
  <c r="I8" i="6"/>
  <c r="H8" i="6"/>
  <c r="D8" i="6"/>
  <c r="C8" i="6"/>
  <c r="B8" i="6"/>
  <c r="A8" i="6"/>
  <c r="J7" i="6"/>
  <c r="H7" i="6"/>
  <c r="F7" i="6"/>
  <c r="C7" i="6"/>
  <c r="B7" i="6"/>
  <c r="A7" i="6"/>
  <c r="J6" i="6"/>
  <c r="I6" i="6"/>
  <c r="H6" i="6"/>
  <c r="D6" i="6"/>
  <c r="C6" i="6"/>
  <c r="B6" i="6"/>
  <c r="A6" i="6"/>
  <c r="J5" i="6"/>
  <c r="H5" i="6"/>
  <c r="C5" i="6"/>
  <c r="B5" i="6"/>
  <c r="A5" i="6"/>
  <c r="I4" i="6"/>
  <c r="H4" i="6"/>
  <c r="D4" i="6"/>
  <c r="C4" i="6"/>
  <c r="B4" i="6"/>
  <c r="A4" i="6"/>
  <c r="J3" i="6"/>
  <c r="C3" i="6"/>
  <c r="B3" i="6"/>
  <c r="A3" i="6"/>
  <c r="H2" i="6"/>
  <c r="C2" i="6"/>
  <c r="B2" i="6"/>
  <c r="A2" i="6"/>
  <c r="O42" i="4"/>
  <c r="N42" i="4"/>
  <c r="I42" i="4"/>
  <c r="O41" i="4"/>
  <c r="N41" i="4"/>
  <c r="I41" i="4"/>
  <c r="O40" i="4"/>
  <c r="N40" i="4"/>
  <c r="I40" i="4"/>
  <c r="O39" i="4"/>
  <c r="N39" i="4"/>
  <c r="I39" i="4"/>
  <c r="O38" i="4"/>
  <c r="N38" i="4"/>
  <c r="I38" i="4"/>
  <c r="O37" i="4"/>
  <c r="N37" i="4"/>
  <c r="I37" i="4"/>
  <c r="O36" i="4"/>
  <c r="N36" i="4"/>
  <c r="I36" i="4"/>
  <c r="O35" i="4"/>
  <c r="N35" i="4"/>
  <c r="I35" i="4"/>
  <c r="O34" i="4"/>
  <c r="N34" i="4"/>
  <c r="I34" i="4"/>
  <c r="O33" i="4"/>
  <c r="N33" i="4"/>
  <c r="I33" i="4"/>
  <c r="O32" i="4"/>
  <c r="N32" i="4"/>
  <c r="I32" i="4"/>
  <c r="O31" i="4"/>
  <c r="N31" i="4"/>
  <c r="I31" i="4"/>
  <c r="O30" i="4"/>
  <c r="N30" i="4"/>
  <c r="I30" i="4"/>
  <c r="O29" i="4"/>
  <c r="N29" i="4"/>
  <c r="I29" i="4"/>
  <c r="O28" i="4"/>
  <c r="N28" i="4"/>
  <c r="I28" i="4"/>
  <c r="O27" i="4"/>
  <c r="N27" i="4"/>
  <c r="I27" i="4"/>
  <c r="O26" i="4"/>
  <c r="N26" i="4"/>
  <c r="I26" i="4"/>
  <c r="O25" i="4"/>
  <c r="N25" i="4"/>
  <c r="I25" i="4"/>
  <c r="O24" i="4"/>
  <c r="N24" i="4"/>
  <c r="I24" i="4"/>
  <c r="O23" i="4"/>
  <c r="N23" i="4"/>
  <c r="I23" i="4"/>
  <c r="O22" i="4"/>
  <c r="N22" i="4"/>
  <c r="I22" i="4"/>
  <c r="O21" i="4"/>
  <c r="N21" i="4"/>
  <c r="I21" i="4"/>
  <c r="O20" i="4"/>
  <c r="N20" i="4"/>
  <c r="I20" i="4"/>
  <c r="O19" i="4"/>
  <c r="N19" i="4"/>
  <c r="I19" i="4"/>
  <c r="N18" i="4"/>
  <c r="O18" i="4" s="1"/>
  <c r="I18" i="4"/>
  <c r="N17" i="4"/>
  <c r="O17" i="4" s="1"/>
  <c r="I17" i="4"/>
  <c r="N16" i="4"/>
  <c r="I16" i="4"/>
  <c r="N15" i="4"/>
  <c r="I15" i="4"/>
  <c r="N14" i="4"/>
  <c r="O14" i="4" s="1"/>
  <c r="I14" i="4"/>
  <c r="N13" i="4"/>
  <c r="O13" i="4" s="1"/>
  <c r="I13" i="4"/>
  <c r="N12" i="4"/>
  <c r="O12" i="4" s="1"/>
  <c r="I12" i="4"/>
  <c r="N11" i="4"/>
  <c r="O11" i="4" s="1"/>
  <c r="I11" i="4"/>
  <c r="N10" i="4"/>
  <c r="O10" i="4" s="1"/>
  <c r="I10" i="4"/>
  <c r="N9" i="4"/>
  <c r="O9" i="4" s="1"/>
  <c r="I9" i="4"/>
  <c r="N8" i="4"/>
  <c r="I8" i="4"/>
  <c r="N7" i="4"/>
  <c r="I7" i="4"/>
  <c r="N6" i="4"/>
  <c r="O6" i="4" s="1"/>
  <c r="I6" i="4"/>
  <c r="N5" i="4"/>
  <c r="O5" i="4" s="1"/>
  <c r="I5" i="4"/>
  <c r="N4" i="4"/>
  <c r="O4" i="4" s="1"/>
  <c r="I4" i="4"/>
  <c r="N3" i="4"/>
  <c r="O3" i="4" s="1"/>
  <c r="I3" i="4"/>
  <c r="H38" i="3"/>
  <c r="H36" i="3"/>
  <c r="J35" i="3"/>
  <c r="I35" i="3"/>
  <c r="G35" i="3"/>
  <c r="J34" i="3"/>
  <c r="I34" i="3"/>
  <c r="G34" i="3"/>
  <c r="I33" i="3"/>
  <c r="G33" i="3"/>
  <c r="J33" i="3" s="1"/>
  <c r="J32" i="3"/>
  <c r="I32" i="3"/>
  <c r="G32" i="3"/>
  <c r="J31" i="3"/>
  <c r="G31" i="3"/>
  <c r="J30" i="3"/>
  <c r="G30" i="3"/>
  <c r="K30" i="3" s="1"/>
  <c r="G29" i="3"/>
  <c r="J28" i="3"/>
  <c r="G28" i="3"/>
  <c r="I28" i="3" s="1"/>
  <c r="J27" i="3"/>
  <c r="I27" i="3"/>
  <c r="G27" i="3"/>
  <c r="J26" i="3"/>
  <c r="I26" i="3"/>
  <c r="G26" i="3"/>
  <c r="K26" i="3" s="1"/>
  <c r="I25" i="3"/>
  <c r="G25" i="3"/>
  <c r="J25" i="3" s="1"/>
  <c r="J24" i="3"/>
  <c r="I24" i="3"/>
  <c r="G24" i="3"/>
  <c r="K23" i="3"/>
  <c r="G23" i="3"/>
  <c r="G22" i="3"/>
  <c r="K22" i="3" s="1"/>
  <c r="J21" i="3"/>
  <c r="G21" i="3"/>
  <c r="J20" i="3"/>
  <c r="G20" i="3"/>
  <c r="I20" i="3" s="1"/>
  <c r="J19" i="3"/>
  <c r="I19" i="3"/>
  <c r="G19" i="3"/>
  <c r="J18" i="3"/>
  <c r="I18" i="3"/>
  <c r="G18" i="3"/>
  <c r="I17" i="3"/>
  <c r="G17" i="3"/>
  <c r="H15" i="3"/>
  <c r="I14" i="3"/>
  <c r="G14" i="3"/>
  <c r="J14" i="3" s="1"/>
  <c r="J13" i="3"/>
  <c r="I13" i="3"/>
  <c r="G13" i="3"/>
  <c r="G12" i="3"/>
  <c r="G11" i="3"/>
  <c r="G10" i="3"/>
  <c r="L34" i="3" s="1"/>
  <c r="J9" i="3"/>
  <c r="G9" i="3"/>
  <c r="I9" i="3" s="1"/>
  <c r="J8" i="3"/>
  <c r="I8" i="3"/>
  <c r="G8" i="3"/>
  <c r="J7" i="3"/>
  <c r="I7" i="3"/>
  <c r="G7" i="3"/>
  <c r="I6" i="3"/>
  <c r="G6" i="3"/>
  <c r="J6" i="3" s="1"/>
  <c r="J5" i="3"/>
  <c r="I5" i="3"/>
  <c r="G5" i="3"/>
  <c r="G4" i="3"/>
  <c r="K4" i="3" s="1"/>
  <c r="G3" i="3"/>
  <c r="E29" i="2"/>
  <c r="E26" i="2"/>
  <c r="E24" i="2"/>
  <c r="E20" i="2"/>
  <c r="E19" i="2"/>
  <c r="E18" i="2"/>
  <c r="E11" i="2"/>
  <c r="E10" i="2"/>
  <c r="E7" i="2"/>
  <c r="E6" i="2"/>
  <c r="E5" i="2"/>
  <c r="O8" i="4" l="1"/>
  <c r="O15" i="4"/>
  <c r="O7" i="4"/>
  <c r="AG10" i="7"/>
  <c r="E9" i="6"/>
  <c r="I9" i="11"/>
  <c r="L29" i="3"/>
  <c r="K29" i="3"/>
  <c r="I29" i="3"/>
  <c r="I11" i="11"/>
  <c r="K7" i="3"/>
  <c r="K33" i="3"/>
  <c r="H6" i="11"/>
  <c r="J23" i="3"/>
  <c r="I23" i="3"/>
  <c r="L23" i="3"/>
  <c r="L25" i="3"/>
  <c r="L27" i="3"/>
  <c r="I31" i="3"/>
  <c r="L31" i="3"/>
  <c r="E14" i="6"/>
  <c r="D7" i="6"/>
  <c r="AH8" i="7"/>
  <c r="G8" i="6"/>
  <c r="D9" i="8"/>
  <c r="D11" i="8"/>
  <c r="Q11" i="8" s="1"/>
  <c r="R11" i="8" s="1"/>
  <c r="G10" i="6"/>
  <c r="G11" i="6"/>
  <c r="D12" i="8"/>
  <c r="AG13" i="7"/>
  <c r="E12" i="6"/>
  <c r="G16" i="6"/>
  <c r="D17" i="8"/>
  <c r="Q17" i="8" s="1"/>
  <c r="R17" i="8" s="1"/>
  <c r="D18" i="6"/>
  <c r="AH19" i="7"/>
  <c r="AG23" i="7"/>
  <c r="E22" i="6"/>
  <c r="AG26" i="7"/>
  <c r="E25" i="6"/>
  <c r="A9" i="11"/>
  <c r="H2" i="11"/>
  <c r="O8" i="11"/>
  <c r="F8" i="11"/>
  <c r="K8" i="11"/>
  <c r="B8" i="11"/>
  <c r="L8" i="11"/>
  <c r="G7" i="11"/>
  <c r="J8" i="11"/>
  <c r="I8" i="11"/>
  <c r="H8" i="11"/>
  <c r="G3" i="11"/>
  <c r="P8" i="11"/>
  <c r="D8" i="11"/>
  <c r="M8" i="11"/>
  <c r="N8" i="11"/>
  <c r="C8" i="11"/>
  <c r="F3" i="11"/>
  <c r="E15" i="11"/>
  <c r="N6" i="11"/>
  <c r="F14" i="11"/>
  <c r="N7" i="11"/>
  <c r="B7" i="11"/>
  <c r="F11" i="11"/>
  <c r="I7" i="11"/>
  <c r="J7" i="11"/>
  <c r="K31" i="3"/>
  <c r="E8" i="11"/>
  <c r="G3" i="6"/>
  <c r="D4" i="8"/>
  <c r="C15" i="8"/>
  <c r="N16" i="11"/>
  <c r="F16" i="11"/>
  <c r="M16" i="11"/>
  <c r="E16" i="11"/>
  <c r="L16" i="11"/>
  <c r="K16" i="11"/>
  <c r="C16" i="11"/>
  <c r="J16" i="11"/>
  <c r="B16" i="11"/>
  <c r="I16" i="11"/>
  <c r="O11" i="11"/>
  <c r="Q16" i="11"/>
  <c r="H16" i="11"/>
  <c r="P16" i="11"/>
  <c r="G16" i="11"/>
  <c r="O7" i="11"/>
  <c r="D16" i="11"/>
  <c r="O3" i="11"/>
  <c r="O6" i="11"/>
  <c r="AG22" i="7"/>
  <c r="E21" i="6"/>
  <c r="D26" i="8"/>
  <c r="G25" i="6"/>
  <c r="K5" i="3"/>
  <c r="L11" i="3"/>
  <c r="J11" i="3"/>
  <c r="I11" i="3"/>
  <c r="AG4" i="7"/>
  <c r="E3" i="6"/>
  <c r="AG16" i="7"/>
  <c r="E15" i="6"/>
  <c r="H19" i="6"/>
  <c r="E20" i="8"/>
  <c r="C7" i="8"/>
  <c r="Q7" i="8" s="1"/>
  <c r="R7" i="8" s="1"/>
  <c r="L32" i="3"/>
  <c r="L24" i="3"/>
  <c r="L13" i="3"/>
  <c r="L5" i="3"/>
  <c r="G15" i="3"/>
  <c r="K8" i="3"/>
  <c r="L3" i="3"/>
  <c r="K14" i="3"/>
  <c r="K6" i="3"/>
  <c r="J3" i="3"/>
  <c r="G38" i="3"/>
  <c r="I3" i="3"/>
  <c r="K11" i="3"/>
  <c r="L21" i="3"/>
  <c r="K21" i="3"/>
  <c r="I21" i="3"/>
  <c r="I36" i="3" s="1"/>
  <c r="L26" i="3"/>
  <c r="J29" i="3"/>
  <c r="O16" i="4"/>
  <c r="AG5" i="7"/>
  <c r="AG6" i="7"/>
  <c r="E5" i="6"/>
  <c r="J4" i="11"/>
  <c r="Q8" i="11"/>
  <c r="L7" i="3"/>
  <c r="J10" i="3"/>
  <c r="K13" i="3"/>
  <c r="K18" i="3"/>
  <c r="K34" i="3"/>
  <c r="D2" i="6"/>
  <c r="AH3" i="7"/>
  <c r="AG12" i="7"/>
  <c r="E11" i="6"/>
  <c r="AG18" i="7"/>
  <c r="E17" i="6"/>
  <c r="E26" i="6"/>
  <c r="AG27" i="7"/>
  <c r="Q15" i="11"/>
  <c r="K3" i="3"/>
  <c r="J12" i="3"/>
  <c r="I12" i="3"/>
  <c r="L12" i="3"/>
  <c r="L14" i="3"/>
  <c r="L18" i="3"/>
  <c r="K24" i="3"/>
  <c r="L30" i="3"/>
  <c r="I30" i="3"/>
  <c r="E6" i="6"/>
  <c r="E18" i="6"/>
  <c r="H3" i="6"/>
  <c r="E25" i="2"/>
  <c r="E4" i="8"/>
  <c r="C19" i="8"/>
  <c r="N4" i="11"/>
  <c r="Q12" i="11"/>
  <c r="B6" i="11"/>
  <c r="E11" i="11"/>
  <c r="E10" i="11"/>
  <c r="L10" i="3"/>
  <c r="K10" i="3"/>
  <c r="I10" i="3"/>
  <c r="L17" i="3"/>
  <c r="L19" i="3"/>
  <c r="L33" i="3"/>
  <c r="L35" i="3"/>
  <c r="AG20" i="7"/>
  <c r="E19" i="6"/>
  <c r="A17" i="11"/>
  <c r="P2" i="11"/>
  <c r="D15" i="8"/>
  <c r="G14" i="6"/>
  <c r="J4" i="3"/>
  <c r="I4" i="3"/>
  <c r="L4" i="3"/>
  <c r="L6" i="3"/>
  <c r="L8" i="3"/>
  <c r="K12" i="3"/>
  <c r="L22" i="3"/>
  <c r="J22" i="3"/>
  <c r="I22" i="3"/>
  <c r="K32" i="3"/>
  <c r="E2" i="6"/>
  <c r="G5" i="6"/>
  <c r="D23" i="6"/>
  <c r="AH24" i="7"/>
  <c r="C21" i="8"/>
  <c r="Q21" i="8" s="1"/>
  <c r="R21" i="8" s="1"/>
  <c r="I5" i="11"/>
  <c r="F4" i="11"/>
  <c r="K10" i="11"/>
  <c r="M3" i="11"/>
  <c r="O5" i="11"/>
  <c r="I13" i="11"/>
  <c r="Q13" i="11"/>
  <c r="H13" i="11"/>
  <c r="O13" i="11"/>
  <c r="F13" i="11"/>
  <c r="N13" i="11"/>
  <c r="E13" i="11"/>
  <c r="M13" i="11"/>
  <c r="D13" i="11"/>
  <c r="K13" i="11"/>
  <c r="K9" i="3"/>
  <c r="J17" i="3"/>
  <c r="K20" i="3"/>
  <c r="K28" i="3"/>
  <c r="D3" i="6"/>
  <c r="H9" i="6"/>
  <c r="H17" i="6"/>
  <c r="AG9" i="7"/>
  <c r="AH14" i="7"/>
  <c r="AG25" i="7"/>
  <c r="E12" i="8"/>
  <c r="E24" i="8"/>
  <c r="E26" i="8"/>
  <c r="Q6" i="11"/>
  <c r="I6" i="11"/>
  <c r="M6" i="11"/>
  <c r="D6" i="11"/>
  <c r="Q14" i="11"/>
  <c r="H14" i="11"/>
  <c r="P14" i="11"/>
  <c r="G14" i="11"/>
  <c r="N14" i="11"/>
  <c r="E14" i="11"/>
  <c r="L14" i="11"/>
  <c r="D14" i="11"/>
  <c r="K14" i="11"/>
  <c r="C14" i="11"/>
  <c r="J14" i="11"/>
  <c r="B14" i="11"/>
  <c r="I2" i="11"/>
  <c r="C3" i="11"/>
  <c r="N3" i="11"/>
  <c r="H4" i="11"/>
  <c r="L5" i="11"/>
  <c r="F6" i="11"/>
  <c r="P6" i="11"/>
  <c r="G9" i="11"/>
  <c r="N10" i="11"/>
  <c r="H11" i="11"/>
  <c r="G12" i="11"/>
  <c r="J13" i="11"/>
  <c r="H15" i="11"/>
  <c r="E18" i="11"/>
  <c r="G5" i="12"/>
  <c r="F5" i="12"/>
  <c r="G13" i="12"/>
  <c r="F13" i="12"/>
  <c r="G21" i="12"/>
  <c r="F21" i="12"/>
  <c r="G29" i="12"/>
  <c r="F29" i="12"/>
  <c r="G37" i="12"/>
  <c r="F37" i="12"/>
  <c r="Q4" i="11"/>
  <c r="K5" i="11"/>
  <c r="C6" i="11"/>
  <c r="F9" i="11"/>
  <c r="Q9" i="11"/>
  <c r="D12" i="11"/>
  <c r="G13" i="11"/>
  <c r="L9" i="3"/>
  <c r="K17" i="3"/>
  <c r="L20" i="3"/>
  <c r="K25" i="3"/>
  <c r="L28" i="3"/>
  <c r="E7" i="6"/>
  <c r="AH25" i="7"/>
  <c r="P7" i="11"/>
  <c r="P15" i="11"/>
  <c r="J2" i="11"/>
  <c r="E3" i="11"/>
  <c r="I4" i="11"/>
  <c r="B5" i="11"/>
  <c r="M5" i="11"/>
  <c r="G6" i="11"/>
  <c r="K7" i="11"/>
  <c r="B10" i="11"/>
  <c r="O10" i="11"/>
  <c r="H12" i="11"/>
  <c r="P13" i="11"/>
  <c r="M15" i="11"/>
  <c r="M18" i="11"/>
  <c r="G10" i="12"/>
  <c r="F10" i="12"/>
  <c r="G18" i="12"/>
  <c r="F18" i="12"/>
  <c r="G26" i="12"/>
  <c r="F26" i="12"/>
  <c r="G34" i="12"/>
  <c r="F34" i="12"/>
  <c r="G42" i="12"/>
  <c r="F42" i="12"/>
  <c r="L12" i="11"/>
  <c r="A14" i="11"/>
  <c r="G6" i="12"/>
  <c r="F6" i="12"/>
  <c r="G14" i="12"/>
  <c r="F14" i="12"/>
  <c r="G22" i="12"/>
  <c r="F22" i="12"/>
  <c r="G30" i="12"/>
  <c r="F30" i="12"/>
  <c r="G38" i="12"/>
  <c r="F38" i="12"/>
  <c r="K19" i="3"/>
  <c r="K27" i="3"/>
  <c r="K35" i="3"/>
  <c r="D5" i="8"/>
  <c r="D13" i="8"/>
  <c r="N9" i="11"/>
  <c r="E9" i="11"/>
  <c r="J9" i="11"/>
  <c r="M17" i="11"/>
  <c r="E17" i="11"/>
  <c r="L17" i="11"/>
  <c r="D17" i="11"/>
  <c r="K17" i="11"/>
  <c r="C17" i="11"/>
  <c r="J17" i="11"/>
  <c r="B17" i="11"/>
  <c r="I17" i="11"/>
  <c r="Q17" i="11"/>
  <c r="H17" i="11"/>
  <c r="O17" i="11"/>
  <c r="G17" i="11"/>
  <c r="L4" i="11"/>
  <c r="E5" i="11"/>
  <c r="P5" i="11"/>
  <c r="L9" i="11"/>
  <c r="N11" i="11"/>
  <c r="M12" i="11"/>
  <c r="G3" i="12"/>
  <c r="F3" i="12"/>
  <c r="G7" i="12"/>
  <c r="F7" i="12"/>
  <c r="G11" i="12"/>
  <c r="F11" i="12"/>
  <c r="G15" i="12"/>
  <c r="F15" i="12"/>
  <c r="G19" i="12"/>
  <c r="F19" i="12"/>
  <c r="G23" i="12"/>
  <c r="F23" i="12"/>
  <c r="G27" i="12"/>
  <c r="F27" i="12"/>
  <c r="G31" i="12"/>
  <c r="F31" i="12"/>
  <c r="G35" i="12"/>
  <c r="F35" i="12"/>
  <c r="G39" i="12"/>
  <c r="F39" i="12"/>
  <c r="D5" i="6"/>
  <c r="E23" i="6"/>
  <c r="AH22" i="7"/>
  <c r="AH27" i="7"/>
  <c r="M10" i="11"/>
  <c r="D10" i="11"/>
  <c r="L10" i="11"/>
  <c r="Q10" i="11"/>
  <c r="H10" i="11"/>
  <c r="L18" i="11"/>
  <c r="D18" i="11"/>
  <c r="K18" i="11"/>
  <c r="C18" i="11"/>
  <c r="J18" i="11"/>
  <c r="B18" i="11"/>
  <c r="I18" i="11"/>
  <c r="P18" i="11"/>
  <c r="H18" i="11"/>
  <c r="O18" i="11"/>
  <c r="G18" i="11"/>
  <c r="N18" i="11"/>
  <c r="F18" i="11"/>
  <c r="N2" i="11"/>
  <c r="I3" i="11"/>
  <c r="M4" i="11"/>
  <c r="G5" i="11"/>
  <c r="Q5" i="11"/>
  <c r="K6" i="11"/>
  <c r="D7" i="11"/>
  <c r="B9" i="11"/>
  <c r="M9" i="11"/>
  <c r="F10" i="11"/>
  <c r="Q11" i="11"/>
  <c r="I14" i="11"/>
  <c r="G8" i="12"/>
  <c r="F8" i="12"/>
  <c r="G16" i="12"/>
  <c r="F16" i="12"/>
  <c r="G24" i="12"/>
  <c r="F24" i="12"/>
  <c r="G32" i="12"/>
  <c r="F32" i="12"/>
  <c r="G40" i="12"/>
  <c r="F40" i="12"/>
  <c r="E13" i="6"/>
  <c r="F23" i="6"/>
  <c r="L3" i="11"/>
  <c r="L11" i="11"/>
  <c r="E2" i="11"/>
  <c r="J3" i="11"/>
  <c r="D4" i="11"/>
  <c r="H5" i="11"/>
  <c r="L6" i="11"/>
  <c r="E7" i="11"/>
  <c r="Q7" i="11"/>
  <c r="C9" i="11"/>
  <c r="O9" i="11"/>
  <c r="G10" i="11"/>
  <c r="D11" i="11"/>
  <c r="B13" i="11"/>
  <c r="O14" i="11"/>
  <c r="G36" i="3"/>
  <c r="F13" i="6"/>
  <c r="A5" i="11"/>
  <c r="D2" i="11"/>
  <c r="A13" i="11"/>
  <c r="L2" i="11"/>
  <c r="K4" i="11"/>
  <c r="B4" i="11"/>
  <c r="O4" i="11"/>
  <c r="G4" i="11"/>
  <c r="J12" i="11"/>
  <c r="B12" i="11"/>
  <c r="I12" i="11"/>
  <c r="P12" i="11"/>
  <c r="O12" i="11"/>
  <c r="F12" i="11"/>
  <c r="N12" i="11"/>
  <c r="E12" i="11"/>
  <c r="Q2" i="11"/>
  <c r="K3" i="11"/>
  <c r="E4" i="11"/>
  <c r="P4" i="11"/>
  <c r="D9" i="11"/>
  <c r="P9" i="11"/>
  <c r="J10" i="11"/>
  <c r="C12" i="11"/>
  <c r="C13" i="11"/>
  <c r="F17" i="11"/>
  <c r="J5" i="11"/>
  <c r="N5" i="11"/>
  <c r="F5" i="11"/>
  <c r="N17" i="11"/>
  <c r="I15" i="11"/>
  <c r="B15" i="11"/>
  <c r="J15" i="11"/>
  <c r="H3" i="11"/>
  <c r="P3" i="11"/>
  <c r="C7" i="11"/>
  <c r="L7" i="11"/>
  <c r="G11" i="11"/>
  <c r="P11" i="11"/>
  <c r="C15" i="11"/>
  <c r="K15" i="11"/>
  <c r="D15" i="11"/>
  <c r="L15" i="11"/>
  <c r="B11" i="11"/>
  <c r="K11" i="11"/>
  <c r="F15" i="11"/>
  <c r="O15" i="11"/>
  <c r="D3" i="11"/>
  <c r="H7" i="11"/>
  <c r="C11" i="11"/>
  <c r="G15" i="11"/>
  <c r="D14" i="8" l="1"/>
  <c r="Q14" i="8" s="1"/>
  <c r="R14" i="8" s="1"/>
  <c r="G13" i="6"/>
  <c r="R5" i="11"/>
  <c r="R12" i="11"/>
  <c r="R17" i="11"/>
  <c r="E14" i="2"/>
  <c r="F8" i="6"/>
  <c r="C9" i="8"/>
  <c r="Q9" i="8" s="1"/>
  <c r="R9" i="8" s="1"/>
  <c r="G23" i="6"/>
  <c r="D24" i="8"/>
  <c r="Q24" i="8" s="1"/>
  <c r="R24" i="8" s="1"/>
  <c r="F26" i="6"/>
  <c r="C27" i="8"/>
  <c r="Q27" i="8" s="1"/>
  <c r="R27" i="8" s="1"/>
  <c r="R16" i="11"/>
  <c r="E15" i="2"/>
  <c r="G7" i="6"/>
  <c r="D8" i="8"/>
  <c r="Q8" i="8" s="1"/>
  <c r="R8" i="8" s="1"/>
  <c r="R3" i="11"/>
  <c r="C6" i="8"/>
  <c r="Q6" i="8" s="1"/>
  <c r="R6" i="8" s="1"/>
  <c r="F5" i="6"/>
  <c r="Q15" i="8"/>
  <c r="R15" i="8" s="1"/>
  <c r="R7" i="11"/>
  <c r="C26" i="8"/>
  <c r="Q26" i="8" s="1"/>
  <c r="R26" i="8" s="1"/>
  <c r="F25" i="6"/>
  <c r="F12" i="6"/>
  <c r="C13" i="8"/>
  <c r="Q13" i="8" s="1"/>
  <c r="R13" i="8" s="1"/>
  <c r="R15" i="11"/>
  <c r="R18" i="11"/>
  <c r="F4" i="6"/>
  <c r="C5" i="8"/>
  <c r="Q5" i="8" s="1"/>
  <c r="R5" i="8" s="1"/>
  <c r="I15" i="3"/>
  <c r="I38" i="3"/>
  <c r="C16" i="8"/>
  <c r="Q16" i="8" s="1"/>
  <c r="R16" i="8" s="1"/>
  <c r="F15" i="6"/>
  <c r="R8" i="11"/>
  <c r="R9" i="11"/>
  <c r="R14" i="11"/>
  <c r="C20" i="8"/>
  <c r="Q20" i="8" s="1"/>
  <c r="R20" i="8" s="1"/>
  <c r="F19" i="6"/>
  <c r="C18" i="8"/>
  <c r="Q18" i="8" s="1"/>
  <c r="R18" i="8" s="1"/>
  <c r="F17" i="6"/>
  <c r="F22" i="6"/>
  <c r="C23" i="8"/>
  <c r="Q23" i="8" s="1"/>
  <c r="R23" i="8" s="1"/>
  <c r="D19" i="8"/>
  <c r="Q19" i="8" s="1"/>
  <c r="R19" i="8" s="1"/>
  <c r="G18" i="6"/>
  <c r="C10" i="8"/>
  <c r="Q10" i="8" s="1"/>
  <c r="R10" i="8" s="1"/>
  <c r="F9" i="6"/>
  <c r="R13" i="11"/>
  <c r="G26" i="6"/>
  <c r="D27" i="8"/>
  <c r="G24" i="6"/>
  <c r="D25" i="8"/>
  <c r="R6" i="11"/>
  <c r="C12" i="8"/>
  <c r="Q12" i="8" s="1"/>
  <c r="R12" i="8" s="1"/>
  <c r="F11" i="6"/>
  <c r="C4" i="8"/>
  <c r="Q4" i="8" s="1"/>
  <c r="R4" i="8" s="1"/>
  <c r="F3" i="6"/>
  <c r="C22" i="8"/>
  <c r="F21" i="6"/>
  <c r="R10" i="11"/>
  <c r="R4" i="11"/>
  <c r="R11" i="11"/>
  <c r="G21" i="6"/>
  <c r="D22" i="8"/>
  <c r="F24" i="6"/>
  <c r="C25" i="8"/>
  <c r="D3" i="8"/>
  <c r="Q3" i="8" s="1"/>
  <c r="G2" i="6"/>
  <c r="E23" i="2"/>
  <c r="R3" i="8" l="1"/>
  <c r="Q22" i="8"/>
  <c r="R22" i="8" s="1"/>
  <c r="B20" i="11"/>
  <c r="B21" i="11" s="1"/>
  <c r="Q25" i="8"/>
  <c r="R25" i="8" s="1"/>
  <c r="E28" i="2" l="1"/>
</calcChain>
</file>

<file path=xl/sharedStrings.xml><?xml version="1.0" encoding="utf-8"?>
<sst xmlns="http://schemas.openxmlformats.org/spreadsheetml/2006/main" count="829" uniqueCount="387">
  <si>
    <t>THE LANDRY FAMILY EQUITY INVESTMENT OPERATING SYSTEM — STOCK SCORING &amp; PORTFOLIO RISK WORKBOOK</t>
  </si>
  <si>
    <t>Companion workbook to Landry System v1.0. Aligned to: Version 1.0 (49 Hard Rules, Parts 1–12).</t>
  </si>
  <si>
    <t>If the Word document's rule numbers ever change in a future revision, check this line and the rule</t>
  </si>
  <si>
    <t>references throughout this workbook before relying on them.</t>
  </si>
  <si>
    <t>HOW TO USE THIS WORKBOOK</t>
  </si>
  <si>
    <t>1. Market Data tab — enter or refresh price, volume, market cap, P/E, 52-week range, and dividend</t>
  </si>
  <si>
    <t>yield for each tracked ticker. Blue cells only. See that tab's note on optional live-data refresh.</t>
  </si>
  <si>
    <t>2. Scoring tab — during a scoring session, enter each Tier 1/2/3 indicator's score (1–5) and Confidence</t>
  </si>
  <si>
    <t>tag (H/M/L) per Part 2's rubrics. The Composite Score, decision classification, and hard-rule flags</t>
  </si>
  <si>
    <t>(Rules 1–4) calculate automatically.</t>
  </si>
  <si>
    <t>3. Dashboard tab — read-only summary of every tracked stock, sortable by Composite Score.</t>
  </si>
  <si>
    <t>4. Price History / Returns (Calc) / Correlation Matrix tabs — enter monthly closing prices for up to 12</t>
  </si>
  <si>
    <t>core positions; pairwise correlation and the Rule 36 per-position violation flag calculate automatically.</t>
  </si>
  <si>
    <t>5. Portfolio Drawdown Log tab — enter portfolio value at each review date; running peak, drawdown %,</t>
  </si>
  <si>
    <t>and the Part 7 response status (Normal/Elevated/Severe/Critical) calculate automatically.</t>
  </si>
  <si>
    <t>RULE REFERENCE (Landry System v1.0)</t>
  </si>
  <si>
    <t>Rules 1–4 (Part 3) — Tier 1 floor of 3.0, mandatory review of any Tier 1 score of 1, automatic Avoid if</t>
  </si>
  <si>
    <t>two or more Tier 1 indicators score 2.0 or below, and the Strong Buy cap when two or more Tier 1</t>
  </si>
  <si>
    <t>indicators are tagged Low Confidence.</t>
  </si>
  <si>
    <t>Rule 36 (Part 7) — Correlation Cap: no position may carry pairwise correlation above 0.70 with more</t>
  </si>
  <si>
    <t>than one other holding at the same time.</t>
  </si>
  <si>
    <t>Rule 37 (Part 7) — Portfolio drawdown response levels apply automatically; only a documented Tier 1</t>
  </si>
  <si>
    <t>re-score restores normal sizing for an affected security.</t>
  </si>
  <si>
    <t>Decision thresholds (Part 3): 80–100 Strong Buy | 65–79 Buy | 50–64 Watch List | 35–49 Avoid | &lt;35 Pass.</t>
  </si>
  <si>
    <t>Drawdown response (Part 7): 0–10% Normal | 10–20% Elevated | 20–30% Severe | 30%+ Critical.</t>
  </si>
  <si>
    <t>COLOR LEGEND</t>
  </si>
  <si>
    <t>Blue text = input cell. Black text = calculated (do not overwrite). Colored fill on Decision/Status cells</t>
  </si>
  <si>
    <t>reflects the classification band.</t>
  </si>
  <si>
    <t>SCHEMA REFERENCE</t>
  </si>
  <si>
    <t>See the Schema Reference tab (last tab) for the exact column layout of every tab -- built for handoff to Claude Code or any future programmatic access.</t>
  </si>
  <si>
    <t>ACTION ITEMS — everything requiring your decision, pulled live from every other tab. Everything else in this workbook is reference; this is what to open.</t>
  </si>
  <si>
    <t>Refresh by opening the workbook (F9 recalculates); all cells below are live formulas, nothing here is typed.</t>
  </si>
  <si>
    <t>1. WATCH LIST — Rules 31-34 (see Watch List Tracker tab for detail)</t>
  </si>
  <si>
    <t>Deadlines passed (sell required within 30 days):</t>
  </si>
  <si>
    <t>Deadlines approaching (within 14 days):</t>
  </si>
  <si>
    <t>Recovered — ready to remove/reclassify:</t>
  </si>
  <si>
    <t>2. ACTIVE SELL TRIGGERS — Rules 21-30 (see Holding Monitor tab for detail)</t>
  </si>
  <si>
    <t>Holdings with action required within 30 days:</t>
  </si>
  <si>
    <t>Holdings under Hold Through (monitor only, no action):</t>
  </si>
  <si>
    <t>3. CORRELATION CAP — Rule 36 (see Correlation Matrix tab for detail)</t>
  </si>
  <si>
    <t>Rule 36 status:</t>
  </si>
  <si>
    <t>Positions exceeding cap:</t>
  </si>
  <si>
    <t>4. PORTFOLIO DRAWDOWN STATUS — Rule 37 (see Portfolio Drawdown Log tab for detail)</t>
  </si>
  <si>
    <t>Most recent recorded status:</t>
  </si>
  <si>
    <t>Most recent drawdown %:</t>
  </si>
  <si>
    <t>Required cash floor at this level:</t>
  </si>
  <si>
    <t>5. CANDIDATE SCORING FLAGS — Rules 1-4 (see Scoring tab for detail)</t>
  </si>
  <si>
    <t>Candidates failing the Tier 1 floor, 3.0 (Rule 1):</t>
  </si>
  <si>
    <t>Candidates auto-classified Avoid (Rule 3):</t>
  </si>
  <si>
    <t>Candidates flagged for mandatory Tier 1 review (Rule 2):</t>
  </si>
  <si>
    <t>Candidates capped at Buy despite Strong Buy score (Rule 4):</t>
  </si>
  <si>
    <t>6. ENTRY AUTHORIZATION — Rules 5-13 (see Entry Checklist tab for detail)</t>
  </si>
  <si>
    <t>Candidates NOT authorized to enter (failing one or more Entry Rules):</t>
  </si>
  <si>
    <t>Candidates authorized, staged at reduced size (50%, per Rules 8-9):</t>
  </si>
  <si>
    <t>Combined current positions, both accounts, as of 08/05/2026 (JT ULTRA, Fidelity) and 08/04/2026 (Self-Directed, Chase — cash sweep custodied at Schwab, swept to VMFXX for yield). Source: uploaded brokerage exports, aggregated by ticker. Update this tab at each quarterly/annual review; use it with Part 5 sizing modifiers and the Holding Monitor tab to prescribe classifications and follow-up actions.</t>
  </si>
  <si>
    <t>TAX-LOSS CARRYFORWARD (update annually)</t>
  </si>
  <si>
    <t>Account</t>
  </si>
  <si>
    <t>Ticker</t>
  </si>
  <si>
    <t>Description</t>
  </si>
  <si>
    <t>Asset Class</t>
  </si>
  <si>
    <t>Quantity</t>
  </si>
  <si>
    <t>Price ($)</t>
  </si>
  <si>
    <t>Market Value ($)</t>
  </si>
  <si>
    <t>Cost Basis ($)</t>
  </si>
  <si>
    <t>Unrealized G/L ($)</t>
  </si>
  <si>
    <t>Unrealized G/L (%)</t>
  </si>
  <si>
    <t>% of Account</t>
  </si>
  <si>
    <t>% of Combined Portfolio</t>
  </si>
  <si>
    <t>Classification / Notes (fill at review)</t>
  </si>
  <si>
    <t>Short-Term Loss Carryforward:</t>
  </si>
  <si>
    <t>JT ULTRA (Fidelity)</t>
  </si>
  <si>
    <t>ADBE</t>
  </si>
  <si>
    <t>Adobe Inc.</t>
  </si>
  <si>
    <t>Equity</t>
  </si>
  <si>
    <t>Long-Term Loss Carryforward:</t>
  </si>
  <si>
    <t>ANET</t>
  </si>
  <si>
    <t>Arista Networks</t>
  </si>
  <si>
    <t>ASML</t>
  </si>
  <si>
    <t>ASML Holding</t>
  </si>
  <si>
    <t>CRWD</t>
  </si>
  <si>
    <t>CrowdStrike Holdings</t>
  </si>
  <si>
    <t>KLAC</t>
  </si>
  <si>
    <t>KLA Corporation</t>
  </si>
  <si>
    <t>MU</t>
  </si>
  <si>
    <t>Micron Technology</t>
  </si>
  <si>
    <t>NVDA</t>
  </si>
  <si>
    <t>NVIDIA Corporation</t>
  </si>
  <si>
    <t>PLTR</t>
  </si>
  <si>
    <t>Palantir Technologies</t>
  </si>
  <si>
    <t>TSM</t>
  </si>
  <si>
    <t>Taiwan Semiconductor</t>
  </si>
  <si>
    <t>VRT</t>
  </si>
  <si>
    <t>Vertiv Holdings</t>
  </si>
  <si>
    <t>FZDXX</t>
  </si>
  <si>
    <t>Fidelity Money Market Premium</t>
  </si>
  <si>
    <t>Cash</t>
  </si>
  <si>
    <t>FZFXX</t>
  </si>
  <si>
    <t>Fidelity Core Money Market</t>
  </si>
  <si>
    <t>JT ULTRA (Fidelity) SUBTOTAL</t>
  </si>
  <si>
    <t>Self-Directed (Chase)</t>
  </si>
  <si>
    <t>VMFXX</t>
  </si>
  <si>
    <t>Vanguard Federal Money Market</t>
  </si>
  <si>
    <t>JEPQ</t>
  </si>
  <si>
    <t>JPMorgan Nasdaq Equity Premium Income ETF</t>
  </si>
  <si>
    <t>Alternative Assets</t>
  </si>
  <si>
    <t>AVUV</t>
  </si>
  <si>
    <t>Avantis US Small Cap Value ETF</t>
  </si>
  <si>
    <t>CALF</t>
  </si>
  <si>
    <t>Pacer US Small Cap Cash Cows ETF</t>
  </si>
  <si>
    <t>HELO</t>
  </si>
  <si>
    <t>JPMorgan Hedged Equity Laddered Overlay ETF</t>
  </si>
  <si>
    <t>AVGO</t>
  </si>
  <si>
    <t>Broadcom Inc.</t>
  </si>
  <si>
    <t>VRTX</t>
  </si>
  <si>
    <t>Vertex Pharmaceuticals</t>
  </si>
  <si>
    <t>HOLD -- re-scored 75.6 BUY 8/7/26; original Avoid was based on bad FCF source data, corrected</t>
  </si>
  <si>
    <t>SPMO</t>
  </si>
  <si>
    <t>Invesco S&amp;P 500 Momentum ETF</t>
  </si>
  <si>
    <t>VFLO</t>
  </si>
  <si>
    <t>Vanguard US Multifactor ETF</t>
  </si>
  <si>
    <t>PLD</t>
  </si>
  <si>
    <t>Prologis Inc.</t>
  </si>
  <si>
    <t>SFM</t>
  </si>
  <si>
    <t>Sprouts Farmers Market</t>
  </si>
  <si>
    <t>SOLD 08/07/26 -- confirmed: -65 sh, $5,601.58 proceeds. Rule 3 Avoid. Proceeds added to VMFXX (row 17).</t>
  </si>
  <si>
    <t>TSLA</t>
  </si>
  <si>
    <t>Tesla Inc.</t>
  </si>
  <si>
    <t>SOLD 08/07/26 -- confirmed: -15 sh, $4,783.25 proceeds. Rule 3 Avoid. Proceeds added to VMFXX (row 17).</t>
  </si>
  <si>
    <t>VGT</t>
  </si>
  <si>
    <t>Vanguard Information Technology ETF</t>
  </si>
  <si>
    <t>QACDS</t>
  </si>
  <si>
    <t>Schwab Cash Features (Sweep)</t>
  </si>
  <si>
    <t>ONON</t>
  </si>
  <si>
    <t>On Holding AG</t>
  </si>
  <si>
    <t>SOLD 08/07/26 -- confirmed: -100 sh, $3,764.92 proceeds. Rule 3 Avoid. Proceeds added to VMFXX (row 17).</t>
  </si>
  <si>
    <t>Self-Directed (Chase) SUBTOTAL</t>
  </si>
  <si>
    <t>COMBINED PORTFOLIO TOTAL</t>
  </si>
  <si>
    <t>NOTE: JT ULTRA's ASML/PLTR/MU quantities reflect trims already executed from the earlier rebalance session; SWAN is not currently held in this export (flagging in case that wasn't intentional). Several Self-Directed (Chase) tickers (JEPQ, AVUV, CALF, HELO, SPMO, VFLO, VGT, VRTX, PLD, SFM, ONON, TSLA) have not yet been run through the Scoring tab — that's the natural next step before classifying them.</t>
  </si>
  <si>
    <t>Recheck triggers for every name that's been scored, not just Watch List holdings. Update Current Price, Insider Activity, and Analyst Shift by hand for now (or during Claude Code automation later); Recheck Status calculates automatically from all signals together.</t>
  </si>
  <si>
    <t>Category</t>
  </si>
  <si>
    <t>Last Score
Date</t>
  </si>
  <si>
    <t>Last
Composite</t>
  </si>
  <si>
    <t>Last Tier 1
Wtd Avg</t>
  </si>
  <si>
    <t>Last
Decision</t>
  </si>
  <si>
    <t>Price at
Last Score</t>
  </si>
  <si>
    <t>Current
Price</t>
  </si>
  <si>
    <t>% Price
Change</t>
  </si>
  <si>
    <t>Next/Last
Earnings Date</t>
  </si>
  <si>
    <t>Insider
Activity? (Y/N)</t>
  </si>
  <si>
    <t>Insider Note</t>
  </si>
  <si>
    <t>Analyst
Shift? (Y/N)</t>
  </si>
  <si>
    <t>Days Since
Last Score</t>
  </si>
  <si>
    <t>Recheck Status</t>
  </si>
  <si>
    <t>Notes</t>
  </si>
  <si>
    <t>Owned</t>
  </si>
  <si>
    <t>STRONG BUY</t>
  </si>
  <si>
    <t>BUY</t>
  </si>
  <si>
    <t>Re-scored 8/7/26: original Avoid was bad source data, corrected. See Journal.</t>
  </si>
  <si>
    <t>Closed</t>
  </si>
  <si>
    <t>AVOID</t>
  </si>
  <si>
    <t>Sold 08/07/26, confirmed. No longer an active recheck target.</t>
  </si>
  <si>
    <t>Weekly closing price ($), week-ending Friday (Rule 36: weekly total returns, 24-month target, 12-month minimum, 36-month max). Enter ticker in row 2 header, prices below. Blue = input.</t>
  </si>
  <si>
    <t>Week Ending</t>
  </si>
  <si>
    <t>Ticker 14</t>
  </si>
  <si>
    <t>Ticker 15</t>
  </si>
  <si>
    <t>Ticker 16</t>
  </si>
  <si>
    <t>Company</t>
  </si>
  <si>
    <t>Date Scored</t>
  </si>
  <si>
    <t>Tier 1 Wtd Avg</t>
  </si>
  <si>
    <t>Composite Score</t>
  </si>
  <si>
    <t>Decision</t>
  </si>
  <si>
    <t>Rule 1</t>
  </si>
  <si>
    <t>Rule 2</t>
  </si>
  <si>
    <t>Rule 3</t>
  </si>
  <si>
    <t>Rule 4</t>
  </si>
  <si>
    <t>This tab mirrors the Scoring tab automatically — do not type here. You can sort this tab directly (Data &gt; Sort by Composite Score); Excel moves whole rows, so each row's links stay correct.</t>
  </si>
  <si>
    <t>TIER 1 — 70% of Decision</t>
  </si>
  <si>
    <t>TIER 2 — 25% of Decision</t>
  </si>
  <si>
    <t>TIER 3 — 5% of Decision</t>
  </si>
  <si>
    <t>RULE FLAGS (1–4)</t>
  </si>
  <si>
    <t>Date
Scored</t>
  </si>
  <si>
    <t>FCF Yield &amp;
Trend (20%)
Score</t>
  </si>
  <si>
    <t>Conf
(H/M/L)</t>
  </si>
  <si>
    <t>Rev Growth
Consist. (15%)
Score</t>
  </si>
  <si>
    <t>Moat
Quality (15%)
Score</t>
  </si>
  <si>
    <t>Rev
Visibility (10%)
Score</t>
  </si>
  <si>
    <t>FCF Margin
Trend (10%)
Score</t>
  </si>
  <si>
    <t>Tier 1
Wtd Avg
(÷0.70)</t>
  </si>
  <si>
    <t>Tier 1
Contrib.</t>
  </si>
  <si>
    <t>Mgmt Quality
&amp; Cap Alloc (8%)
Score</t>
  </si>
  <si>
    <t>ROIC vs
WACC (6%)
Score</t>
  </si>
  <si>
    <t>Rel Strength
vs SPY (3%)
Score</t>
  </si>
  <si>
    <t>Valuation
Multiples (8%)
Score</t>
  </si>
  <si>
    <t>Tier 2
Contrib.</t>
  </si>
  <si>
    <t>Technical
Trend (2%)
Score</t>
  </si>
  <si>
    <t>Analyst
Consensus (2%)
Score</t>
  </si>
  <si>
    <t>Volume &amp;
Accum. (1%)
Score</t>
  </si>
  <si>
    <t>Tier 3
Contrib.</t>
  </si>
  <si>
    <t>Composite
Score</t>
  </si>
  <si>
    <t>Rule 1
Tier1&lt;3.0</t>
  </si>
  <si>
    <t>Rule 2
Any=1</t>
  </si>
  <si>
    <t>Rule 3
2+≤2=Avoid</t>
  </si>
  <si>
    <t>Rule 4
2+Low=Cap Buy</t>
  </si>
  <si>
    <t>M</t>
  </si>
  <si>
    <t>H</t>
  </si>
  <si>
    <t>L</t>
  </si>
  <si>
    <t>Prologis Inc. (REIT-adapted)</t>
  </si>
  <si>
    <t>Taiwan Semiconductor Mfg.</t>
  </si>
  <si>
    <t>Part 4 Entry Rules (5-10, 13). Rules 5-7 pull from the Scoring tab; Rules 11-12 pull from the Implied-Return Calculator; Rules 8-9-10-13 are entered here. Keep this tab's row order matching Scoring/Dashboard/Implied-Return Calculator for the same stock (row 3 = same stock across all four).</t>
  </si>
  <si>
    <t>Rule 5
Composite
≥65?</t>
  </si>
  <si>
    <t>Rule 6
Tier1
≥3.0?</t>
  </si>
  <si>
    <t>Rule 7
No Tier1
=1?</t>
  </si>
  <si>
    <t>Rule 8
Above/reclaimed
200-wk MA?
(Y/N)</t>
  </si>
  <si>
    <t>Rule 9
Monthly MACD
positive/turning?
(Y/N)</t>
  </si>
  <si>
    <t>Staging
Result
(Rules 8-9)</t>
  </si>
  <si>
    <t>Rule 10
Binary event
risk present?
(Y/N)</t>
  </si>
  <si>
    <t>Risk included
in thesis?
(Y/N)</t>
  </si>
  <si>
    <t>Rule 10
Result</t>
  </si>
  <si>
    <t>Rule 11
Bear Case
≥0%?</t>
  </si>
  <si>
    <t>Rule 12
Scenario tags
OK?</t>
  </si>
  <si>
    <t>P/FCF
(current)</t>
  </si>
  <si>
    <t>Consensus FCF
growth, 2-yr
annualized</t>
  </si>
  <si>
    <t>Rule 13
Valuation
Ceiling</t>
  </si>
  <si>
    <t>ENTRY
AUTHORIZED?</t>
  </si>
  <si>
    <t>Recommended Action</t>
  </si>
  <si>
    <t>Market Data — manual entry (blue cells). See note below on optional live refresh.</t>
  </si>
  <si>
    <t>Volume</t>
  </si>
  <si>
    <t>Market Cap ($M)</t>
  </si>
  <si>
    <t>P/E</t>
  </si>
  <si>
    <t>52-Wk Low</t>
  </si>
  <si>
    <t>52-Wk High</t>
  </si>
  <si>
    <t>Div Yield (%)</t>
  </si>
  <si>
    <t>OPTIONAL LIVE REFRESH: Excel's built-in Stocks data type can auto-populate price, market cap, P/E, and</t>
  </si>
  <si>
    <t>52-week range for a ticker you've converted to that data type (Data tab &gt; Stocks, or type the ticker and</t>
  </si>
  <si>
    <t>use the data-type icon that appears). That feature depends on your Microsoft 365 subscription and an</t>
  </si>
  <si>
    <t>active internet connection, so it isn't pre-built into this sheet — set it up once per ticker if you want it,</t>
  </si>
  <si>
    <t>referencing cells like =A3.Price. Otherwise, enter values manually from Yahoo Finance, Google Finance,</t>
  </si>
  <si>
    <t>or your preferred source at each review.</t>
  </si>
  <si>
    <t>Weekly return, calculated from Price History. Do not edit — formulas only.</t>
  </si>
  <si>
    <t>Pairwise correlation of weekly returns, 12-36 month window (Rule 36, Part 7). Recalculate quarterly.</t>
  </si>
  <si>
    <t>Positions &gt;0.70 with</t>
  </si>
  <si>
    <t>Positions exceeding cap (correlated &gt;0.70 with 2+ other holdings):</t>
  </si>
  <si>
    <t>Rule 36 status (no position may exceed 0.70 with more than one other holding):</t>
  </si>
  <si>
    <t>Portfolio-level drawdown tracking (Part 7, Rules 36-37). Enter Date and Portfolio Value; all other columns calculate automatically.</t>
  </si>
  <si>
    <t>Date</t>
  </si>
  <si>
    <t>Portfolio Value ($)</t>
  </si>
  <si>
    <t>Running Peak ($)</t>
  </si>
  <si>
    <t>Drawdown %</t>
  </si>
  <si>
    <t>Status</t>
  </si>
  <si>
    <t>Required Cash Floor</t>
  </si>
  <si>
    <t>New Position Initiation</t>
  </si>
  <si>
    <t>Tracks every holding in Probationary Hold (50-64) or Exit Review (35-49) per Part 6. The 90-day deadline and its consequence are calculated automatically — this tab is what makes Rules 31-34 enforceable rather than a manual judgment call.</t>
  </si>
  <si>
    <t>Status
(Probationary/
Exit Review)</t>
  </si>
  <si>
    <t>Entry Date
(band entered)</t>
  </si>
  <si>
    <t>Entry
Score</t>
  </si>
  <si>
    <t>Current
Score</t>
  </si>
  <si>
    <t>Current Score
Date</t>
  </si>
  <si>
    <t>Credible
Remediation Plan?
(Y/N)</t>
  </si>
  <si>
    <t>90-Day
Deadline</t>
  </si>
  <si>
    <t>Days
Remaining</t>
  </si>
  <si>
    <t>Action Status</t>
  </si>
  <si>
    <t>Remediation Plan Notes</t>
  </si>
  <si>
    <t>Standardized Implied-Return Methodology (Rule 11, Part 4): Expected annualized return = [(Year-5 equity value + cumulative distributions) ÷ current equity value]^(1/5) − 1. Run Base, Bear, and Bull cases together (Rule 12) — exactly one gets the Likely tag.</t>
  </si>
  <si>
    <t>BASE CASE</t>
  </si>
  <si>
    <t>BEAR CASE</t>
  </si>
  <si>
    <t>BULL CASE</t>
  </si>
  <si>
    <t>RULE 11 / 12 CHECKS</t>
  </si>
  <si>
    <t>Current
Price ($)</t>
  </si>
  <si>
    <t>Yr-5 FCF
/sh ($)</t>
  </si>
  <si>
    <t>Terminal
P/FCF</t>
  </si>
  <si>
    <t>Cum.
Distrib/sh</t>
  </si>
  <si>
    <t>Implied
Annual Return</t>
  </si>
  <si>
    <t>Tag (L/P/U)</t>
  </si>
  <si>
    <t>Base&gt;10%?</t>
  </si>
  <si>
    <t>Bear≥0%?</t>
  </si>
  <si>
    <t>Exactly 1
Likely?</t>
  </si>
  <si>
    <t>For positions actually held (not screening candidates). Tracks Part 6's ten sell triggers (Rules 21-30). Enter this-period and prior-period Tier 1 sub-scores to auto-detect the 'two consecutive periods' fundamental triggers; enter current valuation/position metrics for the rest. Any trigger firing without a Hold Through condition applying requires action within 30 days.</t>
  </si>
  <si>
    <t>FUNDAMENTAL TRIGGERS (Rules 21-25) — flags if declined 2 consecutive periods</t>
  </si>
  <si>
    <t>VALUATION / SIZING TRIGGERS (Rules 26-30)</t>
  </si>
  <si>
    <t>Position Pct</t>
  </si>
  <si>
    <t>Max Full Pct</t>
  </si>
  <si>
    <t>FCF Yield
Prior</t>
  </si>
  <si>
    <t>FCF Yield
Current</t>
  </si>
  <si>
    <t>Flag</t>
  </si>
  <si>
    <t>Moat
Prior</t>
  </si>
  <si>
    <t>Moat
Current</t>
  </si>
  <si>
    <t>ROIC-WACC
Spread
Prior</t>
  </si>
  <si>
    <t>ROIC-WACC
Spread
Current</t>
  </si>
  <si>
    <t>Mgmt
Quality
Prior</t>
  </si>
  <si>
    <t>Mgmt
Quality
Current</t>
  </si>
  <si>
    <t>Rev Growth
Prior</t>
  </si>
  <si>
    <t>Rev Growth
Current</t>
  </si>
  <si>
    <t>Debt/FCF
(&gt;6x=trigger)</t>
  </si>
  <si>
    <t>P/FCF
(&gt;50x+gr&lt;15%)</t>
  </si>
  <si>
    <t>FCF Growth
%</t>
  </si>
  <si>
    <t>Implied Return
(&lt;7%=trigger)</t>
  </si>
  <si>
    <t>Current
Tier</t>
  </si>
  <si>
    <t>Prior
Tier</t>
  </si>
  <si>
    <t>Valuation
Flags</t>
  </si>
  <si>
    <t>Hold Through
Applies? (Y/N)</t>
  </si>
  <si>
    <t>Every initiated position from entry date forward, per Part 9 — including still-held positions, not only exited ones (avoids the exit-only selection bias the System was specifically built to prevent). Feeds the Rule-46 cohort review once 10+ entries in a decision band reach five years.</t>
  </si>
  <si>
    <t>Entry
Date</t>
  </si>
  <si>
    <t>Entry
Price</t>
  </si>
  <si>
    <t>Entry
Confidence</t>
  </si>
  <si>
    <t>Entry
Decision Band</t>
  </si>
  <si>
    <t>SPY Price
at Entry</t>
  </si>
  <si>
    <t>Status
(Held/Exited)</t>
  </si>
  <si>
    <t>Exit
Date</t>
  </si>
  <si>
    <t>Exit
Price</t>
  </si>
  <si>
    <t>Exit
Reason</t>
  </si>
  <si>
    <t>Current/
Exit Price</t>
  </si>
  <si>
    <t>SPY Price
(current/exit)</t>
  </si>
  <si>
    <t>Total Return
Since Entry</t>
  </si>
  <si>
    <t>SPY Return
Same Period</t>
  </si>
  <si>
    <t>Excess
Return</t>
  </si>
  <si>
    <t>Total Return Since Entry is a simple price return (excludes dividends unless you fold them into Current/Exit Price manually). At each annual review, snapshot the return here rather than trying to back-calculate historical 1/3/5-year prices Excel doesn't have.</t>
  </si>
  <si>
    <t>Freeform notes log — no required structure or length. Date and Ticker are there so you can sort or filter (Data &gt; Filter, or click the column dropdown arrows) by symbol or date range. Leave Ticker blank for portfolio-level or general notes.</t>
  </si>
  <si>
    <t>Sold -- Rule 3 Avoid (same-store sales growth collapsed 11.5%-&gt;1.6% YoY, FCF margin compressed), small gain, no credible remediation path identified.</t>
  </si>
  <si>
    <t>Sold -- Rule 3 Avoid confirmed on 2nd consecutive scoring pass. FCF negative funding AI/robotics capex; not the profile this System rewards. Small gain.</t>
  </si>
  <si>
    <t>Sold -- small position, clearing the deck rather than carrying a Tier 1 Avoid. Small gain, FCF trend declining despite strong revenue growth.</t>
  </si>
  <si>
    <t>RE-SCORED, NOT sold. Original Avoid call (8/6/26) was based on unreliable FCF data from MacroTrends. Reconstructed actual cash-flow-statement FCF: $3.19B (2024), $3.71B (2025), growing, ~31% margin -- 2023 was a one-year dip, not a trend. Corrected Composite = 75.6, BUY. Holding.</t>
  </si>
  <si>
    <t>SFM,TSLA,ONON</t>
  </si>
  <si>
    <t>Sells confirmed executed. Removed from Current Positions (qty/cost basis zeroed) and Monitor &amp; Recheck Triggers (marked Closed). Sale proceeds shown as estimates using last known market price -- true up cash balances with next fresh account export.</t>
  </si>
  <si>
    <t>Confirmed actual proceeds: ONON -100sh $3,764.92 | SFM -65sh $5,601.58 | TSLA -15sh $4,783.25. Total $14,149.75 added to VMFXX. Combined portfolio now $700,739.19.</t>
  </si>
  <si>
    <t>SCHEMA REFERENCE — for future programmatic access (Claude Code or otherwise)</t>
  </si>
  <si>
    <t>Every tab's structure documented in one place, so an agent reading this workbook doesn't have to reverse-engineer it. Tabs marked 'Table' below are registered Excel Tables (structured references, e.g. =CurrentPositionsTable[Ticker] work directly). Tabs marked 'Fixed range' have stable column positions but a merged multi-row header, so address by column letter + row number instead.</t>
  </si>
  <si>
    <t>Instructions</t>
  </si>
  <si>
    <t>Structure Type</t>
  </si>
  <si>
    <t>Table/Range Name</t>
  </si>
  <si>
    <t>Data Rows</t>
  </si>
  <si>
    <t>Key Reference</t>
  </si>
  <si>
    <t>Reference text (no data)</t>
  </si>
  <si>
    <t>n/a</t>
  </si>
  <si>
    <t>How-to and rule reference. No structured data.</t>
  </si>
  <si>
    <t>Action Items</t>
  </si>
  <si>
    <t>Formulas pulling from other tabs</t>
  </si>
  <si>
    <t>Rows 4-31, sections by row</t>
  </si>
  <si>
    <t>Read-only summary; do not write here, it recalculates from source tabs.</t>
  </si>
  <si>
    <t>Scoring</t>
  </si>
  <si>
    <t>Fixed range, 2-row merged header</t>
  </si>
  <si>
    <t>n/a (not a Table -- Tier1/2/3 group headers span multiple columns in row 1)</t>
  </si>
  <si>
    <t>Rows 3-27, cols A-AK</t>
  </si>
  <si>
    <t>Column map: A=Ticker,B=Company,C=Date. D-M=Tier1 (5 indicators x [Score,Conf]). N=Tier1WtdAvg,O=Tier1Contrib. P-W=Tier2 (4 x [Score,Conf]). X=Tier2Contrib. Y-AD=Tier3 (3 x [Score,Conf]). AE=Tier3Contrib. AF=Composite,AG=Decision. AH=Rule1,AI=Rule2,AJ=Rule3,AK=Rule4 flags.</t>
  </si>
  <si>
    <t>Market Data</t>
  </si>
  <si>
    <t>Fixed range, single header</t>
  </si>
  <si>
    <t>Rows 3-27, cols A-I</t>
  </si>
  <si>
    <t>A=Ticker,B=Company,C=Price,D=Volume,E=MarketCap,F=P/E,G=52wkLow,H=52wkHigh,I=DivYield. Manual entry.</t>
  </si>
  <si>
    <t>Current Positions</t>
  </si>
  <si>
    <t>Table</t>
  </si>
  <si>
    <t>CurrentPositionsTable</t>
  </si>
  <si>
    <t>A2:M40 (JT ULTRA rows 3-14, Schwab rows 17-35; subtotal/total rows outside table range)</t>
  </si>
  <si>
    <t>A=Account,B=Ticker,C=Description,D=AssetClass,E=Quantity,F=Price,G=MarketValue,H=CostBasis,I=UnrealizedGL$,J=UnrealizedGL%,K=%ofAccount,L=%ofCombined,M=Classification. Tax-loss carryforward reference cells at O2/P2 (Short-term), O3/P3 (Long-term) -- outside the table.</t>
  </si>
  <si>
    <t>Monitor &amp; Recheck Triggers</t>
  </si>
  <si>
    <t>MonitorTable</t>
  </si>
  <si>
    <t>A2:P42</t>
  </si>
  <si>
    <t>A=Ticker,B=Category,C=LastScoreDate,D=LastComposite,E=LastT1WtdAvg,F=LastDecision,G=PriceAtLastScore,H=CurrentPrice,I=%PriceChange,J=EarningsDate,K=InsiderY/N,L=InsiderNote,M=AnalystShiftY/N,N=DaysSinceScore,O=RecheckStatus,P=Notes. Category values: Owned / Owned - Tier1 AVOID / Watch List / Tier-1 Avoid (external) / Near-Miss.</t>
  </si>
  <si>
    <t>Watch List Tracker</t>
  </si>
  <si>
    <t>WatchListTable</t>
  </si>
  <si>
    <t>A2:L22</t>
  </si>
  <si>
    <t>A=Ticker,B=Company,C=Status,D=EntryDate,E=EntryScore,F=CurrentScore,G=CurrentScoreDate,H=CredibleRemediationPlan(Y/N),I=90DayDeadline,J=DaysRemaining,K=ActionStatus,L=Notes.</t>
  </si>
  <si>
    <t>Implied-Return Calculator</t>
  </si>
  <si>
    <t>n/a (Base/Bear/Bull scenario groups span multiple columns in row 2)</t>
  </si>
  <si>
    <t>Rows 4-23, cols A-U</t>
  </si>
  <si>
    <t>A=Ticker,B=Company,C=Price. D-H=Base[FCF5,Mult,Dist,Return,Tag]. I-M=Bear[same]. N-R=Bull[same]. S=Base&gt;10%check,T=Bear&gt;=0%check,U=ExactlyOneLikelyCheck. Referenced by Entry Checklist with a +1 row offset (Entry Checklist row 3 = this tab's row 4, same ticker).</t>
  </si>
  <si>
    <t>Holding Monitor</t>
  </si>
  <si>
    <t>n/a (Fundamental-trigger group header spans multiple columns in row 2)</t>
  </si>
  <si>
    <t>Rows 4-23, cols A-AB</t>
  </si>
  <si>
    <t>A=Ticker,B=Company,C=PositionPct,D=MaxFullPct. E-S=5 fundamental indicators x [Prior,Current,Flag]. T=Debt/FCF,U=P/FCF,V=FCFGrowth,W=ImpliedReturn,X=CurrentTier,Y=PriorTier,Z=ValuationFlags,AA=HoldThroughY/N,AB=ActionStatus.</t>
  </si>
  <si>
    <t>Performance Tracking</t>
  </si>
  <si>
    <t>PerformanceTrackingTable</t>
  </si>
  <si>
    <t>A2:Q34</t>
  </si>
  <si>
    <t>A=Ticker,B=Company,C=EntryDate,D=EntryPrice,E=EntryScore,F=EntryConfidence,G=EntryBand,H=SPYatEntry,I=Status,J=ExitDate,K=ExitPrice,L=ExitReason,M=CurrentOrExitPrice,N=SPYcurrentOrExit,O=TotalReturn,P=SPYReturnSamePeriod,Q=ExcessReturn.</t>
  </si>
  <si>
    <t>Price History</t>
  </si>
  <si>
    <t>Rows 3-162, cols A-Q (16 tickers)</t>
  </si>
  <si>
    <t>A=Week Ending, B-Q=up to 16 ticker columns. Weekly closes, week-ending Friday (Rule 36). 24-month target ~104 rows, 12-month minimum ~52 rows, 36-month max ~156 rows. Manual entry.</t>
  </si>
  <si>
    <t>Returns (Calc)</t>
  </si>
  <si>
    <t>Fixed range, formula-derived</t>
  </si>
  <si>
    <t>Rows 3-161, cols A-Q</t>
  </si>
  <si>
    <t>Mirrors Price History layout; all cells are formulas computing week-over-week % return. Do not edit directly.</t>
  </si>
  <si>
    <t>Correlation Matrix</t>
  </si>
  <si>
    <t>Fixed range, formula-derived headers</t>
  </si>
  <si>
    <t>Rows 3-18, cols A-Q</t>
  </si>
  <si>
    <t>16x16 grid. Row 2 headers pull ticker names live from Returns (Calc) row 2 -- headers are blank until Price History is populated, which is why this was not converted to a Table. B20=violation count, B21=Rule 36 status (OK / REVIEW REQUIRED).</t>
  </si>
  <si>
    <t>Journal</t>
  </si>
  <si>
    <t>JournalTable</t>
  </si>
  <si>
    <t>A2:C302</t>
  </si>
  <si>
    <t>A=Date,B=Ticker,C=Notes. Freeform; filter/sort via the Table's built-in header dropdowns.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</si>
</sst>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
    <numFmt numFmtId="166" formatCode="\$#,##0.00"/>
    <numFmt numFmtId="167" formatCode="yyyy\-mm\-dd"/>
    <numFmt numFmtId="168" formatCode="mm/dd/yyyy"/>
    <numFmt numFmtId="169" formatCode="0.0"/>
    <numFmt numFmtId="170" formatCode="0.0\x"/>
  </numFmts>
  <fonts count="22" x14ac:knownFonts="1">
    <font>
      <sz val="11"/>
      <color theme="1"/>
      <name val="Calibri"/>
      <family val="2"/>
      <charset val="1"/>
    </font>
    <font>
      <b/>
      <sz val="13"/>
      <color rgb="FF1F3864"/>
      <name val="Arial"/>
      <family val="2"/>
    </font>
    <font>
      <sz val="9"/>
      <color rgb="FF000000"/>
      <name val="Arial"/>
      <family val="2"/>
    </font>
    <font>
      <i/>
      <sz val="9"/>
      <color rgb="FF000000"/>
      <name val="Arial"/>
      <family val="2"/>
    </font>
    <font>
      <b/>
      <sz val="10"/>
      <color rgb="FF1F3864"/>
      <name val="Arial"/>
      <family val="2"/>
    </font>
    <font>
      <sz val="9"/>
      <name val="Arial"/>
      <family val="2"/>
    </font>
    <font>
      <b/>
      <sz val="12"/>
      <color rgb="FF1F3864"/>
      <name val="Arial"/>
      <family val="2"/>
    </font>
    <font>
      <i/>
      <sz val="9"/>
      <color rgb="FF808080"/>
      <name val="Arial"/>
      <family val="2"/>
    </font>
    <font>
      <b/>
      <sz val="11"/>
      <color rgb="FFFFFFFF"/>
      <name val="Arial"/>
      <family val="2"/>
    </font>
    <font>
      <b/>
      <sz val="10"/>
      <color rgb="FF000000"/>
      <name val="Arial"/>
      <family val="2"/>
    </font>
    <font>
      <b/>
      <sz val="9"/>
      <color rgb="FFFFFFFF"/>
      <name val="Arial"/>
      <family val="2"/>
    </font>
    <font>
      <b/>
      <sz val="8"/>
      <color rgb="FFFFFFFF"/>
      <name val="Arial"/>
      <family val="2"/>
    </font>
    <font>
      <b/>
      <sz val="8"/>
      <color rgb="FF000000"/>
      <name val="Arial"/>
      <family val="2"/>
    </font>
    <font>
      <sz val="9"/>
      <color rgb="FF0000FF"/>
      <name val="Arial"/>
      <family val="2"/>
    </font>
    <font>
      <sz val="8"/>
      <color rgb="FF000000"/>
      <name val="Arial"/>
      <family val="2"/>
    </font>
    <font>
      <sz val="8"/>
      <color rgb="FF0000FF"/>
      <name val="Arial"/>
      <family val="2"/>
    </font>
    <font>
      <b/>
      <sz val="8"/>
      <color rgb="FF1F3864"/>
      <name val="Arial"/>
      <family val="2"/>
    </font>
    <font>
      <i/>
      <sz val="8"/>
      <color rgb="FF808080"/>
      <name val="Arial"/>
      <family val="2"/>
    </font>
    <font>
      <b/>
      <sz val="9"/>
      <color rgb="FF000000"/>
      <name val="Arial"/>
      <family val="2"/>
    </font>
    <font>
      <i/>
      <sz val="10"/>
      <color rgb="FF000000"/>
      <name val="Arial"/>
      <family val="2"/>
    </font>
    <font>
      <b/>
      <sz val="9"/>
      <color rgb="FF1F3864"/>
      <name val="Arial"/>
      <family val="2"/>
    </font>
    <font>
      <b/>
      <sz val="10"/>
      <color rgb="FFFFFFFF"/>
      <name val="Arial"/>
      <family val="2"/>
    </font>
  </fonts>
  <fills count="8">
    <fill>
      <patternFill patternType="none"/>
    </fill>
    <fill>
      <patternFill patternType="gray125"/>
    </fill>
    <fill>
      <patternFill patternType="solid">
        <fgColor rgb="FF2E5090"/>
        <bgColor rgb="FF1F3864"/>
      </patternFill>
    </fill>
    <fill>
      <patternFill patternType="solid">
        <fgColor rgb="FF1F3864"/>
        <bgColor rgb="FF2E5090"/>
      </patternFill>
    </fill>
    <fill>
      <patternFill patternType="solid">
        <fgColor rgb="FFDCE6F1"/>
        <bgColor rgb="FFE2EFDA"/>
      </patternFill>
    </fill>
    <fill>
      <patternFill patternType="solid">
        <fgColor rgb="FF833C0C"/>
        <bgColor rgb="FF632423"/>
      </patternFill>
    </fill>
    <fill>
      <patternFill patternType="solid">
        <fgColor rgb="FF375623"/>
        <bgColor rgb="FF006100"/>
      </patternFill>
    </fill>
    <fill>
      <patternFill patternType="solid">
        <fgColor rgb="FF632423"/>
        <bgColor rgb="FF833C0C"/>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79">
    <xf numFmtId="0" fontId="0" fillId="0" borderId="0" xfId="0"/>
    <xf numFmtId="0" fontId="19" fillId="0" borderId="0" xfId="0" applyFont="1"/>
    <xf numFmtId="0" fontId="10" fillId="5"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7" fillId="0" borderId="0" xfId="0" applyFont="1"/>
    <xf numFmtId="0" fontId="17" fillId="0" borderId="0" xfId="0" applyFont="1" applyAlignment="1">
      <alignment wrapText="1"/>
    </xf>
    <xf numFmtId="0" fontId="10" fillId="3" borderId="1" xfId="0" applyFont="1" applyFill="1" applyBorder="1" applyAlignment="1">
      <alignment horizontal="center" vertical="center"/>
    </xf>
    <xf numFmtId="0" fontId="3" fillId="0" borderId="0" xfId="0" applyFont="1"/>
    <xf numFmtId="164" fontId="9" fillId="0" borderId="1" xfId="0" applyNumberFormat="1" applyFont="1" applyBorder="1" applyAlignment="1">
      <alignment horizontal="center" vertical="center"/>
    </xf>
    <xf numFmtId="1"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2" fillId="0" borderId="0" xfId="0" applyFont="1" applyAlignment="1">
      <alignment horizontal="left" vertical="center"/>
    </xf>
    <xf numFmtId="0" fontId="8" fillId="2" borderId="0" xfId="0" applyFont="1" applyFill="1"/>
    <xf numFmtId="0" fontId="7" fillId="0" borderId="0" xfId="0" applyFont="1"/>
    <xf numFmtId="0" fontId="6" fillId="0" borderId="0" xfId="0" applyFont="1"/>
    <xf numFmtId="0" fontId="1" fillId="0" borderId="0" xfId="0"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5" fillId="0" borderId="0" xfId="0" applyFont="1"/>
    <xf numFmtId="0" fontId="10"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2" fillId="0" borderId="1" xfId="0" applyFont="1" applyBorder="1" applyAlignment="1">
      <alignment horizontal="right" vertical="center"/>
    </xf>
    <xf numFmtId="165" fontId="13" fillId="0" borderId="1" xfId="0" applyNumberFormat="1" applyFont="1" applyBorder="1" applyAlignment="1">
      <alignment horizontal="center" vertical="center"/>
    </xf>
    <xf numFmtId="0" fontId="14" fillId="0" borderId="1" xfId="0" applyFont="1" applyBorder="1" applyAlignment="1">
      <alignment horizontal="left" vertical="center"/>
    </xf>
    <xf numFmtId="0" fontId="14" fillId="0" borderId="1" xfId="0" applyFont="1" applyBorder="1" applyAlignment="1">
      <alignment horizontal="center" vertical="center"/>
    </xf>
    <xf numFmtId="166" fontId="12" fillId="0" borderId="1" xfId="0" applyNumberFormat="1" applyFont="1" applyBorder="1" applyAlignment="1">
      <alignment horizontal="center" vertical="center"/>
    </xf>
    <xf numFmtId="166" fontId="14" fillId="0" borderId="1" xfId="0" applyNumberFormat="1" applyFont="1" applyBorder="1" applyAlignment="1">
      <alignment horizontal="center" vertical="center"/>
    </xf>
    <xf numFmtId="164" fontId="14" fillId="0" borderId="1" xfId="0" applyNumberFormat="1" applyFont="1" applyBorder="1" applyAlignment="1">
      <alignment horizontal="center" vertical="center"/>
    </xf>
    <xf numFmtId="0" fontId="15" fillId="0" borderId="1" xfId="0" applyFont="1" applyBorder="1" applyAlignment="1">
      <alignment horizontal="left" vertical="center"/>
    </xf>
    <xf numFmtId="0" fontId="0" fillId="4" borderId="1" xfId="0" applyFill="1" applyBorder="1"/>
    <xf numFmtId="0" fontId="16" fillId="4" borderId="1" xfId="0" applyFont="1" applyFill="1" applyBorder="1"/>
    <xf numFmtId="166" fontId="12" fillId="4" borderId="1" xfId="0" applyNumberFormat="1" applyFont="1" applyFill="1" applyBorder="1" applyAlignment="1">
      <alignment horizontal="center" vertical="center"/>
    </xf>
    <xf numFmtId="0" fontId="0" fillId="3" borderId="1" xfId="0" applyFill="1" applyBorder="1"/>
    <xf numFmtId="0" fontId="10" fillId="3" borderId="1" xfId="0" applyFont="1" applyFill="1" applyBorder="1"/>
    <xf numFmtId="166" fontId="10" fillId="3" borderId="1" xfId="0" applyNumberFormat="1" applyFont="1" applyFill="1" applyBorder="1" applyAlignment="1">
      <alignment horizontal="center" vertical="center"/>
    </xf>
    <xf numFmtId="0" fontId="15" fillId="0" borderId="1" xfId="0" applyFont="1" applyBorder="1" applyAlignment="1">
      <alignment horizontal="center" vertical="center"/>
    </xf>
    <xf numFmtId="167" fontId="15" fillId="0" borderId="1" xfId="0" applyNumberFormat="1" applyFont="1" applyBorder="1" applyAlignment="1">
      <alignment horizontal="center" vertical="center"/>
    </xf>
    <xf numFmtId="166" fontId="15" fillId="0" borderId="1" xfId="0" applyNumberFormat="1" applyFont="1" applyBorder="1" applyAlignment="1">
      <alignment horizontal="center" vertical="center"/>
    </xf>
    <xf numFmtId="164" fontId="12" fillId="0" borderId="1" xfId="0" applyNumberFormat="1" applyFont="1" applyBorder="1" applyAlignment="1">
      <alignment horizontal="center" vertical="center"/>
    </xf>
    <xf numFmtId="168" fontId="15" fillId="0" borderId="1" xfId="0" applyNumberFormat="1" applyFont="1" applyBorder="1" applyAlignment="1">
      <alignment horizontal="center" vertical="center"/>
    </xf>
    <xf numFmtId="1" fontId="14"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0" fillId="3" borderId="1" xfId="0" applyFont="1" applyFill="1" applyBorder="1" applyAlignment="1">
      <alignment horizontal="center" vertical="center" wrapText="1"/>
    </xf>
    <xf numFmtId="168" fontId="13" fillId="0" borderId="1" xfId="0" applyNumberFormat="1" applyFont="1" applyBorder="1" applyAlignment="1">
      <alignment horizontal="center" vertical="center"/>
    </xf>
    <xf numFmtId="4" fontId="13"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168" fontId="2"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9" fontId="18" fillId="0" borderId="1" xfId="0" applyNumberFormat="1" applyFont="1" applyBorder="1" applyAlignment="1">
      <alignment horizontal="center" vertical="center"/>
    </xf>
    <xf numFmtId="0" fontId="11" fillId="5" borderId="1" xfId="0" applyFont="1" applyFill="1" applyBorder="1" applyAlignment="1">
      <alignment horizontal="center" vertical="center" wrapText="1"/>
    </xf>
    <xf numFmtId="2" fontId="14" fillId="0" borderId="1" xfId="0" applyNumberFormat="1" applyFont="1" applyBorder="1" applyAlignment="1">
      <alignment horizontal="center" vertical="center"/>
    </xf>
    <xf numFmtId="2"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xf>
    <xf numFmtId="170" fontId="15" fillId="0" borderId="1" xfId="0" applyNumberFormat="1" applyFont="1" applyBorder="1" applyAlignment="1">
      <alignment horizontal="center" vertical="center"/>
    </xf>
    <xf numFmtId="164" fontId="15" fillId="0" borderId="1" xfId="0" applyNumberFormat="1" applyFont="1" applyBorder="1" applyAlignment="1">
      <alignment horizontal="center" vertical="center"/>
    </xf>
    <xf numFmtId="0" fontId="13" fillId="0" borderId="1" xfId="0" applyFont="1" applyBorder="1" applyAlignment="1">
      <alignment horizontal="center" vertical="center"/>
    </xf>
    <xf numFmtId="166" fontId="13" fillId="0" borderId="1" xfId="0" applyNumberFormat="1" applyFont="1" applyBorder="1" applyAlignment="1">
      <alignment horizontal="center" vertical="center"/>
    </xf>
    <xf numFmtId="3" fontId="13" fillId="0" borderId="1" xfId="0" applyNumberFormat="1" applyFont="1" applyBorder="1" applyAlignment="1">
      <alignment horizontal="center" vertical="center"/>
    </xf>
    <xf numFmtId="169" fontId="13" fillId="0" borderId="1" xfId="0" applyNumberFormat="1" applyFont="1" applyBorder="1" applyAlignment="1">
      <alignment horizontal="center" vertical="center"/>
    </xf>
    <xf numFmtId="2" fontId="13"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0" fontId="20" fillId="4" borderId="1" xfId="0" applyFont="1" applyFill="1" applyBorder="1" applyAlignment="1">
      <alignment horizontal="center" vertical="center" wrapText="1"/>
    </xf>
    <xf numFmtId="1" fontId="2" fillId="0" borderId="1" xfId="0" applyNumberFormat="1" applyFont="1" applyBorder="1" applyAlignment="1">
      <alignment horizontal="center" vertical="center"/>
    </xf>
    <xf numFmtId="1" fontId="18" fillId="0" borderId="1" xfId="0" applyNumberFormat="1" applyFont="1" applyBorder="1" applyAlignment="1">
      <alignment horizontal="center" vertical="center"/>
    </xf>
    <xf numFmtId="0" fontId="18" fillId="0" borderId="1" xfId="0" applyFont="1" applyBorder="1" applyAlignment="1">
      <alignment horizontal="center" vertical="center"/>
    </xf>
    <xf numFmtId="165" fontId="2" fillId="0" borderId="1" xfId="0" applyNumberFormat="1" applyFont="1" applyBorder="1" applyAlignment="1">
      <alignment horizontal="center" vertical="center"/>
    </xf>
    <xf numFmtId="164" fontId="18" fillId="0" borderId="1" xfId="0" applyNumberFormat="1" applyFont="1" applyBorder="1" applyAlignment="1">
      <alignment horizontal="center" vertical="center"/>
    </xf>
    <xf numFmtId="168" fontId="13" fillId="0" borderId="1" xfId="0" applyNumberFormat="1" applyFont="1" applyBorder="1" applyAlignment="1">
      <alignment horizontal="center" vertical="top"/>
    </xf>
    <xf numFmtId="0" fontId="13" fillId="0" borderId="1" xfId="0" applyFont="1" applyBorder="1" applyAlignment="1">
      <alignment horizontal="center" vertical="top"/>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0"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21" fillId="2" borderId="1" xfId="0" applyFont="1" applyFill="1" applyBorder="1"/>
    <xf numFmtId="0" fontId="14" fillId="0" borderId="1" xfId="0" applyFont="1" applyBorder="1" applyAlignment="1">
      <alignment horizontal="left" vertical="top" wrapText="1"/>
    </xf>
    <xf numFmtId="0" fontId="20" fillId="0" borderId="0" xfId="0" applyFont="1" applyAlignment="1">
      <alignment wrapText="1"/>
    </xf>
  </cellXfs>
  <cellStyles count="1">
    <cellStyle name="Normal" xfId="0" builtinId="0"/>
  </cellStyles>
  <dxfs count="80">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6500"/>
      </font>
      <fill>
        <patternFill>
          <bgColor rgb="FFFFEB9C"/>
        </patternFill>
      </fill>
    </dxf>
    <dxf>
      <font>
        <b/>
        <color rgb="FF006100"/>
      </font>
      <fill>
        <patternFill>
          <bgColor rgb="FFC6EFCE"/>
        </patternFill>
      </fill>
    </dxf>
    <dxf>
      <font>
        <b/>
        <color rgb="FF006100"/>
      </font>
      <fill>
        <patternFill>
          <bgColor rgb="FFC6EFCE"/>
        </patternFill>
      </fill>
    </dxf>
    <dxf>
      <font>
        <b/>
        <color rgb="FF9C0006"/>
      </font>
      <fill>
        <patternFill>
          <bgColor rgb="FFFFC7CE"/>
        </patternFill>
      </fill>
    </dxf>
    <dxf>
      <font>
        <b/>
        <color rgb="FFC65911"/>
      </font>
      <fill>
        <patternFill>
          <bgColor rgb="FFFCE4D6"/>
        </patternFill>
      </fill>
    </dxf>
    <dxf>
      <font>
        <b/>
        <color rgb="FF7F6000"/>
      </font>
      <fill>
        <patternFill>
          <bgColor rgb="FFFFF2CC"/>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0006"/>
      </font>
      <fill>
        <patternFill>
          <bgColor rgb="FFFFC7CE"/>
        </patternFill>
      </fill>
    </dxf>
    <dxf>
      <font>
        <b/>
        <color rgb="FF006100"/>
      </font>
      <fill>
        <patternFill>
          <bgColor rgb="FFC6EF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6500"/>
      </font>
      <fill>
        <patternFill>
          <bgColor rgb="FFFFEB9C"/>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9C6500"/>
      </font>
      <fill>
        <patternFill>
          <bgColor rgb="FFFFEB9C"/>
        </patternFill>
      </fill>
    </dxf>
    <dxf>
      <font>
        <b/>
        <color rgb="FF9C0006"/>
      </font>
      <fill>
        <patternFill>
          <bgColor rgb="FFFFC7CE"/>
        </patternFill>
      </fill>
    </dxf>
    <dxf>
      <font>
        <b/>
        <color rgb="FF9C0006"/>
      </font>
      <fill>
        <patternFill>
          <bgColor rgb="FFFFC7CE"/>
        </patternFill>
      </fill>
    </dxf>
    <dxf>
      <font>
        <b/>
        <color rgb="FFC65911"/>
      </font>
      <fill>
        <patternFill>
          <bgColor rgb="FFFCE4D6"/>
        </patternFill>
      </fill>
    </dxf>
    <dxf>
      <font>
        <b/>
        <color rgb="FF9C6500"/>
      </font>
      <fill>
        <patternFill>
          <bgColor rgb="FFFFEB9C"/>
        </patternFill>
      </fill>
    </dxf>
    <dxf>
      <font>
        <b/>
        <color rgb="FF375623"/>
      </font>
      <fill>
        <patternFill>
          <bgColor rgb="FFE2EFDA"/>
        </patternFill>
      </fill>
    </dxf>
    <dxf>
      <font>
        <b/>
        <color rgb="FF006100"/>
      </font>
      <fill>
        <patternFill>
          <bgColor rgb="FFC6EFCE"/>
        </patternFill>
      </fill>
    </dxf>
    <dxf>
      <font>
        <color rgb="FF006100"/>
      </font>
      <fill>
        <patternFill>
          <bgColor rgb="FFC6EFCE"/>
        </patternFill>
      </fill>
    </dxf>
    <dxf>
      <font>
        <b/>
        <color rgb="FF9C6500"/>
      </font>
      <fill>
        <patternFill>
          <bgColor rgb="FFFFEB9C"/>
        </patternFill>
      </fill>
    </dxf>
    <dxf>
      <font>
        <b/>
        <color rgb="FF9C0006"/>
      </font>
      <fill>
        <patternFill>
          <bgColor rgb="FFFFC7CE"/>
        </patternFill>
      </fill>
    </dxf>
    <dxf>
      <font>
        <b/>
        <color rgb="FFC65911"/>
      </font>
      <fill>
        <patternFill>
          <bgColor rgb="FFFCE4D6"/>
        </patternFill>
      </fill>
    </dxf>
    <dxf>
      <font>
        <color rgb="FF9C0006"/>
      </font>
      <fill>
        <patternFill>
          <bgColor rgb="FFFFC7CE"/>
        </patternFill>
      </fill>
    </dxf>
    <dxf>
      <font>
        <color rgb="FF006100"/>
      </font>
      <fill>
        <patternFill>
          <bgColor rgb="FFC6EF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
      <font>
        <b/>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C0C0C0"/>
      <rgbColor rgb="FF808080"/>
      <rgbColor rgb="FF9999FF"/>
      <rgbColor rgb="FF9C6500"/>
      <rgbColor rgb="FFFFF2CC"/>
      <rgbColor rgb="FFE2EFDA"/>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DCE6F1"/>
      <rgbColor rgb="FFC6EFCE"/>
      <rgbColor rgb="FFFFEB9C"/>
      <rgbColor rgb="FF99CCFF"/>
      <rgbColor rgb="FFFF99CC"/>
      <rgbColor rgb="FFCC99FF"/>
      <rgbColor rgb="FFFFC7CE"/>
      <rgbColor rgb="FF3366FF"/>
      <rgbColor rgb="FF33CCCC"/>
      <rgbColor rgb="FF99CC00"/>
      <rgbColor rgb="FFFFCC00"/>
      <rgbColor rgb="FFFF9900"/>
      <rgbColor rgb="FFC65911"/>
      <rgbColor rgb="FF666699"/>
      <rgbColor rgb="FF999999"/>
      <rgbColor rgb="FF1F3864"/>
      <rgbColor rgb="FF339966"/>
      <rgbColor rgb="FF003300"/>
      <rgbColor rgb="FF632423"/>
      <rgbColor rgb="FF833C0C"/>
      <rgbColor rgb="FF993366"/>
      <rgbColor rgb="FF2E5090"/>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rrentPositionsTable" displayName="CurrentPositionsTable" ref="A2:M39" totalsRowShown="0">
  <autoFilter ref="A2:M39" xr:uid="{00000000-0009-0000-0100-000001000000}"/>
  <tableColumns count="13">
    <tableColumn id="1" xr3:uid="{00000000-0010-0000-0000-000001000000}" name="Account"/>
    <tableColumn id="2" xr3:uid="{00000000-0010-0000-0000-000002000000}" name="Ticker"/>
    <tableColumn id="3" xr3:uid="{00000000-0010-0000-0000-000003000000}" name="Description"/>
    <tableColumn id="4" xr3:uid="{00000000-0010-0000-0000-000004000000}" name="Asset Class"/>
    <tableColumn id="5" xr3:uid="{00000000-0010-0000-0000-000005000000}" name="Quantity"/>
    <tableColumn id="6" xr3:uid="{00000000-0010-0000-0000-000006000000}" name="Price ($)"/>
    <tableColumn id="7" xr3:uid="{00000000-0010-0000-0000-000007000000}" name="Market Value ($)"/>
    <tableColumn id="8" xr3:uid="{00000000-0010-0000-0000-000008000000}" name="Cost Basis ($)"/>
    <tableColumn id="9" xr3:uid="{00000000-0010-0000-0000-000009000000}" name="Unrealized G/L ($)"/>
    <tableColumn id="10" xr3:uid="{00000000-0010-0000-0000-00000A000000}" name="Unrealized G/L (%)"/>
    <tableColumn id="11" xr3:uid="{00000000-0010-0000-0000-00000B000000}" name="% of Account"/>
    <tableColumn id="12" xr3:uid="{00000000-0010-0000-0000-00000C000000}" name="% of Combined Portfolio"/>
    <tableColumn id="13" xr3:uid="{00000000-0010-0000-0000-00000D000000}" name="Classification / Notes (fill at review)"/>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MonitorTable" displayName="MonitorTable" ref="A2:P42" totalsRowShown="0">
  <autoFilter ref="A2:P42" xr:uid="{00000000-0009-0000-0100-000005000000}"/>
  <tableColumns count="16">
    <tableColumn id="1" xr3:uid="{00000000-0010-0000-0100-000001000000}" name="Ticker"/>
    <tableColumn id="2" xr3:uid="{00000000-0010-0000-0100-000002000000}" name="Category"/>
    <tableColumn id="3" xr3:uid="{00000000-0010-0000-0100-000003000000}" name="Last Score_x000a_Date"/>
    <tableColumn id="4" xr3:uid="{00000000-0010-0000-0100-000004000000}" name="Last_x000a_Composite"/>
    <tableColumn id="5" xr3:uid="{00000000-0010-0000-0100-000005000000}" name="Last Tier 1_x000a_Wtd Avg"/>
    <tableColumn id="6" xr3:uid="{00000000-0010-0000-0100-000006000000}" name="Last_x000a_Decision"/>
    <tableColumn id="7" xr3:uid="{00000000-0010-0000-0100-000007000000}" name="Price at_x000a_Last Score"/>
    <tableColumn id="8" xr3:uid="{00000000-0010-0000-0100-000008000000}" name="Current_x000a_Price"/>
    <tableColumn id="9" xr3:uid="{00000000-0010-0000-0100-000009000000}" name="% Price_x000a_Change"/>
    <tableColumn id="10" xr3:uid="{00000000-0010-0000-0100-00000A000000}" name="Next/Last_x000a_Earnings Date"/>
    <tableColumn id="11" xr3:uid="{00000000-0010-0000-0100-00000B000000}" name="Insider_x000a_Activity? (Y/N)"/>
    <tableColumn id="12" xr3:uid="{00000000-0010-0000-0100-00000C000000}" name="Insider Note"/>
    <tableColumn id="13" xr3:uid="{00000000-0010-0000-0100-00000D000000}" name="Analyst_x000a_Shift? (Y/N)"/>
    <tableColumn id="14" xr3:uid="{00000000-0010-0000-0100-00000E000000}" name="Days Since_x000a_Last Score"/>
    <tableColumn id="15" xr3:uid="{00000000-0010-0000-0100-00000F000000}" name="Recheck Status"/>
    <tableColumn id="16" xr3:uid="{00000000-0010-0000-0100-000010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ntryChecklistTable" displayName="EntryChecklistTable" ref="A2:R27" totalsRowShown="0">
  <autoFilter ref="A2:R27" xr:uid="{00000000-0009-0000-0100-000003000000}"/>
  <tableColumns count="18">
    <tableColumn id="1" xr3:uid="{00000000-0010-0000-0200-000001000000}" name="Ticker"/>
    <tableColumn id="2" xr3:uid="{00000000-0010-0000-0200-000002000000}" name="Company"/>
    <tableColumn id="3" xr3:uid="{00000000-0010-0000-0200-000003000000}" name="Rule 5_x000a_Composite_x000a_≥65?"/>
    <tableColumn id="4" xr3:uid="{00000000-0010-0000-0200-000004000000}" name="Rule 6_x000a_Tier1_x000a_≥3.0?"/>
    <tableColumn id="5" xr3:uid="{00000000-0010-0000-0200-000005000000}" name="Rule 7_x000a_No Tier1_x000a_=1?"/>
    <tableColumn id="6" xr3:uid="{00000000-0010-0000-0200-000006000000}" name="Rule 8_x000a_Above/reclaimed_x000a_200-wk MA?_x000a_(Y/N)"/>
    <tableColumn id="7" xr3:uid="{00000000-0010-0000-0200-000007000000}" name="Rule 9_x000a_Monthly MACD_x000a_positive/turning?_x000a_(Y/N)"/>
    <tableColumn id="8" xr3:uid="{00000000-0010-0000-0200-000008000000}" name="Staging_x000a_Result_x000a_(Rules 8-9)"/>
    <tableColumn id="9" xr3:uid="{00000000-0010-0000-0200-000009000000}" name="Rule 10_x000a_Binary event_x000a_risk present?_x000a_(Y/N)"/>
    <tableColumn id="10" xr3:uid="{00000000-0010-0000-0200-00000A000000}" name="Risk included_x000a_in thesis?_x000a_(Y/N)"/>
    <tableColumn id="11" xr3:uid="{00000000-0010-0000-0200-00000B000000}" name="Rule 10_x000a_Result"/>
    <tableColumn id="12" xr3:uid="{00000000-0010-0000-0200-00000C000000}" name="Rule 11_x000a_Bear Case_x000a_≥0%?"/>
    <tableColumn id="13" xr3:uid="{00000000-0010-0000-0200-00000D000000}" name="Rule 12_x000a_Scenario tags_x000a_OK?"/>
    <tableColumn id="14" xr3:uid="{00000000-0010-0000-0200-00000E000000}" name="P/FCF_x000a_(current)"/>
    <tableColumn id="15" xr3:uid="{00000000-0010-0000-0200-00000F000000}" name="Consensus FCF_x000a_growth, 2-yr_x000a_annualized"/>
    <tableColumn id="16" xr3:uid="{00000000-0010-0000-0200-000010000000}" name="Rule 13_x000a_Valuation_x000a_Ceiling"/>
    <tableColumn id="17" xr3:uid="{00000000-0010-0000-0200-000011000000}" name="ENTRY_x000a_AUTHORIZED?"/>
    <tableColumn id="18" xr3:uid="{00000000-0010-0000-0200-000012000000}" name="Recommended Actio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DrawdownLogTable" displayName="DrawdownLogTable" ref="A2:H42" totalsRowShown="0">
  <autoFilter ref="A2:H42" xr:uid="{00000000-0009-0000-0100-000002000000}"/>
  <tableColumns count="8">
    <tableColumn id="1" xr3:uid="{00000000-0010-0000-0300-000001000000}" name="Date"/>
    <tableColumn id="2" xr3:uid="{00000000-0010-0000-0300-000002000000}" name="Portfolio Value ($)"/>
    <tableColumn id="3" xr3:uid="{00000000-0010-0000-0300-000003000000}" name="Running Peak ($)"/>
    <tableColumn id="4" xr3:uid="{00000000-0010-0000-0300-000004000000}" name="Drawdown %"/>
    <tableColumn id="5" xr3:uid="{00000000-0010-0000-0300-000005000000}" name="Status"/>
    <tableColumn id="6" xr3:uid="{00000000-0010-0000-0300-000006000000}" name="Required Cash Floor"/>
    <tableColumn id="7" xr3:uid="{00000000-0010-0000-0300-000007000000}" name="New Position Initiation"/>
    <tableColumn id="8" xr3:uid="{00000000-0010-0000-0300-000008000000}" name="Not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WatchListTable" displayName="WatchListTable" ref="A2:L22" totalsRowShown="0">
  <autoFilter ref="A2:L22" xr:uid="{00000000-0009-0000-0100-000007000000}"/>
  <tableColumns count="12">
    <tableColumn id="1" xr3:uid="{00000000-0010-0000-0400-000001000000}" name="Ticker"/>
    <tableColumn id="2" xr3:uid="{00000000-0010-0000-0400-000002000000}" name="Company"/>
    <tableColumn id="3" xr3:uid="{00000000-0010-0000-0400-000003000000}" name="Status_x000a_(Probationary/_x000a_Exit Review)"/>
    <tableColumn id="4" xr3:uid="{00000000-0010-0000-0400-000004000000}" name="Entry Date_x000a_(band entered)"/>
    <tableColumn id="5" xr3:uid="{00000000-0010-0000-0400-000005000000}" name="Entry_x000a_Score"/>
    <tableColumn id="6" xr3:uid="{00000000-0010-0000-0400-000006000000}" name="Current_x000a_Score"/>
    <tableColumn id="7" xr3:uid="{00000000-0010-0000-0400-000007000000}" name="Current Score_x000a_Date"/>
    <tableColumn id="8" xr3:uid="{00000000-0010-0000-0400-000008000000}" name="Credible_x000a_Remediation Plan?_x000a_(Y/N)"/>
    <tableColumn id="9" xr3:uid="{00000000-0010-0000-0400-000009000000}" name="90-Day_x000a_Deadline"/>
    <tableColumn id="10" xr3:uid="{00000000-0010-0000-0400-00000A000000}" name="Days_x000a_Remaining"/>
    <tableColumn id="11" xr3:uid="{00000000-0010-0000-0400-00000B000000}" name="Action Status"/>
    <tableColumn id="12" xr3:uid="{00000000-0010-0000-0400-00000C000000}" name="Remediation Plan 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PerformanceTrackingTable" displayName="PerformanceTrackingTable" ref="A2:Q33" totalsRowShown="0">
  <autoFilter ref="A2:Q33" xr:uid="{00000000-0009-0000-0100-000006000000}"/>
  <tableColumns count="17">
    <tableColumn id="1" xr3:uid="{00000000-0010-0000-0500-000001000000}" name="Ticker"/>
    <tableColumn id="2" xr3:uid="{00000000-0010-0000-0500-000002000000}" name="Company"/>
    <tableColumn id="3" xr3:uid="{00000000-0010-0000-0500-000003000000}" name="Entry_x000a_Date"/>
    <tableColumn id="4" xr3:uid="{00000000-0010-0000-0500-000004000000}" name="Entry_x000a_Price"/>
    <tableColumn id="5" xr3:uid="{00000000-0010-0000-0500-000005000000}" name="Entry_x000a_Score"/>
    <tableColumn id="6" xr3:uid="{00000000-0010-0000-0500-000006000000}" name="Entry_x000a_Confidence"/>
    <tableColumn id="7" xr3:uid="{00000000-0010-0000-0500-000007000000}" name="Entry_x000a_Decision Band"/>
    <tableColumn id="8" xr3:uid="{00000000-0010-0000-0500-000008000000}" name="SPY Price_x000a_at Entry"/>
    <tableColumn id="9" xr3:uid="{00000000-0010-0000-0500-000009000000}" name="Status_x000a_(Held/Exited)"/>
    <tableColumn id="10" xr3:uid="{00000000-0010-0000-0500-00000A000000}" name="Exit_x000a_Date"/>
    <tableColumn id="11" xr3:uid="{00000000-0010-0000-0500-00000B000000}" name="Exit_x000a_Price"/>
    <tableColumn id="12" xr3:uid="{00000000-0010-0000-0500-00000C000000}" name="Exit_x000a_Reason"/>
    <tableColumn id="13" xr3:uid="{00000000-0010-0000-0500-00000D000000}" name="Current/_x000a_Exit Price"/>
    <tableColumn id="14" xr3:uid="{00000000-0010-0000-0500-00000E000000}" name="SPY Price_x000a_(current/exit)"/>
    <tableColumn id="15" xr3:uid="{00000000-0010-0000-0500-00000F000000}" name="Total Return_x000a_Since Entry"/>
    <tableColumn id="16" xr3:uid="{00000000-0010-0000-0500-000010000000}" name="SPY Return_x000a_Same Period"/>
    <tableColumn id="17" xr3:uid="{00000000-0010-0000-0500-000011000000}" name="Excess_x000a_Retur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6000000}" name="JournalTable" displayName="JournalTable" ref="A2:C302" totalsRowShown="0">
  <autoFilter ref="A2:C302" xr:uid="{00000000-0009-0000-0100-000004000000}"/>
  <tableColumns count="3">
    <tableColumn id="1" xr3:uid="{00000000-0010-0000-0600-000001000000}" name="Date"/>
    <tableColumn id="2" xr3:uid="{00000000-0010-0000-0600-000002000000}" name="Ticker"/>
    <tableColumn id="3" xr3:uid="{00000000-0010-0000-0600-000003000000}" name="Note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
  <sheetViews>
    <sheetView showGridLines="0" zoomScaleNormal="100" workbookViewId="0"/>
  </sheetViews>
  <sheetFormatPr baseColWidth="10" defaultColWidth="8.6640625" defaultRowHeight="15" x14ac:dyDescent="0.2"/>
  <cols>
    <col min="1" max="1" width="100" customWidth="1"/>
  </cols>
  <sheetData>
    <row r="1" spans="1:1" ht="21.75" customHeight="1" x14ac:dyDescent="0.2">
      <c r="A1" s="15" t="s">
        <v>0</v>
      </c>
    </row>
    <row r="2" spans="1:1" ht="13.5" customHeight="1" x14ac:dyDescent="0.2">
      <c r="A2" s="16"/>
    </row>
    <row r="3" spans="1:1" ht="13.5" customHeight="1" x14ac:dyDescent="0.2">
      <c r="A3" s="17" t="s">
        <v>1</v>
      </c>
    </row>
    <row r="4" spans="1:1" ht="13.5" customHeight="1" x14ac:dyDescent="0.2">
      <c r="A4" s="16" t="s">
        <v>2</v>
      </c>
    </row>
    <row r="5" spans="1:1" ht="13.5" customHeight="1" x14ac:dyDescent="0.2">
      <c r="A5" s="16" t="s">
        <v>3</v>
      </c>
    </row>
    <row r="6" spans="1:1" ht="13.5" customHeight="1" x14ac:dyDescent="0.2">
      <c r="A6" s="16"/>
    </row>
    <row r="7" spans="1:1" ht="13.5" customHeight="1" x14ac:dyDescent="0.2">
      <c r="A7" s="18" t="s">
        <v>4</v>
      </c>
    </row>
    <row r="8" spans="1:1" ht="13.5" customHeight="1" x14ac:dyDescent="0.2">
      <c r="A8" s="16" t="s">
        <v>5</v>
      </c>
    </row>
    <row r="9" spans="1:1" ht="13.5" customHeight="1" x14ac:dyDescent="0.2">
      <c r="A9" s="16" t="s">
        <v>6</v>
      </c>
    </row>
    <row r="10" spans="1:1" ht="13.5" customHeight="1" x14ac:dyDescent="0.2">
      <c r="A10" s="16" t="s">
        <v>7</v>
      </c>
    </row>
    <row r="11" spans="1:1" ht="13.5" customHeight="1" x14ac:dyDescent="0.2">
      <c r="A11" s="16" t="s">
        <v>8</v>
      </c>
    </row>
    <row r="12" spans="1:1" ht="13.5" customHeight="1" x14ac:dyDescent="0.2">
      <c r="A12" s="16" t="s">
        <v>9</v>
      </c>
    </row>
    <row r="13" spans="1:1" ht="13.5" customHeight="1" x14ac:dyDescent="0.2">
      <c r="A13" s="16" t="s">
        <v>10</v>
      </c>
    </row>
    <row r="14" spans="1:1" ht="13.5" customHeight="1" x14ac:dyDescent="0.2">
      <c r="A14" s="16" t="s">
        <v>11</v>
      </c>
    </row>
    <row r="15" spans="1:1" ht="13.5" customHeight="1" x14ac:dyDescent="0.2">
      <c r="A15" s="16" t="s">
        <v>12</v>
      </c>
    </row>
    <row r="16" spans="1:1" ht="13.5" customHeight="1" x14ac:dyDescent="0.2">
      <c r="A16" s="16" t="s">
        <v>13</v>
      </c>
    </row>
    <row r="17" spans="1:1" ht="13.5" customHeight="1" x14ac:dyDescent="0.2">
      <c r="A17" s="16" t="s">
        <v>14</v>
      </c>
    </row>
    <row r="18" spans="1:1" ht="13.5" customHeight="1" x14ac:dyDescent="0.2">
      <c r="A18" s="16"/>
    </row>
    <row r="19" spans="1:1" ht="13.5" customHeight="1" x14ac:dyDescent="0.2">
      <c r="A19" s="18" t="s">
        <v>15</v>
      </c>
    </row>
    <row r="20" spans="1:1" ht="13.5" customHeight="1" x14ac:dyDescent="0.2">
      <c r="A20" s="16" t="s">
        <v>16</v>
      </c>
    </row>
    <row r="21" spans="1:1" ht="13.5" customHeight="1" x14ac:dyDescent="0.2">
      <c r="A21" s="16" t="s">
        <v>17</v>
      </c>
    </row>
    <row r="22" spans="1:1" ht="13.5" customHeight="1" x14ac:dyDescent="0.2">
      <c r="A22" s="16" t="s">
        <v>18</v>
      </c>
    </row>
    <row r="23" spans="1:1" ht="13.5" customHeight="1" x14ac:dyDescent="0.2">
      <c r="A23" s="16" t="s">
        <v>19</v>
      </c>
    </row>
    <row r="24" spans="1:1" ht="13.5" customHeight="1" x14ac:dyDescent="0.2">
      <c r="A24" s="16" t="s">
        <v>20</v>
      </c>
    </row>
    <row r="25" spans="1:1" ht="13.5" customHeight="1" x14ac:dyDescent="0.2">
      <c r="A25" s="16" t="s">
        <v>21</v>
      </c>
    </row>
    <row r="26" spans="1:1" ht="13.5" customHeight="1" x14ac:dyDescent="0.2">
      <c r="A26" s="16" t="s">
        <v>22</v>
      </c>
    </row>
    <row r="27" spans="1:1" ht="13.5" customHeight="1" x14ac:dyDescent="0.2">
      <c r="A27" s="16" t="s">
        <v>23</v>
      </c>
    </row>
    <row r="28" spans="1:1" ht="13.5" customHeight="1" x14ac:dyDescent="0.2">
      <c r="A28" s="16" t="s">
        <v>24</v>
      </c>
    </row>
    <row r="29" spans="1:1" ht="13.5" customHeight="1" x14ac:dyDescent="0.2">
      <c r="A29" s="16"/>
    </row>
    <row r="30" spans="1:1" ht="13.5" customHeight="1" x14ac:dyDescent="0.2">
      <c r="A30" s="18" t="s">
        <v>25</v>
      </c>
    </row>
    <row r="31" spans="1:1" ht="13.5" customHeight="1" x14ac:dyDescent="0.2">
      <c r="A31" s="16" t="s">
        <v>26</v>
      </c>
    </row>
    <row r="32" spans="1:1" ht="13.5" customHeight="1" x14ac:dyDescent="0.2">
      <c r="A32" s="16" t="s">
        <v>27</v>
      </c>
    </row>
    <row r="34" spans="1:1" ht="15" customHeight="1" x14ac:dyDescent="0.2">
      <c r="A34" s="19" t="s">
        <v>28</v>
      </c>
    </row>
    <row r="35" spans="1:1" ht="15" customHeight="1" x14ac:dyDescent="0.2">
      <c r="A35" s="20" t="s">
        <v>29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showGridLines="0" topLeftCell="A10" zoomScaleNormal="100" workbookViewId="0">
      <selection activeCell="I17" sqref="I17"/>
    </sheetView>
  </sheetViews>
  <sheetFormatPr baseColWidth="10" defaultColWidth="8.6640625" defaultRowHeight="15" x14ac:dyDescent="0.2"/>
  <cols>
    <col min="1" max="1" width="22" customWidth="1"/>
    <col min="2" max="4" width="12" customWidth="1"/>
    <col min="5" max="5" width="14" customWidth="1"/>
    <col min="6" max="6" width="8" customWidth="1"/>
  </cols>
  <sheetData>
    <row r="1" spans="1:6" ht="19.5" customHeight="1" x14ac:dyDescent="0.2">
      <c r="A1" s="14" t="s">
        <v>30</v>
      </c>
      <c r="B1" s="14"/>
      <c r="C1" s="14"/>
      <c r="D1" s="14"/>
      <c r="E1" s="14"/>
      <c r="F1" s="14"/>
    </row>
    <row r="2" spans="1:6" ht="15" customHeight="1" x14ac:dyDescent="0.2">
      <c r="A2" s="13" t="s">
        <v>31</v>
      </c>
      <c r="B2" s="13"/>
      <c r="C2" s="13"/>
      <c r="D2" s="13"/>
      <c r="E2" s="13"/>
      <c r="F2" s="13"/>
    </row>
    <row r="4" spans="1:6" ht="15" customHeight="1" x14ac:dyDescent="0.2">
      <c r="A4" s="12" t="s">
        <v>32</v>
      </c>
      <c r="B4" s="12"/>
      <c r="C4" s="12"/>
      <c r="D4" s="12"/>
      <c r="E4" s="12"/>
      <c r="F4" s="12"/>
    </row>
    <row r="5" spans="1:6" ht="15" customHeight="1" x14ac:dyDescent="0.2">
      <c r="A5" s="11" t="s">
        <v>33</v>
      </c>
      <c r="B5" s="11"/>
      <c r="C5" s="11"/>
      <c r="D5" s="11"/>
      <c r="E5" s="10">
        <f>COUNTIF('Watch List Tracker'!K3:K22,"*SELL WITHIN 30 DAYS*")</f>
        <v>0</v>
      </c>
      <c r="F5" s="10"/>
    </row>
    <row r="6" spans="1:6" ht="15" customHeight="1" x14ac:dyDescent="0.2">
      <c r="A6" s="11" t="s">
        <v>34</v>
      </c>
      <c r="B6" s="11"/>
      <c r="C6" s="11"/>
      <c r="D6" s="11"/>
      <c r="E6" s="10">
        <f>COUNTIF('Watch List Tracker'!K3:K22,"DEADLINE APPROACHING")</f>
        <v>0</v>
      </c>
      <c r="F6" s="10"/>
    </row>
    <row r="7" spans="1:6" ht="15" customHeight="1" x14ac:dyDescent="0.2">
      <c r="A7" s="11" t="s">
        <v>35</v>
      </c>
      <c r="B7" s="11"/>
      <c r="C7" s="11"/>
      <c r="D7" s="11"/>
      <c r="E7" s="10">
        <f>COUNTIF('Watch List Tracker'!K3:K22,"*RECOVERED*")</f>
        <v>0</v>
      </c>
      <c r="F7" s="10"/>
    </row>
    <row r="9" spans="1:6" ht="15" customHeight="1" x14ac:dyDescent="0.2">
      <c r="A9" s="12" t="s">
        <v>36</v>
      </c>
      <c r="B9" s="12"/>
      <c r="C9" s="12"/>
      <c r="D9" s="12"/>
      <c r="E9" s="12"/>
      <c r="F9" s="12"/>
    </row>
    <row r="10" spans="1:6" ht="15" customHeight="1" x14ac:dyDescent="0.2">
      <c r="A10" s="11" t="s">
        <v>37</v>
      </c>
      <c r="B10" s="11"/>
      <c r="C10" s="11"/>
      <c r="D10" s="11"/>
      <c r="E10" s="10">
        <f>COUNTIF('Holding Monitor'!AB4:AB23,"*ACTION REQUIRED*")</f>
        <v>0</v>
      </c>
      <c r="F10" s="10"/>
    </row>
    <row r="11" spans="1:6" ht="15" customHeight="1" x14ac:dyDescent="0.2">
      <c r="A11" s="11" t="s">
        <v>38</v>
      </c>
      <c r="B11" s="11"/>
      <c r="C11" s="11"/>
      <c r="D11" s="11"/>
      <c r="E11" s="10">
        <f>COUNTIF('Holding Monitor'!AB4:AB23,"*Hold Through*")</f>
        <v>0</v>
      </c>
      <c r="F11" s="10"/>
    </row>
    <row r="13" spans="1:6" ht="15" customHeight="1" x14ac:dyDescent="0.2">
      <c r="A13" s="12" t="s">
        <v>39</v>
      </c>
      <c r="B13" s="12"/>
      <c r="C13" s="12"/>
      <c r="D13" s="12"/>
      <c r="E13" s="12"/>
      <c r="F13" s="12"/>
    </row>
    <row r="14" spans="1:6" ht="15" customHeight="1" x14ac:dyDescent="0.2">
      <c r="A14" s="11" t="s">
        <v>40</v>
      </c>
      <c r="B14" s="11"/>
      <c r="C14" s="11"/>
      <c r="D14" s="11"/>
      <c r="E14" s="10" t="str">
        <f>'Correlation Matrix'!B17</f>
        <v/>
      </c>
      <c r="F14" s="10"/>
    </row>
    <row r="15" spans="1:6" ht="15" customHeight="1" x14ac:dyDescent="0.2">
      <c r="A15" s="11" t="s">
        <v>41</v>
      </c>
      <c r="B15" s="11"/>
      <c r="C15" s="11"/>
      <c r="D15" s="11"/>
      <c r="E15" s="9" t="str">
        <f>'Correlation Matrix'!B16</f>
        <v/>
      </c>
      <c r="F15" s="9"/>
    </row>
    <row r="17" spans="1:6" ht="15" customHeight="1" x14ac:dyDescent="0.2">
      <c r="A17" s="12" t="s">
        <v>42</v>
      </c>
      <c r="B17" s="12"/>
      <c r="C17" s="12"/>
      <c r="D17" s="12"/>
      <c r="E17" s="12"/>
      <c r="F17" s="12"/>
    </row>
    <row r="18" spans="1:6" ht="15" customHeight="1" x14ac:dyDescent="0.2">
      <c r="A18" s="11" t="s">
        <v>43</v>
      </c>
      <c r="B18" s="11"/>
      <c r="C18" s="11"/>
      <c r="D18" s="11"/>
      <c r="E18" s="10" t="str">
        <f>IFERROR(INDEX('Portfolio Drawdown Log'!E3:E42,COUNT('Portfolio Drawdown Log'!D3:D42)),"No entries yet")</f>
        <v/>
      </c>
      <c r="F18" s="10"/>
    </row>
    <row r="19" spans="1:6" ht="15" customHeight="1" x14ac:dyDescent="0.2">
      <c r="A19" s="11" t="s">
        <v>44</v>
      </c>
      <c r="B19" s="11"/>
      <c r="C19" s="11"/>
      <c r="D19" s="11"/>
      <c r="E19" s="8" t="str">
        <f>IFERROR(INDEX('Portfolio Drawdown Log'!D3:D42,COUNT('Portfolio Drawdown Log'!D3:D42)),"")</f>
        <v/>
      </c>
      <c r="F19" s="8"/>
    </row>
    <row r="20" spans="1:6" ht="15" customHeight="1" x14ac:dyDescent="0.2">
      <c r="A20" s="11" t="s">
        <v>45</v>
      </c>
      <c r="B20" s="11"/>
      <c r="C20" s="11"/>
      <c r="D20" s="11"/>
      <c r="E20" s="10" t="str">
        <f>IFERROR(INDEX('Portfolio Drawdown Log'!F3:F42,COUNT('Portfolio Drawdown Log'!D3:D42)),"")</f>
        <v/>
      </c>
      <c r="F20" s="10"/>
    </row>
    <row r="22" spans="1:6" ht="15" customHeight="1" x14ac:dyDescent="0.2">
      <c r="A22" s="12" t="s">
        <v>46</v>
      </c>
      <c r="B22" s="12"/>
      <c r="C22" s="12"/>
      <c r="D22" s="12"/>
      <c r="E22" s="12"/>
      <c r="F22" s="12"/>
    </row>
    <row r="23" spans="1:6" ht="15" customHeight="1" x14ac:dyDescent="0.2">
      <c r="A23" s="11" t="s">
        <v>47</v>
      </c>
      <c r="B23" s="11"/>
      <c r="C23" s="11"/>
      <c r="D23" s="11"/>
      <c r="E23" s="10">
        <f>COUNTIF(Scoring!AH3:AH27,"FAIL")</f>
        <v>3</v>
      </c>
      <c r="F23" s="10"/>
    </row>
    <row r="24" spans="1:6" ht="15" customHeight="1" x14ac:dyDescent="0.2">
      <c r="A24" s="11" t="s">
        <v>48</v>
      </c>
      <c r="B24" s="11"/>
      <c r="C24" s="11"/>
      <c r="D24" s="11"/>
      <c r="E24" s="10">
        <f>COUNTIF(Scoring!AJ3:AJ27,"AVOID")</f>
        <v>3</v>
      </c>
      <c r="F24" s="10"/>
    </row>
    <row r="25" spans="1:6" ht="15" customHeight="1" x14ac:dyDescent="0.2">
      <c r="A25" s="11" t="s">
        <v>49</v>
      </c>
      <c r="B25" s="11"/>
      <c r="C25" s="11"/>
      <c r="D25" s="11"/>
      <c r="E25" s="10">
        <f>COUNTIF(Scoring!AI3:AI27,"REVIEW")</f>
        <v>2</v>
      </c>
      <c r="F25" s="10"/>
    </row>
    <row r="26" spans="1:6" ht="15" customHeight="1" x14ac:dyDescent="0.2">
      <c r="A26" s="11" t="s">
        <v>50</v>
      </c>
      <c r="B26" s="11"/>
      <c r="C26" s="11"/>
      <c r="D26" s="11"/>
      <c r="E26" s="10">
        <f>COUNTIF(Scoring!AK3:AK27,"CAP AT BUY")</f>
        <v>0</v>
      </c>
      <c r="F26" s="10"/>
    </row>
    <row r="27" spans="1:6" ht="15" customHeight="1" x14ac:dyDescent="0.2">
      <c r="A27" s="12" t="s">
        <v>51</v>
      </c>
      <c r="B27" s="12"/>
      <c r="C27" s="12"/>
      <c r="D27" s="12"/>
      <c r="E27" s="12"/>
      <c r="F27" s="12"/>
    </row>
    <row r="28" spans="1:6" ht="15" customHeight="1" x14ac:dyDescent="0.2">
      <c r="A28" s="11" t="s">
        <v>52</v>
      </c>
      <c r="B28" s="11"/>
      <c r="C28" s="11"/>
      <c r="D28" s="11"/>
      <c r="E28" s="10">
        <f>COUNTIF('Entry Checklist'!Q3:Q27,"NO*")</f>
        <v>0</v>
      </c>
      <c r="F28" s="10"/>
    </row>
    <row r="29" spans="1:6" ht="15" customHeight="1" x14ac:dyDescent="0.2">
      <c r="A29" s="11" t="s">
        <v>53</v>
      </c>
      <c r="B29" s="11"/>
      <c r="C29" s="11"/>
      <c r="D29" s="11"/>
      <c r="E29" s="10">
        <f>COUNTIF('Entry Checklist'!H3:H27,"*50%*")</f>
        <v>0</v>
      </c>
      <c r="F29" s="10"/>
    </row>
  </sheetData>
  <mergeCells count="40">
    <mergeCell ref="A28:D28"/>
    <mergeCell ref="E28:F28"/>
    <mergeCell ref="A29:D29"/>
    <mergeCell ref="E29:F29"/>
    <mergeCell ref="A25:D25"/>
    <mergeCell ref="E25:F25"/>
    <mergeCell ref="A26:D26"/>
    <mergeCell ref="E26:F26"/>
    <mergeCell ref="A27:F27"/>
    <mergeCell ref="A22:F22"/>
    <mergeCell ref="A23:D23"/>
    <mergeCell ref="E23:F23"/>
    <mergeCell ref="A24:D24"/>
    <mergeCell ref="E24:F24"/>
    <mergeCell ref="A18:D18"/>
    <mergeCell ref="E18:F18"/>
    <mergeCell ref="A19:D19"/>
    <mergeCell ref="E19:F19"/>
    <mergeCell ref="A20:D20"/>
    <mergeCell ref="E20:F20"/>
    <mergeCell ref="A14:D14"/>
    <mergeCell ref="E14:F14"/>
    <mergeCell ref="A15:D15"/>
    <mergeCell ref="E15:F15"/>
    <mergeCell ref="A17:F17"/>
    <mergeCell ref="A10:D10"/>
    <mergeCell ref="E10:F10"/>
    <mergeCell ref="A11:D11"/>
    <mergeCell ref="E11:F11"/>
    <mergeCell ref="A13:F13"/>
    <mergeCell ref="A6:D6"/>
    <mergeCell ref="E6:F6"/>
    <mergeCell ref="A7:D7"/>
    <mergeCell ref="E7:F7"/>
    <mergeCell ref="A9:F9"/>
    <mergeCell ref="A1:F1"/>
    <mergeCell ref="A2:F2"/>
    <mergeCell ref="A4:F4"/>
    <mergeCell ref="A5:D5"/>
    <mergeCell ref="E5:F5"/>
  </mergeCells>
  <conditionalFormatting sqref="E5">
    <cfRule type="cellIs" dxfId="79" priority="2" operator="greaterThan">
      <formula>0</formula>
    </cfRule>
  </conditionalFormatting>
  <conditionalFormatting sqref="E10">
    <cfRule type="cellIs" dxfId="78" priority="3" operator="greaterThan">
      <formula>0</formula>
    </cfRule>
  </conditionalFormatting>
  <conditionalFormatting sqref="E23:E24">
    <cfRule type="cellIs" dxfId="77" priority="4" operator="greaterThan">
      <formula>0</formula>
    </cfRule>
  </conditionalFormatting>
  <conditionalFormatting sqref="E28">
    <cfRule type="cellIs" dxfId="76" priority="6" operator="greaterThan">
      <formula>0</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0"/>
  <sheetViews>
    <sheetView showGridLines="0" zoomScaleNormal="100" workbookViewId="0">
      <pane ySplit="2" topLeftCell="A20" activePane="bottomLeft" state="frozen"/>
      <selection pane="bottomLeft" sqref="A1:M1"/>
    </sheetView>
  </sheetViews>
  <sheetFormatPr baseColWidth="10" defaultColWidth="8.6640625" defaultRowHeight="15" x14ac:dyDescent="0.2"/>
  <cols>
    <col min="1" max="1" width="11" customWidth="1"/>
    <col min="2" max="2" width="9" customWidth="1"/>
    <col min="3" max="3" width="30" customWidth="1"/>
    <col min="4" max="4" width="16" customWidth="1"/>
    <col min="5" max="5" width="12" customWidth="1"/>
    <col min="6" max="6" width="10" customWidth="1"/>
    <col min="7" max="9" width="13" customWidth="1"/>
    <col min="10" max="11" width="11" customWidth="1"/>
    <col min="12" max="12" width="13" customWidth="1"/>
    <col min="13" max="13" width="34" customWidth="1"/>
    <col min="15" max="15" width="26" customWidth="1"/>
    <col min="16" max="16" width="13" customWidth="1"/>
  </cols>
  <sheetData>
    <row r="1" spans="1:16" ht="30" customHeight="1" x14ac:dyDescent="0.2">
      <c r="A1" s="7" t="s">
        <v>54</v>
      </c>
      <c r="B1" s="7"/>
      <c r="C1" s="7"/>
      <c r="D1" s="7"/>
      <c r="E1" s="7"/>
      <c r="F1" s="7"/>
      <c r="G1" s="7"/>
      <c r="H1" s="7"/>
      <c r="I1" s="7"/>
      <c r="J1" s="7"/>
      <c r="K1" s="7"/>
      <c r="L1" s="7"/>
      <c r="M1" s="7"/>
      <c r="O1" s="6" t="s">
        <v>55</v>
      </c>
      <c r="P1" s="6"/>
    </row>
    <row r="2" spans="1:16" ht="27.75" customHeight="1" x14ac:dyDescent="0.2">
      <c r="A2" s="22" t="s">
        <v>56</v>
      </c>
      <c r="B2" s="22" t="s">
        <v>57</v>
      </c>
      <c r="C2" s="22" t="s">
        <v>58</v>
      </c>
      <c r="D2" s="22" t="s">
        <v>59</v>
      </c>
      <c r="E2" s="22" t="s">
        <v>60</v>
      </c>
      <c r="F2" s="22" t="s">
        <v>61</v>
      </c>
      <c r="G2" s="22" t="s">
        <v>62</v>
      </c>
      <c r="H2" s="22" t="s">
        <v>63</v>
      </c>
      <c r="I2" s="22" t="s">
        <v>64</v>
      </c>
      <c r="J2" s="22" t="s">
        <v>65</v>
      </c>
      <c r="K2" s="22" t="s">
        <v>66</v>
      </c>
      <c r="L2" s="22" t="s">
        <v>67</v>
      </c>
      <c r="M2" s="22" t="s">
        <v>68</v>
      </c>
      <c r="O2" s="23" t="s">
        <v>69</v>
      </c>
      <c r="P2" s="24"/>
    </row>
    <row r="3" spans="1:16" ht="15" customHeight="1" x14ac:dyDescent="0.2">
      <c r="A3" s="25" t="s">
        <v>70</v>
      </c>
      <c r="B3" s="26" t="s">
        <v>71</v>
      </c>
      <c r="C3" s="25" t="s">
        <v>72</v>
      </c>
      <c r="D3" s="26" t="s">
        <v>73</v>
      </c>
      <c r="E3" s="26">
        <v>45</v>
      </c>
      <c r="F3" s="26">
        <v>259.32</v>
      </c>
      <c r="G3" s="27">
        <f t="shared" ref="G3:G14" si="0">E3*F3</f>
        <v>11669.4</v>
      </c>
      <c r="H3" s="26">
        <v>13836.24</v>
      </c>
      <c r="I3" s="28">
        <f t="shared" ref="I3:I14" si="1">G3-H3</f>
        <v>-2166.84</v>
      </c>
      <c r="J3" s="29">
        <f t="shared" ref="J3:J14" si="2">IF(H3=0,"",G3/H3-1)</f>
        <v>-0.1566061299890722</v>
      </c>
      <c r="K3" s="29">
        <f>G3/SUM(G3:G14)</f>
        <v>2.8908947714947276E-2</v>
      </c>
      <c r="L3" s="29">
        <f>G3/SUM(G3:G14,G17:G35)</f>
        <v>1.6652986167961348E-2</v>
      </c>
      <c r="M3" s="30"/>
      <c r="O3" s="23" t="s">
        <v>74</v>
      </c>
      <c r="P3" s="24"/>
    </row>
    <row r="4" spans="1:16" ht="15" customHeight="1" x14ac:dyDescent="0.2">
      <c r="A4" s="25" t="s">
        <v>70</v>
      </c>
      <c r="B4" s="26" t="s">
        <v>75</v>
      </c>
      <c r="C4" s="25" t="s">
        <v>76</v>
      </c>
      <c r="D4" s="26" t="s">
        <v>73</v>
      </c>
      <c r="E4" s="26">
        <v>70</v>
      </c>
      <c r="F4" s="26">
        <v>197.31</v>
      </c>
      <c r="G4" s="27">
        <f t="shared" si="0"/>
        <v>13811.7</v>
      </c>
      <c r="H4" s="26">
        <v>10182.200000000001</v>
      </c>
      <c r="I4" s="28">
        <f t="shared" si="1"/>
        <v>3629.5</v>
      </c>
      <c r="J4" s="29">
        <f t="shared" si="2"/>
        <v>0.35645538292314027</v>
      </c>
      <c r="K4" s="29">
        <f>G4/SUM(G3:G14)</f>
        <v>3.421613049124525E-2</v>
      </c>
      <c r="L4" s="29">
        <f>G4/SUM(G3:G14,G17:G35)</f>
        <v>1.9710186389705706E-2</v>
      </c>
      <c r="M4" s="30"/>
    </row>
    <row r="5" spans="1:16" ht="15" customHeight="1" x14ac:dyDescent="0.2">
      <c r="A5" s="25" t="s">
        <v>70</v>
      </c>
      <c r="B5" s="26" t="s">
        <v>77</v>
      </c>
      <c r="C5" s="25" t="s">
        <v>78</v>
      </c>
      <c r="D5" s="26" t="s">
        <v>73</v>
      </c>
      <c r="E5" s="26">
        <v>7</v>
      </c>
      <c r="F5" s="26">
        <v>1678.22</v>
      </c>
      <c r="G5" s="27">
        <f t="shared" si="0"/>
        <v>11747.54</v>
      </c>
      <c r="H5" s="26">
        <v>9989.8799999999992</v>
      </c>
      <c r="I5" s="28">
        <f t="shared" si="1"/>
        <v>1757.6600000000017</v>
      </c>
      <c r="J5" s="29">
        <f t="shared" si="2"/>
        <v>0.17594405538404878</v>
      </c>
      <c r="K5" s="29">
        <f>G5/SUM(G3:G14)</f>
        <v>2.9102526234360958E-2</v>
      </c>
      <c r="L5" s="29">
        <f>G5/SUM(G3:G14,G17:G35)</f>
        <v>1.676449698592667E-2</v>
      </c>
      <c r="M5" s="30"/>
    </row>
    <row r="6" spans="1:16" ht="15" customHeight="1" x14ac:dyDescent="0.2">
      <c r="A6" s="25" t="s">
        <v>70</v>
      </c>
      <c r="B6" s="26" t="s">
        <v>79</v>
      </c>
      <c r="C6" s="25" t="s">
        <v>80</v>
      </c>
      <c r="D6" s="26" t="s">
        <v>73</v>
      </c>
      <c r="E6" s="26">
        <v>40</v>
      </c>
      <c r="F6" s="26">
        <v>209.86</v>
      </c>
      <c r="G6" s="27">
        <f t="shared" si="0"/>
        <v>8394.4000000000015</v>
      </c>
      <c r="H6" s="26">
        <v>4991.3500000000004</v>
      </c>
      <c r="I6" s="28">
        <f t="shared" si="1"/>
        <v>3403.0500000000011</v>
      </c>
      <c r="J6" s="29">
        <f t="shared" si="2"/>
        <v>0.68178949582778214</v>
      </c>
      <c r="K6" s="29">
        <f>G6/SUM(G3:G14)</f>
        <v>2.0795693925853384E-2</v>
      </c>
      <c r="L6" s="29">
        <f>G6/SUM(G3:G14,G17:G35)</f>
        <v>1.1979350016996142E-2</v>
      </c>
      <c r="M6" s="30"/>
    </row>
    <row r="7" spans="1:16" ht="15" customHeight="1" x14ac:dyDescent="0.2">
      <c r="A7" s="25" t="s">
        <v>70</v>
      </c>
      <c r="B7" s="26" t="s">
        <v>81</v>
      </c>
      <c r="C7" s="25" t="s">
        <v>82</v>
      </c>
      <c r="D7" s="26" t="s">
        <v>73</v>
      </c>
      <c r="E7" s="26">
        <v>100</v>
      </c>
      <c r="F7" s="26">
        <v>192.8</v>
      </c>
      <c r="G7" s="27">
        <f t="shared" si="0"/>
        <v>19280</v>
      </c>
      <c r="H7" s="26">
        <v>15412.54</v>
      </c>
      <c r="I7" s="28">
        <f t="shared" si="1"/>
        <v>3867.4599999999991</v>
      </c>
      <c r="J7" s="29">
        <f t="shared" si="2"/>
        <v>0.25092943797712763</v>
      </c>
      <c r="K7" s="29">
        <f>G7/SUM(G3:G14)</f>
        <v>4.7762910856100869E-2</v>
      </c>
      <c r="L7" s="29">
        <f>G7/SUM(G3:G14,G17:G35)</f>
        <v>2.751380305056771E-2</v>
      </c>
      <c r="M7" s="30"/>
    </row>
    <row r="8" spans="1:16" ht="15" customHeight="1" x14ac:dyDescent="0.2">
      <c r="A8" s="25" t="s">
        <v>70</v>
      </c>
      <c r="B8" s="26" t="s">
        <v>83</v>
      </c>
      <c r="C8" s="25" t="s">
        <v>84</v>
      </c>
      <c r="D8" s="26" t="s">
        <v>73</v>
      </c>
      <c r="E8" s="26">
        <v>7</v>
      </c>
      <c r="F8" s="26">
        <v>893.19</v>
      </c>
      <c r="G8" s="27">
        <f t="shared" si="0"/>
        <v>6252.33</v>
      </c>
      <c r="H8" s="26">
        <v>5836.11</v>
      </c>
      <c r="I8" s="28">
        <f t="shared" si="1"/>
        <v>416.22000000000025</v>
      </c>
      <c r="J8" s="29">
        <f t="shared" si="2"/>
        <v>7.1318052606959226E-2</v>
      </c>
      <c r="K8" s="29">
        <f>G8/SUM(G3:G14)</f>
        <v>1.5489080935317695E-2</v>
      </c>
      <c r="L8" s="29">
        <f>G8/SUM(G3:G14,G17:G35)</f>
        <v>8.9224780200807055E-3</v>
      </c>
      <c r="M8" s="30"/>
    </row>
    <row r="9" spans="1:16" ht="15" customHeight="1" x14ac:dyDescent="0.2">
      <c r="A9" s="25" t="s">
        <v>70</v>
      </c>
      <c r="B9" s="26" t="s">
        <v>85</v>
      </c>
      <c r="C9" s="25" t="s">
        <v>86</v>
      </c>
      <c r="D9" s="26" t="s">
        <v>73</v>
      </c>
      <c r="E9" s="26">
        <v>155</v>
      </c>
      <c r="F9" s="26">
        <v>219.22</v>
      </c>
      <c r="G9" s="27">
        <f t="shared" si="0"/>
        <v>33979.1</v>
      </c>
      <c r="H9" s="26">
        <v>26639.79</v>
      </c>
      <c r="I9" s="28">
        <f t="shared" si="1"/>
        <v>7339.3099999999977</v>
      </c>
      <c r="J9" s="29">
        <f t="shared" si="2"/>
        <v>0.2755017963730193</v>
      </c>
      <c r="K9" s="29">
        <f>G9/SUM(G3:G14)</f>
        <v>8.4177423458015405E-2</v>
      </c>
      <c r="L9" s="29">
        <f>G9/SUM(G3:G14,G17:G35)</f>
        <v>4.8490366454125786E-2</v>
      </c>
      <c r="M9" s="30"/>
    </row>
    <row r="10" spans="1:16" ht="15" customHeight="1" x14ac:dyDescent="0.2">
      <c r="A10" s="25" t="s">
        <v>70</v>
      </c>
      <c r="B10" s="26" t="s">
        <v>87</v>
      </c>
      <c r="C10" s="25" t="s">
        <v>88</v>
      </c>
      <c r="D10" s="26" t="s">
        <v>73</v>
      </c>
      <c r="E10" s="26">
        <v>70</v>
      </c>
      <c r="F10" s="26">
        <v>158.43</v>
      </c>
      <c r="G10" s="27">
        <f t="shared" si="0"/>
        <v>11090.1</v>
      </c>
      <c r="H10" s="26">
        <v>11612.3</v>
      </c>
      <c r="I10" s="28">
        <f t="shared" si="1"/>
        <v>-522.19999999999891</v>
      </c>
      <c r="J10" s="29">
        <f t="shared" si="2"/>
        <v>-4.4969558140936727E-2</v>
      </c>
      <c r="K10" s="29">
        <f>G10/SUM(G3:G14)</f>
        <v>2.7473830792803126E-2</v>
      </c>
      <c r="L10" s="29">
        <f>G10/SUM(G3:G14,G17:G35)</f>
        <v>1.5826287718418101E-2</v>
      </c>
      <c r="M10" s="30"/>
    </row>
    <row r="11" spans="1:16" ht="15" customHeight="1" x14ac:dyDescent="0.2">
      <c r="A11" s="25" t="s">
        <v>70</v>
      </c>
      <c r="B11" s="26" t="s">
        <v>89</v>
      </c>
      <c r="C11" s="25" t="s">
        <v>90</v>
      </c>
      <c r="D11" s="26" t="s">
        <v>73</v>
      </c>
      <c r="E11" s="26">
        <v>25</v>
      </c>
      <c r="F11" s="26">
        <v>414</v>
      </c>
      <c r="G11" s="27">
        <f t="shared" si="0"/>
        <v>10350</v>
      </c>
      <c r="H11" s="26">
        <v>6069.64</v>
      </c>
      <c r="I11" s="28">
        <f t="shared" si="1"/>
        <v>4280.3599999999997</v>
      </c>
      <c r="J11" s="29">
        <f t="shared" si="2"/>
        <v>0.70520821663228772</v>
      </c>
      <c r="K11" s="29">
        <f>G11/SUM(G3:G14)</f>
        <v>2.5640359302937968E-2</v>
      </c>
      <c r="L11" s="29">
        <f>G11/SUM(G3:G14,G17:G35)</f>
        <v>1.477011730152364E-2</v>
      </c>
      <c r="M11" s="30"/>
    </row>
    <row r="12" spans="1:16" ht="15" customHeight="1" x14ac:dyDescent="0.2">
      <c r="A12" s="25" t="s">
        <v>70</v>
      </c>
      <c r="B12" s="26" t="s">
        <v>91</v>
      </c>
      <c r="C12" s="25" t="s">
        <v>92</v>
      </c>
      <c r="D12" s="26" t="s">
        <v>73</v>
      </c>
      <c r="E12" s="26">
        <v>30</v>
      </c>
      <c r="F12" s="26">
        <v>277.94</v>
      </c>
      <c r="G12" s="27">
        <f t="shared" si="0"/>
        <v>8338.2000000000007</v>
      </c>
      <c r="H12" s="26">
        <v>7876.8</v>
      </c>
      <c r="I12" s="28">
        <f t="shared" si="1"/>
        <v>461.40000000000055</v>
      </c>
      <c r="J12" s="29">
        <f t="shared" si="2"/>
        <v>5.8577087141986617E-2</v>
      </c>
      <c r="K12" s="29">
        <f>G12/SUM(G3:G14)</f>
        <v>2.065646801350313E-2</v>
      </c>
      <c r="L12" s="29">
        <f>G12/SUM(G3:G14,G17:G35)</f>
        <v>1.1899148993581105E-2</v>
      </c>
      <c r="M12" s="30"/>
    </row>
    <row r="13" spans="1:16" ht="15" customHeight="1" x14ac:dyDescent="0.2">
      <c r="A13" s="25" t="s">
        <v>70</v>
      </c>
      <c r="B13" s="26" t="s">
        <v>93</v>
      </c>
      <c r="C13" s="25" t="s">
        <v>94</v>
      </c>
      <c r="D13" s="26" t="s">
        <v>95</v>
      </c>
      <c r="E13" s="26">
        <v>249948.16</v>
      </c>
      <c r="F13" s="26">
        <v>1</v>
      </c>
      <c r="G13" s="27">
        <f t="shared" si="0"/>
        <v>249948.16</v>
      </c>
      <c r="H13" s="26">
        <v>249948.16</v>
      </c>
      <c r="I13" s="28">
        <f t="shared" si="1"/>
        <v>0</v>
      </c>
      <c r="J13" s="29">
        <f t="shared" si="2"/>
        <v>0</v>
      </c>
      <c r="K13" s="29">
        <f>G13/SUM(G3:G14)</f>
        <v>0.61920392555635051</v>
      </c>
      <c r="L13" s="29">
        <f>G13/SUM(G3:G14,G17:G35)</f>
        <v>0.35669213937198058</v>
      </c>
      <c r="M13" s="30"/>
    </row>
    <row r="14" spans="1:16" ht="15" customHeight="1" x14ac:dyDescent="0.2">
      <c r="A14" s="25" t="s">
        <v>70</v>
      </c>
      <c r="B14" s="26" t="s">
        <v>96</v>
      </c>
      <c r="C14" s="25" t="s">
        <v>97</v>
      </c>
      <c r="D14" s="26" t="s">
        <v>95</v>
      </c>
      <c r="E14" s="26">
        <v>18799.560000000001</v>
      </c>
      <c r="F14" s="26">
        <v>1</v>
      </c>
      <c r="G14" s="27">
        <f t="shared" si="0"/>
        <v>18799.560000000001</v>
      </c>
      <c r="H14" s="26">
        <v>18799.560000000001</v>
      </c>
      <c r="I14" s="28">
        <f t="shared" si="1"/>
        <v>0</v>
      </c>
      <c r="J14" s="29">
        <f t="shared" si="2"/>
        <v>0</v>
      </c>
      <c r="K14" s="29">
        <f>G14/SUM(G3:G14)</f>
        <v>4.6572702718564306E-2</v>
      </c>
      <c r="L14" s="29">
        <f>G14/SUM(G3:G14,G17:G35)</f>
        <v>2.6828184194882299E-2</v>
      </c>
      <c r="M14" s="30"/>
    </row>
    <row r="15" spans="1:16" ht="15" customHeight="1" x14ac:dyDescent="0.2">
      <c r="A15" s="31"/>
      <c r="B15" s="31"/>
      <c r="C15" s="32" t="s">
        <v>98</v>
      </c>
      <c r="D15" s="31"/>
      <c r="E15" s="31"/>
      <c r="F15" s="31"/>
      <c r="G15" s="33">
        <f>SUM(G3:G14)</f>
        <v>403660.49000000005</v>
      </c>
      <c r="H15" s="33">
        <f>SUM(H3:H14)</f>
        <v>381194.57</v>
      </c>
      <c r="I15" s="33">
        <f>SUM(I3:I14)</f>
        <v>22465.920000000006</v>
      </c>
      <c r="J15" s="31"/>
      <c r="K15" s="31"/>
      <c r="L15" s="31"/>
      <c r="M15" s="31"/>
    </row>
    <row r="17" spans="1:13" ht="15" customHeight="1" x14ac:dyDescent="0.2">
      <c r="A17" s="25" t="s">
        <v>99</v>
      </c>
      <c r="B17" s="26" t="s">
        <v>100</v>
      </c>
      <c r="C17" s="25" t="s">
        <v>101</v>
      </c>
      <c r="D17" s="26" t="s">
        <v>95</v>
      </c>
      <c r="E17" s="26">
        <v>75832.09</v>
      </c>
      <c r="F17" s="26">
        <v>1</v>
      </c>
      <c r="G17" s="27">
        <f t="shared" ref="G17:G35" si="3">E17*F17</f>
        <v>75832.09</v>
      </c>
      <c r="H17" s="26">
        <v>75832.09</v>
      </c>
      <c r="I17" s="28">
        <f t="shared" ref="I17:I35" si="4">G17-H17</f>
        <v>0</v>
      </c>
      <c r="J17" s="29">
        <f t="shared" ref="J17:J35" si="5">IF(H17=0,"",G17/H17-1)</f>
        <v>0</v>
      </c>
      <c r="K17" s="29">
        <f>G17/SUM(G17:G35)</f>
        <v>0.25525926493176093</v>
      </c>
      <c r="L17" s="29">
        <f>G17/SUM(G3:G14,G17:G35)</f>
        <v>0.10821728159610607</v>
      </c>
      <c r="M17" s="30"/>
    </row>
    <row r="18" spans="1:13" ht="15" customHeight="1" x14ac:dyDescent="0.2">
      <c r="A18" s="25" t="s">
        <v>99</v>
      </c>
      <c r="B18" s="26" t="s">
        <v>102</v>
      </c>
      <c r="C18" s="25" t="s">
        <v>103</v>
      </c>
      <c r="D18" s="26" t="s">
        <v>104</v>
      </c>
      <c r="E18" s="26">
        <v>840.43759999999997</v>
      </c>
      <c r="F18" s="26">
        <v>59.56</v>
      </c>
      <c r="G18" s="27">
        <f t="shared" si="3"/>
        <v>50056.463455999998</v>
      </c>
      <c r="H18" s="26">
        <v>42412.88</v>
      </c>
      <c r="I18" s="28">
        <f t="shared" si="4"/>
        <v>7643.5834560000003</v>
      </c>
      <c r="J18" s="29">
        <f t="shared" si="5"/>
        <v>0.18021844911262797</v>
      </c>
      <c r="K18" s="29">
        <f>G18/SUM(G17:G35)</f>
        <v>0.16849563379912269</v>
      </c>
      <c r="L18" s="29">
        <f>G18/SUM(G3:G14,G17:G35)</f>
        <v>7.1433800670971145E-2</v>
      </c>
      <c r="M18" s="30"/>
    </row>
    <row r="19" spans="1:13" ht="15" customHeight="1" x14ac:dyDescent="0.2">
      <c r="A19" s="25" t="s">
        <v>99</v>
      </c>
      <c r="B19" s="26" t="s">
        <v>105</v>
      </c>
      <c r="C19" s="25" t="s">
        <v>106</v>
      </c>
      <c r="D19" s="26" t="s">
        <v>73</v>
      </c>
      <c r="E19" s="26">
        <v>206.42160000000001</v>
      </c>
      <c r="F19" s="26">
        <v>128.74</v>
      </c>
      <c r="G19" s="27">
        <f t="shared" si="3"/>
        <v>26574.716784000004</v>
      </c>
      <c r="H19" s="26">
        <v>20598.509999999998</v>
      </c>
      <c r="I19" s="28">
        <f t="shared" si="4"/>
        <v>5976.2067840000054</v>
      </c>
      <c r="J19" s="29">
        <f t="shared" si="5"/>
        <v>0.29012811043128872</v>
      </c>
      <c r="K19" s="29">
        <f>G19/SUM(G17:G35)</f>
        <v>8.9453457923335242E-2</v>
      </c>
      <c r="L19" s="29">
        <f>G19/SUM(G3:G14,G17:G35)</f>
        <v>3.7923834217821174E-2</v>
      </c>
      <c r="M19" s="30"/>
    </row>
    <row r="20" spans="1:13" ht="15" customHeight="1" x14ac:dyDescent="0.2">
      <c r="A20" s="25" t="s">
        <v>99</v>
      </c>
      <c r="B20" s="26" t="s">
        <v>107</v>
      </c>
      <c r="C20" s="25" t="s">
        <v>108</v>
      </c>
      <c r="D20" s="26" t="s">
        <v>73</v>
      </c>
      <c r="E20" s="26">
        <v>409.54669999999999</v>
      </c>
      <c r="F20" s="26">
        <v>56.12</v>
      </c>
      <c r="G20" s="27">
        <f t="shared" si="3"/>
        <v>22983.760803999998</v>
      </c>
      <c r="H20" s="26">
        <v>19073.09</v>
      </c>
      <c r="I20" s="28">
        <f t="shared" si="4"/>
        <v>3910.6708039999976</v>
      </c>
      <c r="J20" s="29">
        <f t="shared" si="5"/>
        <v>0.20503603789422686</v>
      </c>
      <c r="K20" s="29">
        <f>G20/SUM(G17:G35)</f>
        <v>7.7365899953389897E-2</v>
      </c>
      <c r="L20" s="29">
        <f>G20/SUM(G3:G14,G17:G35)</f>
        <v>3.2799308512583697E-2</v>
      </c>
      <c r="M20" s="30"/>
    </row>
    <row r="21" spans="1:13" ht="15" customHeight="1" x14ac:dyDescent="0.2">
      <c r="A21" s="25" t="s">
        <v>99</v>
      </c>
      <c r="B21" s="26" t="s">
        <v>109</v>
      </c>
      <c r="C21" s="25" t="s">
        <v>110</v>
      </c>
      <c r="D21" s="26" t="s">
        <v>104</v>
      </c>
      <c r="E21" s="26">
        <v>300</v>
      </c>
      <c r="F21" s="26">
        <v>69.59</v>
      </c>
      <c r="G21" s="27">
        <f t="shared" si="3"/>
        <v>20877</v>
      </c>
      <c r="H21" s="26">
        <v>16782</v>
      </c>
      <c r="I21" s="28">
        <f t="shared" si="4"/>
        <v>4095</v>
      </c>
      <c r="J21" s="29">
        <f t="shared" si="5"/>
        <v>0.24401144082946025</v>
      </c>
      <c r="K21" s="29">
        <f>G21/SUM(G17:G35)</f>
        <v>7.0274308330159088E-2</v>
      </c>
      <c r="L21" s="29">
        <f>G21/SUM(G3:G14,G17:G35)</f>
        <v>2.9792825014870437E-2</v>
      </c>
      <c r="M21" s="30"/>
    </row>
    <row r="22" spans="1:13" ht="15" customHeight="1" x14ac:dyDescent="0.2">
      <c r="A22" s="25" t="s">
        <v>99</v>
      </c>
      <c r="B22" s="26" t="s">
        <v>111</v>
      </c>
      <c r="C22" s="25" t="s">
        <v>112</v>
      </c>
      <c r="D22" s="26" t="s">
        <v>73</v>
      </c>
      <c r="E22" s="26">
        <v>35.075899999999997</v>
      </c>
      <c r="F22" s="26">
        <v>418.16</v>
      </c>
      <c r="G22" s="27">
        <f t="shared" si="3"/>
        <v>14667.338344</v>
      </c>
      <c r="H22" s="26">
        <v>12653.43</v>
      </c>
      <c r="I22" s="28">
        <f t="shared" si="4"/>
        <v>2013.9083439999995</v>
      </c>
      <c r="J22" s="29">
        <f t="shared" si="5"/>
        <v>0.15915908524408007</v>
      </c>
      <c r="K22" s="29">
        <f>G22/SUM(G17:G35)</f>
        <v>4.9371895251665514E-2</v>
      </c>
      <c r="L22" s="29">
        <f>G22/SUM(G3:G14,G17:G35)</f>
        <v>2.0931237472658501E-2</v>
      </c>
      <c r="M22" s="30"/>
    </row>
    <row r="23" spans="1:13" ht="15" customHeight="1" x14ac:dyDescent="0.2">
      <c r="A23" s="25" t="s">
        <v>99</v>
      </c>
      <c r="B23" s="26" t="s">
        <v>85</v>
      </c>
      <c r="C23" s="25" t="s">
        <v>86</v>
      </c>
      <c r="D23" s="26" t="s">
        <v>73</v>
      </c>
      <c r="E23" s="26">
        <v>59.021900000000002</v>
      </c>
      <c r="F23" s="26">
        <v>211.87</v>
      </c>
      <c r="G23" s="27">
        <f t="shared" si="3"/>
        <v>12504.969953000002</v>
      </c>
      <c r="H23" s="26">
        <v>11377.73</v>
      </c>
      <c r="I23" s="28">
        <f t="shared" si="4"/>
        <v>1127.2399530000021</v>
      </c>
      <c r="J23" s="29">
        <f t="shared" si="5"/>
        <v>9.9074240028547145E-2</v>
      </c>
      <c r="K23" s="29">
        <f>G23/SUM(G17:G35)</f>
        <v>4.209312229422317E-2</v>
      </c>
      <c r="L23" s="29">
        <f>G23/SUM(G3:G14,G17:G35)</f>
        <v>1.7845398363076193E-2</v>
      </c>
      <c r="M23" s="30"/>
    </row>
    <row r="24" spans="1:13" ht="15" customHeight="1" x14ac:dyDescent="0.2">
      <c r="A24" s="25" t="s">
        <v>99</v>
      </c>
      <c r="B24" s="26" t="s">
        <v>113</v>
      </c>
      <c r="C24" s="25" t="s">
        <v>114</v>
      </c>
      <c r="D24" s="26" t="s">
        <v>73</v>
      </c>
      <c r="E24" s="26">
        <v>25</v>
      </c>
      <c r="F24" s="26">
        <v>478.7</v>
      </c>
      <c r="G24" s="27">
        <f t="shared" si="3"/>
        <v>11967.5</v>
      </c>
      <c r="H24" s="26">
        <v>11348.3</v>
      </c>
      <c r="I24" s="28">
        <f t="shared" si="4"/>
        <v>619.20000000000073</v>
      </c>
      <c r="J24" s="29">
        <f t="shared" si="5"/>
        <v>5.4563238546742721E-2</v>
      </c>
      <c r="K24" s="29">
        <f>G24/SUM(G17:G35)</f>
        <v>4.0283938541992567E-2</v>
      </c>
      <c r="L24" s="29">
        <f>G24/SUM(G3:G14,G17:G35)</f>
        <v>1.7078394087534702E-2</v>
      </c>
      <c r="M24" s="30" t="s">
        <v>115</v>
      </c>
    </row>
    <row r="25" spans="1:13" ht="15" customHeight="1" x14ac:dyDescent="0.2">
      <c r="A25" s="25" t="s">
        <v>99</v>
      </c>
      <c r="B25" s="26" t="s">
        <v>116</v>
      </c>
      <c r="C25" s="25" t="s">
        <v>117</v>
      </c>
      <c r="D25" s="26" t="s">
        <v>73</v>
      </c>
      <c r="E25" s="26">
        <v>76.937399999999997</v>
      </c>
      <c r="F25" s="26">
        <v>151.16</v>
      </c>
      <c r="G25" s="27">
        <f t="shared" si="3"/>
        <v>11629.857383999999</v>
      </c>
      <c r="H25" s="26">
        <v>9318.7900000000009</v>
      </c>
      <c r="I25" s="28">
        <f t="shared" si="4"/>
        <v>2311.0673839999981</v>
      </c>
      <c r="J25" s="29">
        <f t="shared" si="5"/>
        <v>0.24800080096235644</v>
      </c>
      <c r="K25" s="29">
        <f>G25/SUM(G17:G35)</f>
        <v>3.9147395872922035E-2</v>
      </c>
      <c r="L25" s="29">
        <f>G25/SUM(G3:G14,G17:G35)</f>
        <v>1.6596556305475445E-2</v>
      </c>
      <c r="M25" s="30"/>
    </row>
    <row r="26" spans="1:13" ht="15" customHeight="1" x14ac:dyDescent="0.2">
      <c r="A26" s="25" t="s">
        <v>99</v>
      </c>
      <c r="B26" s="26" t="s">
        <v>118</v>
      </c>
      <c r="C26" s="25" t="s">
        <v>119</v>
      </c>
      <c r="D26" s="26" t="s">
        <v>73</v>
      </c>
      <c r="E26" s="26">
        <v>200</v>
      </c>
      <c r="F26" s="26">
        <v>50.5</v>
      </c>
      <c r="G26" s="27">
        <f t="shared" si="3"/>
        <v>10100</v>
      </c>
      <c r="H26" s="26">
        <v>9257</v>
      </c>
      <c r="I26" s="28">
        <f t="shared" si="4"/>
        <v>843</v>
      </c>
      <c r="J26" s="29">
        <f t="shared" si="5"/>
        <v>9.1066220157718591E-2</v>
      </c>
      <c r="K26" s="29">
        <f>G26/SUM(G17:G35)</f>
        <v>3.3997725445926462E-2</v>
      </c>
      <c r="L26" s="29">
        <f>G26/SUM(G3:G14,G17:G35)</f>
        <v>1.441335118312935E-2</v>
      </c>
      <c r="M26" s="30"/>
    </row>
    <row r="27" spans="1:13" ht="15" customHeight="1" x14ac:dyDescent="0.2">
      <c r="A27" s="25" t="s">
        <v>99</v>
      </c>
      <c r="B27" s="26" t="s">
        <v>75</v>
      </c>
      <c r="C27" s="25" t="s">
        <v>76</v>
      </c>
      <c r="D27" s="26" t="s">
        <v>73</v>
      </c>
      <c r="E27" s="26">
        <v>50</v>
      </c>
      <c r="F27" s="26">
        <v>190.51</v>
      </c>
      <c r="G27" s="27">
        <f t="shared" si="3"/>
        <v>9525.5</v>
      </c>
      <c r="H27" s="26">
        <v>7394.5</v>
      </c>
      <c r="I27" s="28">
        <f t="shared" si="4"/>
        <v>2131</v>
      </c>
      <c r="J27" s="29">
        <f t="shared" si="5"/>
        <v>0.28818716613699369</v>
      </c>
      <c r="K27" s="29">
        <f>G27/SUM(G17:G35)</f>
        <v>3.2063894429225005E-2</v>
      </c>
      <c r="L27" s="29">
        <f>G27/SUM(G3:G14,G17:G35)</f>
        <v>1.3593502643059269E-2</v>
      </c>
      <c r="M27" s="30"/>
    </row>
    <row r="28" spans="1:13" ht="15" customHeight="1" x14ac:dyDescent="0.2">
      <c r="A28" s="25" t="s">
        <v>99</v>
      </c>
      <c r="B28" s="26" t="s">
        <v>79</v>
      </c>
      <c r="C28" s="25" t="s">
        <v>80</v>
      </c>
      <c r="D28" s="26" t="s">
        <v>73</v>
      </c>
      <c r="E28" s="26">
        <v>45</v>
      </c>
      <c r="F28" s="26">
        <v>211.22</v>
      </c>
      <c r="G28" s="27">
        <f t="shared" si="3"/>
        <v>9504.9</v>
      </c>
      <c r="H28" s="26">
        <v>7099.31</v>
      </c>
      <c r="I28" s="28">
        <f t="shared" si="4"/>
        <v>2405.5899999999992</v>
      </c>
      <c r="J28" s="29">
        <f t="shared" si="5"/>
        <v>0.33884842329747533</v>
      </c>
      <c r="K28" s="29">
        <f>G28/SUM(G17:G35)</f>
        <v>3.1994552533761031E-2</v>
      </c>
      <c r="L28" s="29">
        <f>G28/SUM(G3:G14,G17:G35)</f>
        <v>1.356410511490358E-2</v>
      </c>
      <c r="M28" s="30"/>
    </row>
    <row r="29" spans="1:13" ht="15" customHeight="1" x14ac:dyDescent="0.2">
      <c r="A29" s="25" t="s">
        <v>99</v>
      </c>
      <c r="B29" s="26" t="s">
        <v>120</v>
      </c>
      <c r="C29" s="25" t="s">
        <v>121</v>
      </c>
      <c r="D29" s="26" t="s">
        <v>73</v>
      </c>
      <c r="E29" s="26">
        <v>61.448399999999999</v>
      </c>
      <c r="F29" s="26">
        <v>139.06</v>
      </c>
      <c r="G29" s="27">
        <f t="shared" si="3"/>
        <v>8545.0145040000007</v>
      </c>
      <c r="H29" s="26">
        <v>7630.55</v>
      </c>
      <c r="I29" s="28">
        <f t="shared" si="4"/>
        <v>914.46450400000049</v>
      </c>
      <c r="J29" s="29">
        <f t="shared" si="5"/>
        <v>0.1198425413633355</v>
      </c>
      <c r="K29" s="29">
        <f>G29/SUM(G17:G35)</f>
        <v>2.8763470993906089E-2</v>
      </c>
      <c r="L29" s="29">
        <f>G29/SUM(G3:G14,G17:G35)</f>
        <v>1.2194286624859985E-2</v>
      </c>
      <c r="M29" s="30"/>
    </row>
    <row r="30" spans="1:13" ht="15" customHeight="1" x14ac:dyDescent="0.2">
      <c r="A30" s="25" t="s">
        <v>99</v>
      </c>
      <c r="B30" s="26" t="s">
        <v>122</v>
      </c>
      <c r="C30" s="25" t="s">
        <v>123</v>
      </c>
      <c r="D30" s="26" t="s">
        <v>73</v>
      </c>
      <c r="E30" s="26">
        <v>0</v>
      </c>
      <c r="F30" s="26">
        <v>86.07</v>
      </c>
      <c r="G30" s="27">
        <f t="shared" si="3"/>
        <v>0</v>
      </c>
      <c r="H30" s="26">
        <v>0</v>
      </c>
      <c r="I30" s="28">
        <f t="shared" si="4"/>
        <v>0</v>
      </c>
      <c r="J30" s="29" t="str">
        <f t="shared" si="5"/>
        <v/>
      </c>
      <c r="K30" s="29">
        <f>G30/SUM(G17:G35)</f>
        <v>0</v>
      </c>
      <c r="L30" s="29">
        <f>G30/SUM(G3:G14,G17:G35)</f>
        <v>0</v>
      </c>
      <c r="M30" s="30" t="s">
        <v>124</v>
      </c>
    </row>
    <row r="31" spans="1:13" ht="15" customHeight="1" x14ac:dyDescent="0.2">
      <c r="A31" s="25" t="s">
        <v>99</v>
      </c>
      <c r="B31" s="26" t="s">
        <v>125</v>
      </c>
      <c r="C31" s="25" t="s">
        <v>126</v>
      </c>
      <c r="D31" s="26" t="s">
        <v>73</v>
      </c>
      <c r="E31" s="26">
        <v>0</v>
      </c>
      <c r="F31" s="26">
        <v>327.35000000000002</v>
      </c>
      <c r="G31" s="27">
        <f t="shared" si="3"/>
        <v>0</v>
      </c>
      <c r="H31" s="26">
        <v>0</v>
      </c>
      <c r="I31" s="28">
        <f t="shared" si="4"/>
        <v>0</v>
      </c>
      <c r="J31" s="29" t="str">
        <f t="shared" si="5"/>
        <v/>
      </c>
      <c r="K31" s="29">
        <f>G31/SUM(G17:G35)</f>
        <v>0</v>
      </c>
      <c r="L31" s="29">
        <f>G31/SUM(G3:G14,G17:G35)</f>
        <v>0</v>
      </c>
      <c r="M31" s="30" t="s">
        <v>127</v>
      </c>
    </row>
    <row r="32" spans="1:13" ht="15" customHeight="1" x14ac:dyDescent="0.2">
      <c r="A32" s="25" t="s">
        <v>99</v>
      </c>
      <c r="B32" s="26" t="s">
        <v>128</v>
      </c>
      <c r="C32" s="25" t="s">
        <v>129</v>
      </c>
      <c r="D32" s="26" t="s">
        <v>73</v>
      </c>
      <c r="E32" s="26">
        <v>40.177900000000001</v>
      </c>
      <c r="F32" s="26">
        <v>120.16</v>
      </c>
      <c r="G32" s="27">
        <f t="shared" si="3"/>
        <v>4827.7764639999996</v>
      </c>
      <c r="H32" s="26">
        <v>3643.46</v>
      </c>
      <c r="I32" s="28">
        <f t="shared" si="4"/>
        <v>1184.3164639999995</v>
      </c>
      <c r="J32" s="29">
        <f t="shared" si="5"/>
        <v>0.32505268728077152</v>
      </c>
      <c r="K32" s="29">
        <f>G32/SUM(G17:G35)</f>
        <v>1.6250833538354225E-2</v>
      </c>
      <c r="L32" s="29">
        <f>G32/SUM(G3:G14,G17:G35)</f>
        <v>6.889548278146378E-3</v>
      </c>
      <c r="M32" s="30"/>
    </row>
    <row r="33" spans="1:13" ht="15" customHeight="1" x14ac:dyDescent="0.2">
      <c r="A33" s="25" t="s">
        <v>99</v>
      </c>
      <c r="B33" s="26" t="s">
        <v>130</v>
      </c>
      <c r="C33" s="25" t="s">
        <v>131</v>
      </c>
      <c r="D33" s="26" t="s">
        <v>95</v>
      </c>
      <c r="E33" s="26">
        <v>4228.6099999999997</v>
      </c>
      <c r="F33" s="26">
        <v>1</v>
      </c>
      <c r="G33" s="27">
        <f t="shared" si="3"/>
        <v>4228.6099999999997</v>
      </c>
      <c r="H33" s="26">
        <v>4228.6099999999997</v>
      </c>
      <c r="I33" s="28">
        <f t="shared" si="4"/>
        <v>0</v>
      </c>
      <c r="J33" s="29">
        <f t="shared" si="5"/>
        <v>0</v>
      </c>
      <c r="K33" s="29">
        <f>G33/SUM(G17:G35)</f>
        <v>1.4233972455237533E-2</v>
      </c>
      <c r="L33" s="29">
        <f>G33/SUM(G3:G14,G17:G35)</f>
        <v>6.0344991036131281E-3</v>
      </c>
      <c r="M33" s="30"/>
    </row>
    <row r="34" spans="1:13" ht="15" customHeight="1" x14ac:dyDescent="0.2">
      <c r="A34" s="25" t="s">
        <v>99</v>
      </c>
      <c r="B34" s="26" t="s">
        <v>132</v>
      </c>
      <c r="C34" s="25" t="s">
        <v>133</v>
      </c>
      <c r="D34" s="26" t="s">
        <v>73</v>
      </c>
      <c r="E34" s="26">
        <v>0</v>
      </c>
      <c r="F34" s="26">
        <v>37.61</v>
      </c>
      <c r="G34" s="27">
        <f t="shared" si="3"/>
        <v>0</v>
      </c>
      <c r="H34" s="26">
        <v>0</v>
      </c>
      <c r="I34" s="28">
        <f t="shared" si="4"/>
        <v>0</v>
      </c>
      <c r="J34" s="29" t="str">
        <f t="shared" si="5"/>
        <v/>
      </c>
      <c r="K34" s="29">
        <f>G34/SUM(G17:G35)</f>
        <v>0</v>
      </c>
      <c r="L34" s="29">
        <f>G34/SUM(G3:G14,G17:G35)</f>
        <v>0</v>
      </c>
      <c r="M34" s="30" t="s">
        <v>134</v>
      </c>
    </row>
    <row r="35" spans="1:13" ht="15" customHeight="1" x14ac:dyDescent="0.2">
      <c r="A35" s="25" t="s">
        <v>99</v>
      </c>
      <c r="B35" s="26" t="s">
        <v>87</v>
      </c>
      <c r="C35" s="25" t="s">
        <v>88</v>
      </c>
      <c r="D35" s="26" t="s">
        <v>73</v>
      </c>
      <c r="E35" s="26">
        <v>20</v>
      </c>
      <c r="F35" s="26">
        <v>162.66</v>
      </c>
      <c r="G35" s="27">
        <f t="shared" si="3"/>
        <v>3253.2</v>
      </c>
      <c r="H35" s="26">
        <v>3178</v>
      </c>
      <c r="I35" s="28">
        <f t="shared" si="4"/>
        <v>75.199999999999818</v>
      </c>
      <c r="J35" s="29">
        <f t="shared" si="5"/>
        <v>2.3662680931403335E-2</v>
      </c>
      <c r="K35" s="29">
        <f>G35/SUM(G17:G35)</f>
        <v>1.0950633705018611E-2</v>
      </c>
      <c r="L35" s="29">
        <f>G35/SUM(G3:G14,G17:G35)</f>
        <v>4.6425261454412278E-3</v>
      </c>
      <c r="M35" s="30"/>
    </row>
    <row r="36" spans="1:13" ht="15" customHeight="1" x14ac:dyDescent="0.2">
      <c r="A36" s="31"/>
      <c r="B36" s="31"/>
      <c r="C36" s="32" t="s">
        <v>135</v>
      </c>
      <c r="D36" s="31"/>
      <c r="E36" s="31"/>
      <c r="F36" s="31"/>
      <c r="G36" s="33">
        <f>SUM(G17:G35)</f>
        <v>297078.69769299997</v>
      </c>
      <c r="H36" s="33">
        <f>SUM(H17:H35)</f>
        <v>261828.24999999997</v>
      </c>
      <c r="I36" s="33">
        <f>SUM(I17:I35)</f>
        <v>35250.447692999995</v>
      </c>
      <c r="J36" s="31"/>
      <c r="K36" s="31"/>
      <c r="L36" s="31"/>
      <c r="M36" s="31"/>
    </row>
    <row r="38" spans="1:13" ht="15" customHeight="1" x14ac:dyDescent="0.2">
      <c r="A38" s="34"/>
      <c r="B38" s="34"/>
      <c r="C38" s="35" t="s">
        <v>136</v>
      </c>
      <c r="D38" s="34"/>
      <c r="E38" s="34"/>
      <c r="F38" s="34"/>
      <c r="G38" s="36">
        <f>SUM(G3:G14)+SUM(G17:G35)</f>
        <v>700739.18769300007</v>
      </c>
      <c r="H38" s="36">
        <f>SUM(H3:H14)+SUM(H17:H35)</f>
        <v>643022.81999999995</v>
      </c>
      <c r="I38" s="36">
        <f>SUM(I3:I14)+SUM(I17:I35)</f>
        <v>57716.367693</v>
      </c>
      <c r="J38" s="34"/>
      <c r="K38" s="34"/>
      <c r="L38" s="34"/>
      <c r="M38" s="34"/>
    </row>
    <row r="40" spans="1:13" ht="39.75" customHeight="1" x14ac:dyDescent="0.2">
      <c r="A40" s="5" t="s">
        <v>137</v>
      </c>
      <c r="B40" s="5"/>
      <c r="C40" s="5"/>
      <c r="D40" s="5"/>
      <c r="E40" s="5"/>
      <c r="F40" s="5"/>
      <c r="G40" s="5"/>
      <c r="H40" s="5"/>
      <c r="I40" s="5"/>
      <c r="J40" s="5"/>
      <c r="K40" s="5"/>
      <c r="L40" s="5"/>
      <c r="M40" s="5"/>
    </row>
  </sheetData>
  <mergeCells count="3">
    <mergeCell ref="A1:M1"/>
    <mergeCell ref="O1:P1"/>
    <mergeCell ref="A40:M40"/>
  </mergeCells>
  <conditionalFormatting sqref="J3:J35">
    <cfRule type="cellIs" dxfId="75" priority="2" operator="greaterThan">
      <formula>0</formula>
    </cfRule>
    <cfRule type="cellIs" dxfId="74" priority="3" operator="lessThan">
      <formula>0</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2"/>
  <sheetViews>
    <sheetView showGridLines="0" zoomScaleNormal="100" workbookViewId="0">
      <pane ySplit="2" topLeftCell="A3" activePane="bottomLeft" state="frozen"/>
      <selection pane="bottomLeft" sqref="A1:P1"/>
    </sheetView>
  </sheetViews>
  <sheetFormatPr baseColWidth="10" defaultColWidth="8.6640625" defaultRowHeight="15" x14ac:dyDescent="0.2"/>
  <cols>
    <col min="1" max="1" width="8" customWidth="1"/>
    <col min="2" max="2" width="20" customWidth="1"/>
    <col min="3" max="3" width="11" customWidth="1"/>
    <col min="4" max="5" width="10" customWidth="1"/>
    <col min="6" max="6" width="11" customWidth="1"/>
    <col min="7" max="9" width="10" customWidth="1"/>
    <col min="10" max="10" width="12" customWidth="1"/>
    <col min="11" max="11" width="10" customWidth="1"/>
    <col min="12" max="12" width="22" customWidth="1"/>
    <col min="13" max="14" width="10" customWidth="1"/>
    <col min="15" max="15" width="24" customWidth="1"/>
    <col min="16" max="16" width="28" customWidth="1"/>
  </cols>
  <sheetData>
    <row r="1" spans="1:16" ht="25.5" customHeight="1" x14ac:dyDescent="0.2">
      <c r="A1" s="7" t="s">
        <v>138</v>
      </c>
      <c r="B1" s="7"/>
      <c r="C1" s="7"/>
      <c r="D1" s="7"/>
      <c r="E1" s="7"/>
      <c r="F1" s="7"/>
      <c r="G1" s="7"/>
      <c r="H1" s="7"/>
      <c r="I1" s="7"/>
      <c r="J1" s="7"/>
      <c r="K1" s="7"/>
      <c r="L1" s="7"/>
      <c r="M1" s="7"/>
      <c r="N1" s="7"/>
      <c r="O1" s="7"/>
      <c r="P1" s="7"/>
    </row>
    <row r="2" spans="1:16" ht="31.5" customHeight="1" x14ac:dyDescent="0.2">
      <c r="A2" s="22" t="s">
        <v>57</v>
      </c>
      <c r="B2" s="22" t="s">
        <v>139</v>
      </c>
      <c r="C2" s="22" t="s">
        <v>140</v>
      </c>
      <c r="D2" s="22" t="s">
        <v>141</v>
      </c>
      <c r="E2" s="22" t="s">
        <v>142</v>
      </c>
      <c r="F2" s="22" t="s">
        <v>143</v>
      </c>
      <c r="G2" s="22" t="s">
        <v>144</v>
      </c>
      <c r="H2" s="22" t="s">
        <v>145</v>
      </c>
      <c r="I2" s="22" t="s">
        <v>146</v>
      </c>
      <c r="J2" s="22" t="s">
        <v>147</v>
      </c>
      <c r="K2" s="22" t="s">
        <v>148</v>
      </c>
      <c r="L2" s="22" t="s">
        <v>149</v>
      </c>
      <c r="M2" s="22" t="s">
        <v>150</v>
      </c>
      <c r="N2" s="22" t="s">
        <v>151</v>
      </c>
      <c r="O2" s="22" t="s">
        <v>152</v>
      </c>
      <c r="P2" s="22" t="s">
        <v>153</v>
      </c>
    </row>
    <row r="3" spans="1:16" ht="15" customHeight="1" x14ac:dyDescent="0.2">
      <c r="A3" s="37" t="s">
        <v>71</v>
      </c>
      <c r="B3" s="30" t="s">
        <v>154</v>
      </c>
      <c r="C3" s="38">
        <v>46240</v>
      </c>
      <c r="D3" s="37">
        <v>85.8</v>
      </c>
      <c r="E3" s="37">
        <v>4.57</v>
      </c>
      <c r="F3" s="37" t="s">
        <v>155</v>
      </c>
      <c r="G3" s="37">
        <v>259.32</v>
      </c>
      <c r="H3" s="39"/>
      <c r="I3" s="40" t="str">
        <f t="shared" ref="I3:I42" si="0">IF(OR(G3="",H3=""),"",H3/G3-1)</f>
        <v/>
      </c>
      <c r="J3" s="41"/>
      <c r="K3" s="37"/>
      <c r="L3" s="30"/>
      <c r="M3" s="37"/>
      <c r="N3" s="42">
        <f t="shared" ref="N3:N42" ca="1" si="1">IF(C3="","",TODAY()-C3)</f>
        <v>0</v>
      </c>
      <c r="O3" s="43" t="str">
        <f t="shared" ref="O3:O42" ca="1" si="2">IF(A3="","",IF(N3&gt;180,"DUE — STALE (&gt;180 days)",IF(J3&lt;&gt;"",IF(ABS(J3-TODAY())&lt;=7,"DUE — EARNINGS WINDOW",IF(I3&lt;&gt;"",IF(ABS(I3)&gt;=0.2,"DUE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Only"))))),IF(I3&lt;&gt;"",IF(ABS(I3)&gt;=0.2,"DUE — PRICE MOVE ±20%",IF(K3="Y","DUE — INSIDER ACTIVITY",IF(I3&lt;&gt;"",IF(ABS(I3)&gt;=0.15,"WATCH — PRICE MOVE ±15%",IF(M3="Y","WATCH — ANALYST SHIFT","Monitor Only")),IF(M3="Y","WATCH — ANALYST SHIFT","Monitor Only")))),IF(K3="Y","DUE — INSIDER ACTIVITY",IF(I3&lt;&gt;"",IF(ABS(I3)&gt;=0.15,"WATCH — PRICE MOVE ±15%",IF(M3="Y","WATCH — ANALYST SHIFT","Monitor Only")),IF(M3="Y","WATCH — ANALYST SHIFT","Monitor Only")))))))</f>
        <v>Monitor Only</v>
      </c>
      <c r="P3" s="30"/>
    </row>
    <row r="4" spans="1:16" ht="15" customHeight="1" x14ac:dyDescent="0.2">
      <c r="A4" s="37" t="s">
        <v>75</v>
      </c>
      <c r="B4" s="30" t="s">
        <v>154</v>
      </c>
      <c r="C4" s="38">
        <v>46240</v>
      </c>
      <c r="D4" s="37">
        <v>85</v>
      </c>
      <c r="E4" s="37">
        <v>4.57</v>
      </c>
      <c r="F4" s="37" t="s">
        <v>155</v>
      </c>
      <c r="G4" s="37">
        <v>190.51</v>
      </c>
      <c r="H4" s="39"/>
      <c r="I4" s="40" t="str">
        <f t="shared" si="0"/>
        <v/>
      </c>
      <c r="J4" s="41"/>
      <c r="K4" s="37"/>
      <c r="L4" s="30"/>
      <c r="M4" s="37"/>
      <c r="N4" s="42">
        <f t="shared" ca="1" si="1"/>
        <v>0</v>
      </c>
      <c r="O4" s="43" t="str">
        <f t="shared" ca="1" si="2"/>
        <v>Monitor Only</v>
      </c>
      <c r="P4" s="30"/>
    </row>
    <row r="5" spans="1:16" ht="15" customHeight="1" x14ac:dyDescent="0.2">
      <c r="A5" s="37" t="s">
        <v>77</v>
      </c>
      <c r="B5" s="30" t="s">
        <v>154</v>
      </c>
      <c r="C5" s="38">
        <v>46240</v>
      </c>
      <c r="D5" s="37">
        <v>73.2</v>
      </c>
      <c r="E5" s="37">
        <v>3.57</v>
      </c>
      <c r="F5" s="37" t="s">
        <v>156</v>
      </c>
      <c r="G5" s="37">
        <v>1678.22</v>
      </c>
      <c r="H5" s="39"/>
      <c r="I5" s="40" t="str">
        <f t="shared" si="0"/>
        <v/>
      </c>
      <c r="J5" s="41"/>
      <c r="K5" s="37"/>
      <c r="L5" s="30"/>
      <c r="M5" s="37"/>
      <c r="N5" s="42">
        <f t="shared" ca="1" si="1"/>
        <v>0</v>
      </c>
      <c r="O5" s="43" t="str">
        <f t="shared" ca="1" si="2"/>
        <v>Monitor Only</v>
      </c>
      <c r="P5" s="30"/>
    </row>
    <row r="6" spans="1:16" ht="15" customHeight="1" x14ac:dyDescent="0.2">
      <c r="A6" s="37" t="s">
        <v>79</v>
      </c>
      <c r="B6" s="30" t="s">
        <v>154</v>
      </c>
      <c r="C6" s="38">
        <v>46240</v>
      </c>
      <c r="D6" s="37">
        <v>70.400000000000006</v>
      </c>
      <c r="E6" s="37">
        <v>4</v>
      </c>
      <c r="F6" s="37" t="s">
        <v>156</v>
      </c>
      <c r="G6" s="37">
        <v>211.22</v>
      </c>
      <c r="H6" s="39"/>
      <c r="I6" s="40" t="str">
        <f t="shared" si="0"/>
        <v/>
      </c>
      <c r="J6" s="41"/>
      <c r="K6" s="37"/>
      <c r="L6" s="30"/>
      <c r="M6" s="37"/>
      <c r="N6" s="42">
        <f t="shared" ca="1" si="1"/>
        <v>0</v>
      </c>
      <c r="O6" s="43" t="str">
        <f t="shared" ca="1" si="2"/>
        <v>Monitor Only</v>
      </c>
      <c r="P6" s="30"/>
    </row>
    <row r="7" spans="1:16" ht="15" customHeight="1" x14ac:dyDescent="0.2">
      <c r="A7" s="37" t="s">
        <v>81</v>
      </c>
      <c r="B7" s="30" t="s">
        <v>154</v>
      </c>
      <c r="C7" s="38">
        <v>46240</v>
      </c>
      <c r="D7" s="37">
        <v>68.599999999999994</v>
      </c>
      <c r="E7" s="37">
        <v>3.43</v>
      </c>
      <c r="F7" s="37" t="s">
        <v>156</v>
      </c>
      <c r="G7" s="37">
        <v>192.8</v>
      </c>
      <c r="H7" s="39"/>
      <c r="I7" s="40" t="str">
        <f t="shared" si="0"/>
        <v/>
      </c>
      <c r="J7" s="41"/>
      <c r="K7" s="37"/>
      <c r="L7" s="30"/>
      <c r="M7" s="37"/>
      <c r="N7" s="42">
        <f t="shared" ca="1" si="1"/>
        <v>0</v>
      </c>
      <c r="O7" s="43" t="str">
        <f t="shared" ca="1" si="2"/>
        <v>Monitor Only</v>
      </c>
      <c r="P7" s="30"/>
    </row>
    <row r="8" spans="1:16" ht="15" customHeight="1" x14ac:dyDescent="0.2">
      <c r="A8" s="37" t="s">
        <v>83</v>
      </c>
      <c r="B8" s="30" t="s">
        <v>154</v>
      </c>
      <c r="C8" s="38">
        <v>46240</v>
      </c>
      <c r="D8" s="37">
        <v>71.8</v>
      </c>
      <c r="E8" s="37">
        <v>3.64</v>
      </c>
      <c r="F8" s="37" t="s">
        <v>156</v>
      </c>
      <c r="G8" s="37">
        <v>893.19</v>
      </c>
      <c r="H8" s="39"/>
      <c r="I8" s="40" t="str">
        <f t="shared" si="0"/>
        <v/>
      </c>
      <c r="J8" s="41"/>
      <c r="K8" s="37"/>
      <c r="L8" s="30"/>
      <c r="M8" s="37"/>
      <c r="N8" s="42">
        <f t="shared" ca="1" si="1"/>
        <v>0</v>
      </c>
      <c r="O8" s="43" t="str">
        <f t="shared" ca="1" si="2"/>
        <v>Monitor Only</v>
      </c>
      <c r="P8" s="30"/>
    </row>
    <row r="9" spans="1:16" ht="15" customHeight="1" x14ac:dyDescent="0.2">
      <c r="A9" s="37" t="s">
        <v>85</v>
      </c>
      <c r="B9" s="30" t="s">
        <v>154</v>
      </c>
      <c r="C9" s="38">
        <v>46240</v>
      </c>
      <c r="D9" s="37">
        <v>93.2</v>
      </c>
      <c r="E9" s="37">
        <v>4.57</v>
      </c>
      <c r="F9" s="37" t="s">
        <v>155</v>
      </c>
      <c r="G9" s="37">
        <v>211.87</v>
      </c>
      <c r="H9" s="39"/>
      <c r="I9" s="40" t="str">
        <f t="shared" si="0"/>
        <v/>
      </c>
      <c r="J9" s="41"/>
      <c r="K9" s="37"/>
      <c r="L9" s="30"/>
      <c r="M9" s="37"/>
      <c r="N9" s="42">
        <f t="shared" ca="1" si="1"/>
        <v>0</v>
      </c>
      <c r="O9" s="43" t="str">
        <f t="shared" ca="1" si="2"/>
        <v>Monitor Only</v>
      </c>
      <c r="P9" s="30"/>
    </row>
    <row r="10" spans="1:16" ht="15" customHeight="1" x14ac:dyDescent="0.2">
      <c r="A10" s="37" t="s">
        <v>87</v>
      </c>
      <c r="B10" s="30" t="s">
        <v>154</v>
      </c>
      <c r="C10" s="38">
        <v>46240</v>
      </c>
      <c r="D10" s="37">
        <v>75.2</v>
      </c>
      <c r="E10" s="37">
        <v>4</v>
      </c>
      <c r="F10" s="37" t="s">
        <v>156</v>
      </c>
      <c r="G10" s="37">
        <v>162.66</v>
      </c>
      <c r="H10" s="39"/>
      <c r="I10" s="40" t="str">
        <f t="shared" si="0"/>
        <v/>
      </c>
      <c r="J10" s="41"/>
      <c r="K10" s="37"/>
      <c r="L10" s="30"/>
      <c r="M10" s="37"/>
      <c r="N10" s="42">
        <f t="shared" ca="1" si="1"/>
        <v>0</v>
      </c>
      <c r="O10" s="43" t="str">
        <f t="shared" ca="1" si="2"/>
        <v>Monitor Only</v>
      </c>
      <c r="P10" s="30"/>
    </row>
    <row r="11" spans="1:16" ht="15" customHeight="1" x14ac:dyDescent="0.2">
      <c r="A11" s="37" t="s">
        <v>89</v>
      </c>
      <c r="B11" s="30" t="s">
        <v>154</v>
      </c>
      <c r="C11" s="38">
        <v>46240</v>
      </c>
      <c r="D11" s="37">
        <v>81</v>
      </c>
      <c r="E11" s="37">
        <v>4</v>
      </c>
      <c r="F11" s="37" t="s">
        <v>155</v>
      </c>
      <c r="G11" s="37">
        <v>414</v>
      </c>
      <c r="H11" s="39"/>
      <c r="I11" s="40" t="str">
        <f t="shared" si="0"/>
        <v/>
      </c>
      <c r="J11" s="41"/>
      <c r="K11" s="37"/>
      <c r="L11" s="30"/>
      <c r="M11" s="37"/>
      <c r="N11" s="42">
        <f t="shared" ca="1" si="1"/>
        <v>0</v>
      </c>
      <c r="O11" s="43" t="str">
        <f t="shared" ca="1" si="2"/>
        <v>Monitor Only</v>
      </c>
      <c r="P11" s="30"/>
    </row>
    <row r="12" spans="1:16" ht="15" customHeight="1" x14ac:dyDescent="0.2">
      <c r="A12" s="37" t="s">
        <v>91</v>
      </c>
      <c r="B12" s="30" t="s">
        <v>154</v>
      </c>
      <c r="C12" s="38">
        <v>46240</v>
      </c>
      <c r="D12" s="37">
        <v>82.8</v>
      </c>
      <c r="E12" s="37">
        <v>4.3600000000000003</v>
      </c>
      <c r="F12" s="37" t="s">
        <v>155</v>
      </c>
      <c r="G12" s="37">
        <v>277.94</v>
      </c>
      <c r="H12" s="39"/>
      <c r="I12" s="40" t="str">
        <f t="shared" si="0"/>
        <v/>
      </c>
      <c r="J12" s="41"/>
      <c r="K12" s="37"/>
      <c r="L12" s="30"/>
      <c r="M12" s="37"/>
      <c r="N12" s="42">
        <f t="shared" ca="1" si="1"/>
        <v>0</v>
      </c>
      <c r="O12" s="43" t="str">
        <f t="shared" ca="1" si="2"/>
        <v>Monitor Only</v>
      </c>
      <c r="P12" s="30"/>
    </row>
    <row r="13" spans="1:16" ht="15" customHeight="1" x14ac:dyDescent="0.2">
      <c r="A13" s="37" t="s">
        <v>111</v>
      </c>
      <c r="B13" s="30" t="s">
        <v>154</v>
      </c>
      <c r="C13" s="38">
        <v>46240</v>
      </c>
      <c r="D13" s="37">
        <v>80.8</v>
      </c>
      <c r="E13" s="37">
        <v>4.07</v>
      </c>
      <c r="F13" s="37" t="s">
        <v>155</v>
      </c>
      <c r="G13" s="37">
        <v>418.16</v>
      </c>
      <c r="H13" s="39"/>
      <c r="I13" s="40" t="str">
        <f t="shared" si="0"/>
        <v/>
      </c>
      <c r="J13" s="41"/>
      <c r="K13" s="37"/>
      <c r="L13" s="30"/>
      <c r="M13" s="37"/>
      <c r="N13" s="42">
        <f t="shared" ca="1" si="1"/>
        <v>0</v>
      </c>
      <c r="O13" s="43" t="str">
        <f t="shared" ca="1" si="2"/>
        <v>Monitor Only</v>
      </c>
      <c r="P13" s="30"/>
    </row>
    <row r="14" spans="1:16" ht="15" customHeight="1" x14ac:dyDescent="0.2">
      <c r="A14" s="37" t="s">
        <v>120</v>
      </c>
      <c r="B14" s="30" t="s">
        <v>154</v>
      </c>
      <c r="C14" s="38">
        <v>46240</v>
      </c>
      <c r="D14" s="37">
        <v>82</v>
      </c>
      <c r="E14" s="37">
        <v>4.3600000000000003</v>
      </c>
      <c r="F14" s="37" t="s">
        <v>155</v>
      </c>
      <c r="G14" s="37">
        <v>139.06</v>
      </c>
      <c r="H14" s="39"/>
      <c r="I14" s="40" t="str">
        <f t="shared" si="0"/>
        <v/>
      </c>
      <c r="J14" s="41"/>
      <c r="K14" s="37"/>
      <c r="L14" s="30"/>
      <c r="M14" s="37"/>
      <c r="N14" s="42">
        <f t="shared" ca="1" si="1"/>
        <v>0</v>
      </c>
      <c r="O14" s="43" t="str">
        <f t="shared" ca="1" si="2"/>
        <v>Monitor Only</v>
      </c>
      <c r="P14" s="30"/>
    </row>
    <row r="15" spans="1:16" ht="15" customHeight="1" x14ac:dyDescent="0.2">
      <c r="A15" s="37" t="s">
        <v>113</v>
      </c>
      <c r="B15" s="30" t="s">
        <v>154</v>
      </c>
      <c r="C15" s="38">
        <v>46241</v>
      </c>
      <c r="D15" s="37">
        <v>75.599999999999994</v>
      </c>
      <c r="E15" s="37">
        <v>3.79</v>
      </c>
      <c r="F15" s="37" t="s">
        <v>156</v>
      </c>
      <c r="G15" s="37">
        <v>478.7</v>
      </c>
      <c r="H15" s="39"/>
      <c r="I15" s="40" t="str">
        <f t="shared" si="0"/>
        <v/>
      </c>
      <c r="J15" s="41"/>
      <c r="K15" s="37"/>
      <c r="L15" s="30"/>
      <c r="M15" s="37"/>
      <c r="N15" s="42">
        <f t="shared" ca="1" si="1"/>
        <v>-1</v>
      </c>
      <c r="O15" s="43" t="str">
        <f t="shared" ca="1" si="2"/>
        <v>Monitor Only</v>
      </c>
      <c r="P15" s="30" t="s">
        <v>157</v>
      </c>
    </row>
    <row r="16" spans="1:16" ht="15" customHeight="1" x14ac:dyDescent="0.2">
      <c r="A16" s="37" t="s">
        <v>122</v>
      </c>
      <c r="B16" s="30" t="s">
        <v>158</v>
      </c>
      <c r="C16" s="38">
        <v>46240</v>
      </c>
      <c r="D16" s="37"/>
      <c r="E16" s="37">
        <v>1.86</v>
      </c>
      <c r="F16" s="37" t="s">
        <v>159</v>
      </c>
      <c r="G16" s="37">
        <v>86.07</v>
      </c>
      <c r="H16" s="39"/>
      <c r="I16" s="40" t="str">
        <f t="shared" si="0"/>
        <v/>
      </c>
      <c r="J16" s="41"/>
      <c r="K16" s="37"/>
      <c r="L16" s="30"/>
      <c r="M16" s="37"/>
      <c r="N16" s="42">
        <f t="shared" ca="1" si="1"/>
        <v>0</v>
      </c>
      <c r="O16" s="43" t="str">
        <f t="shared" ca="1" si="2"/>
        <v>Monitor Only</v>
      </c>
      <c r="P16" s="30" t="s">
        <v>160</v>
      </c>
    </row>
    <row r="17" spans="1:16" ht="15" customHeight="1" x14ac:dyDescent="0.2">
      <c r="A17" s="37" t="s">
        <v>125</v>
      </c>
      <c r="B17" s="30" t="s">
        <v>158</v>
      </c>
      <c r="C17" s="38">
        <v>46240</v>
      </c>
      <c r="D17" s="37"/>
      <c r="E17" s="37">
        <v>1.93</v>
      </c>
      <c r="F17" s="37" t="s">
        <v>159</v>
      </c>
      <c r="G17" s="37">
        <v>327.35000000000002</v>
      </c>
      <c r="H17" s="39"/>
      <c r="I17" s="40" t="str">
        <f t="shared" si="0"/>
        <v/>
      </c>
      <c r="J17" s="41"/>
      <c r="K17" s="37"/>
      <c r="L17" s="30"/>
      <c r="M17" s="37"/>
      <c r="N17" s="42">
        <f t="shared" ca="1" si="1"/>
        <v>0</v>
      </c>
      <c r="O17" s="43" t="str">
        <f t="shared" ca="1" si="2"/>
        <v>Monitor Only</v>
      </c>
      <c r="P17" s="30" t="s">
        <v>160</v>
      </c>
    </row>
    <row r="18" spans="1:16" ht="15" customHeight="1" x14ac:dyDescent="0.2">
      <c r="A18" s="37" t="s">
        <v>132</v>
      </c>
      <c r="B18" s="30" t="s">
        <v>158</v>
      </c>
      <c r="C18" s="38">
        <v>46240</v>
      </c>
      <c r="D18" s="37"/>
      <c r="E18" s="37">
        <v>2.64</v>
      </c>
      <c r="F18" s="37" t="s">
        <v>159</v>
      </c>
      <c r="G18" s="37">
        <v>37.61</v>
      </c>
      <c r="H18" s="39"/>
      <c r="I18" s="40" t="str">
        <f t="shared" si="0"/>
        <v/>
      </c>
      <c r="J18" s="41"/>
      <c r="K18" s="37"/>
      <c r="L18" s="30"/>
      <c r="M18" s="37"/>
      <c r="N18" s="42">
        <f t="shared" ca="1" si="1"/>
        <v>0</v>
      </c>
      <c r="O18" s="43" t="str">
        <f t="shared" ca="1" si="2"/>
        <v>Monitor Only</v>
      </c>
      <c r="P18" s="30" t="s">
        <v>160</v>
      </c>
    </row>
    <row r="19" spans="1:16" ht="15" customHeight="1" x14ac:dyDescent="0.2">
      <c r="A19" s="30"/>
      <c r="B19" s="30"/>
      <c r="C19" s="37"/>
      <c r="D19" s="37"/>
      <c r="E19" s="37"/>
      <c r="F19" s="37"/>
      <c r="G19" s="37"/>
      <c r="H19" s="39"/>
      <c r="I19" s="40" t="str">
        <f t="shared" si="0"/>
        <v/>
      </c>
      <c r="J19" s="41"/>
      <c r="K19" s="37"/>
      <c r="L19" s="30"/>
      <c r="M19" s="37"/>
      <c r="N19" s="42" t="str">
        <f t="shared" ca="1" si="1"/>
        <v/>
      </c>
      <c r="O19" s="43" t="str">
        <f t="shared" ca="1" si="2"/>
        <v/>
      </c>
      <c r="P19" s="30"/>
    </row>
    <row r="20" spans="1:16" ht="15" customHeight="1" x14ac:dyDescent="0.2">
      <c r="A20" s="30"/>
      <c r="B20" s="30"/>
      <c r="C20" s="37"/>
      <c r="D20" s="37"/>
      <c r="E20" s="37"/>
      <c r="F20" s="37"/>
      <c r="G20" s="37"/>
      <c r="H20" s="39"/>
      <c r="I20" s="40" t="str">
        <f t="shared" si="0"/>
        <v/>
      </c>
      <c r="J20" s="41"/>
      <c r="K20" s="37"/>
      <c r="L20" s="30"/>
      <c r="M20" s="37"/>
      <c r="N20" s="42" t="str">
        <f t="shared" ca="1" si="1"/>
        <v/>
      </c>
      <c r="O20" s="43" t="str">
        <f t="shared" ca="1" si="2"/>
        <v/>
      </c>
      <c r="P20" s="30"/>
    </row>
    <row r="21" spans="1:16" ht="15" customHeight="1" x14ac:dyDescent="0.2">
      <c r="A21" s="30"/>
      <c r="B21" s="30"/>
      <c r="C21" s="37"/>
      <c r="D21" s="37"/>
      <c r="E21" s="37"/>
      <c r="F21" s="37"/>
      <c r="G21" s="37"/>
      <c r="H21" s="39"/>
      <c r="I21" s="40" t="str">
        <f t="shared" si="0"/>
        <v/>
      </c>
      <c r="J21" s="41"/>
      <c r="K21" s="37"/>
      <c r="L21" s="30"/>
      <c r="M21" s="37"/>
      <c r="N21" s="42" t="str">
        <f t="shared" ca="1" si="1"/>
        <v/>
      </c>
      <c r="O21" s="43" t="str">
        <f t="shared" ca="1" si="2"/>
        <v/>
      </c>
      <c r="P21" s="30"/>
    </row>
    <row r="22" spans="1:16" ht="15" customHeight="1" x14ac:dyDescent="0.2">
      <c r="A22" s="30"/>
      <c r="B22" s="30"/>
      <c r="C22" s="37"/>
      <c r="D22" s="37"/>
      <c r="E22" s="37"/>
      <c r="F22" s="37"/>
      <c r="G22" s="37"/>
      <c r="H22" s="39"/>
      <c r="I22" s="40" t="str">
        <f t="shared" si="0"/>
        <v/>
      </c>
      <c r="J22" s="41"/>
      <c r="K22" s="37"/>
      <c r="L22" s="30"/>
      <c r="M22" s="37"/>
      <c r="N22" s="42" t="str">
        <f t="shared" ca="1" si="1"/>
        <v/>
      </c>
      <c r="O22" s="43" t="str">
        <f t="shared" ca="1" si="2"/>
        <v/>
      </c>
      <c r="P22" s="30"/>
    </row>
    <row r="23" spans="1:16" ht="15" customHeight="1" x14ac:dyDescent="0.2">
      <c r="A23" s="30"/>
      <c r="B23" s="30"/>
      <c r="C23" s="37"/>
      <c r="D23" s="37"/>
      <c r="E23" s="37"/>
      <c r="F23" s="37"/>
      <c r="G23" s="37"/>
      <c r="H23" s="39"/>
      <c r="I23" s="40" t="str">
        <f t="shared" si="0"/>
        <v/>
      </c>
      <c r="J23" s="41"/>
      <c r="K23" s="37"/>
      <c r="L23" s="30"/>
      <c r="M23" s="37"/>
      <c r="N23" s="42" t="str">
        <f t="shared" ca="1" si="1"/>
        <v/>
      </c>
      <c r="O23" s="43" t="str">
        <f t="shared" ca="1" si="2"/>
        <v/>
      </c>
      <c r="P23" s="30"/>
    </row>
    <row r="24" spans="1:16" ht="15" customHeight="1" x14ac:dyDescent="0.2">
      <c r="A24" s="30"/>
      <c r="B24" s="30"/>
      <c r="C24" s="37"/>
      <c r="D24" s="37"/>
      <c r="E24" s="37"/>
      <c r="F24" s="37"/>
      <c r="G24" s="37"/>
      <c r="H24" s="39"/>
      <c r="I24" s="40" t="str">
        <f t="shared" si="0"/>
        <v/>
      </c>
      <c r="J24" s="41"/>
      <c r="K24" s="37"/>
      <c r="L24" s="30"/>
      <c r="M24" s="37"/>
      <c r="N24" s="42" t="str">
        <f t="shared" ca="1" si="1"/>
        <v/>
      </c>
      <c r="O24" s="43" t="str">
        <f t="shared" ca="1" si="2"/>
        <v/>
      </c>
      <c r="P24" s="30"/>
    </row>
    <row r="25" spans="1:16" ht="15" customHeight="1" x14ac:dyDescent="0.2">
      <c r="A25" s="30"/>
      <c r="B25" s="30"/>
      <c r="C25" s="37"/>
      <c r="D25" s="37"/>
      <c r="E25" s="37"/>
      <c r="F25" s="37"/>
      <c r="G25" s="37"/>
      <c r="H25" s="39"/>
      <c r="I25" s="40" t="str">
        <f t="shared" si="0"/>
        <v/>
      </c>
      <c r="J25" s="41"/>
      <c r="K25" s="37"/>
      <c r="L25" s="30"/>
      <c r="M25" s="37"/>
      <c r="N25" s="42" t="str">
        <f t="shared" ca="1" si="1"/>
        <v/>
      </c>
      <c r="O25" s="43" t="str">
        <f t="shared" ca="1" si="2"/>
        <v/>
      </c>
      <c r="P25" s="30"/>
    </row>
    <row r="26" spans="1:16" ht="15" customHeight="1" x14ac:dyDescent="0.2">
      <c r="A26" s="30"/>
      <c r="B26" s="30"/>
      <c r="C26" s="37"/>
      <c r="D26" s="37"/>
      <c r="E26" s="37"/>
      <c r="F26" s="37"/>
      <c r="G26" s="37"/>
      <c r="H26" s="39"/>
      <c r="I26" s="40" t="str">
        <f t="shared" si="0"/>
        <v/>
      </c>
      <c r="J26" s="41"/>
      <c r="K26" s="37"/>
      <c r="L26" s="30"/>
      <c r="M26" s="37"/>
      <c r="N26" s="42" t="str">
        <f t="shared" ca="1" si="1"/>
        <v/>
      </c>
      <c r="O26" s="43" t="str">
        <f t="shared" ca="1" si="2"/>
        <v/>
      </c>
      <c r="P26" s="30"/>
    </row>
    <row r="27" spans="1:16" ht="15" customHeight="1" x14ac:dyDescent="0.2">
      <c r="A27" s="30"/>
      <c r="B27" s="30"/>
      <c r="C27" s="37"/>
      <c r="D27" s="37"/>
      <c r="E27" s="37"/>
      <c r="F27" s="37"/>
      <c r="G27" s="37"/>
      <c r="H27" s="39"/>
      <c r="I27" s="40" t="str">
        <f t="shared" si="0"/>
        <v/>
      </c>
      <c r="J27" s="41"/>
      <c r="K27" s="37"/>
      <c r="L27" s="30"/>
      <c r="M27" s="37"/>
      <c r="N27" s="42" t="str">
        <f t="shared" ca="1" si="1"/>
        <v/>
      </c>
      <c r="O27" s="43" t="str">
        <f t="shared" ca="1" si="2"/>
        <v/>
      </c>
      <c r="P27" s="30"/>
    </row>
    <row r="28" spans="1:16" ht="15" customHeight="1" x14ac:dyDescent="0.2">
      <c r="A28" s="30"/>
      <c r="B28" s="30"/>
      <c r="C28" s="37"/>
      <c r="D28" s="37"/>
      <c r="E28" s="37"/>
      <c r="F28" s="37"/>
      <c r="G28" s="37"/>
      <c r="H28" s="39"/>
      <c r="I28" s="40" t="str">
        <f t="shared" si="0"/>
        <v/>
      </c>
      <c r="J28" s="41"/>
      <c r="K28" s="37"/>
      <c r="L28" s="30"/>
      <c r="M28" s="37"/>
      <c r="N28" s="42" t="str">
        <f t="shared" ca="1" si="1"/>
        <v/>
      </c>
      <c r="O28" s="43" t="str">
        <f t="shared" ca="1" si="2"/>
        <v/>
      </c>
      <c r="P28" s="30"/>
    </row>
    <row r="29" spans="1:16" ht="15" customHeight="1" x14ac:dyDescent="0.2">
      <c r="A29" s="30"/>
      <c r="B29" s="30"/>
      <c r="C29" s="37"/>
      <c r="D29" s="37"/>
      <c r="E29" s="37"/>
      <c r="F29" s="37"/>
      <c r="G29" s="37"/>
      <c r="H29" s="39"/>
      <c r="I29" s="40" t="str">
        <f t="shared" si="0"/>
        <v/>
      </c>
      <c r="J29" s="41"/>
      <c r="K29" s="37"/>
      <c r="L29" s="30"/>
      <c r="M29" s="37"/>
      <c r="N29" s="42" t="str">
        <f t="shared" ca="1" si="1"/>
        <v/>
      </c>
      <c r="O29" s="43" t="str">
        <f t="shared" ca="1" si="2"/>
        <v/>
      </c>
      <c r="P29" s="30"/>
    </row>
    <row r="30" spans="1:16" ht="15" customHeight="1" x14ac:dyDescent="0.2">
      <c r="A30" s="30"/>
      <c r="B30" s="30"/>
      <c r="C30" s="37"/>
      <c r="D30" s="37"/>
      <c r="E30" s="37"/>
      <c r="F30" s="37"/>
      <c r="G30" s="37"/>
      <c r="H30" s="39"/>
      <c r="I30" s="40" t="str">
        <f t="shared" si="0"/>
        <v/>
      </c>
      <c r="J30" s="41"/>
      <c r="K30" s="37"/>
      <c r="L30" s="30"/>
      <c r="M30" s="37"/>
      <c r="N30" s="42" t="str">
        <f t="shared" ca="1" si="1"/>
        <v/>
      </c>
      <c r="O30" s="43" t="str">
        <f t="shared" ca="1" si="2"/>
        <v/>
      </c>
      <c r="P30" s="30"/>
    </row>
    <row r="31" spans="1:16" ht="15" customHeight="1" x14ac:dyDescent="0.2">
      <c r="A31" s="30"/>
      <c r="B31" s="30"/>
      <c r="C31" s="37"/>
      <c r="D31" s="37"/>
      <c r="E31" s="37"/>
      <c r="F31" s="37"/>
      <c r="G31" s="37"/>
      <c r="H31" s="39"/>
      <c r="I31" s="40" t="str">
        <f t="shared" si="0"/>
        <v/>
      </c>
      <c r="J31" s="41"/>
      <c r="K31" s="37"/>
      <c r="L31" s="30"/>
      <c r="M31" s="37"/>
      <c r="N31" s="42" t="str">
        <f t="shared" ca="1" si="1"/>
        <v/>
      </c>
      <c r="O31" s="43" t="str">
        <f t="shared" ca="1" si="2"/>
        <v/>
      </c>
      <c r="P31" s="30"/>
    </row>
    <row r="32" spans="1:16" ht="15" customHeight="1" x14ac:dyDescent="0.2">
      <c r="A32" s="30"/>
      <c r="B32" s="30"/>
      <c r="C32" s="37"/>
      <c r="D32" s="37"/>
      <c r="E32" s="37"/>
      <c r="F32" s="37"/>
      <c r="G32" s="37"/>
      <c r="H32" s="39"/>
      <c r="I32" s="40" t="str">
        <f t="shared" si="0"/>
        <v/>
      </c>
      <c r="J32" s="41"/>
      <c r="K32" s="37"/>
      <c r="L32" s="30"/>
      <c r="M32" s="37"/>
      <c r="N32" s="42" t="str">
        <f t="shared" ca="1" si="1"/>
        <v/>
      </c>
      <c r="O32" s="43" t="str">
        <f t="shared" ca="1" si="2"/>
        <v/>
      </c>
      <c r="P32" s="30"/>
    </row>
    <row r="33" spans="1:16" ht="15" customHeight="1" x14ac:dyDescent="0.2">
      <c r="A33" s="30"/>
      <c r="B33" s="30"/>
      <c r="C33" s="37"/>
      <c r="D33" s="37"/>
      <c r="E33" s="37"/>
      <c r="F33" s="37"/>
      <c r="G33" s="37"/>
      <c r="H33" s="39"/>
      <c r="I33" s="40" t="str">
        <f t="shared" si="0"/>
        <v/>
      </c>
      <c r="J33" s="41"/>
      <c r="K33" s="37"/>
      <c r="L33" s="30"/>
      <c r="M33" s="37"/>
      <c r="N33" s="42" t="str">
        <f t="shared" ca="1" si="1"/>
        <v/>
      </c>
      <c r="O33" s="43" t="str">
        <f t="shared" ca="1" si="2"/>
        <v/>
      </c>
      <c r="P33" s="30"/>
    </row>
    <row r="34" spans="1:16" ht="15" customHeight="1" x14ac:dyDescent="0.2">
      <c r="A34" s="30"/>
      <c r="B34" s="30"/>
      <c r="C34" s="37"/>
      <c r="D34" s="37"/>
      <c r="E34" s="37"/>
      <c r="F34" s="37"/>
      <c r="G34" s="37"/>
      <c r="H34" s="39"/>
      <c r="I34" s="40" t="str">
        <f t="shared" si="0"/>
        <v/>
      </c>
      <c r="J34" s="41"/>
      <c r="K34" s="37"/>
      <c r="L34" s="30"/>
      <c r="M34" s="37"/>
      <c r="N34" s="42" t="str">
        <f t="shared" ca="1" si="1"/>
        <v/>
      </c>
      <c r="O34" s="43" t="str">
        <f t="shared" ca="1" si="2"/>
        <v/>
      </c>
      <c r="P34" s="30"/>
    </row>
    <row r="35" spans="1:16" ht="15" customHeight="1" x14ac:dyDescent="0.2">
      <c r="A35" s="30"/>
      <c r="B35" s="30"/>
      <c r="C35" s="37"/>
      <c r="D35" s="37"/>
      <c r="E35" s="37"/>
      <c r="F35" s="37"/>
      <c r="G35" s="37"/>
      <c r="H35" s="39"/>
      <c r="I35" s="40" t="str">
        <f t="shared" si="0"/>
        <v/>
      </c>
      <c r="J35" s="41"/>
      <c r="K35" s="37"/>
      <c r="L35" s="30"/>
      <c r="M35" s="37"/>
      <c r="N35" s="42" t="str">
        <f t="shared" ca="1" si="1"/>
        <v/>
      </c>
      <c r="O35" s="43" t="str">
        <f t="shared" ca="1" si="2"/>
        <v/>
      </c>
      <c r="P35" s="30"/>
    </row>
    <row r="36" spans="1:16" ht="15" customHeight="1" x14ac:dyDescent="0.2">
      <c r="A36" s="30"/>
      <c r="B36" s="30"/>
      <c r="C36" s="37"/>
      <c r="D36" s="37"/>
      <c r="E36" s="37"/>
      <c r="F36" s="37"/>
      <c r="G36" s="37"/>
      <c r="H36" s="39"/>
      <c r="I36" s="40" t="str">
        <f t="shared" si="0"/>
        <v/>
      </c>
      <c r="J36" s="41"/>
      <c r="K36" s="37"/>
      <c r="L36" s="30"/>
      <c r="M36" s="37"/>
      <c r="N36" s="42" t="str">
        <f t="shared" ca="1" si="1"/>
        <v/>
      </c>
      <c r="O36" s="43" t="str">
        <f t="shared" ca="1" si="2"/>
        <v/>
      </c>
      <c r="P36" s="30"/>
    </row>
    <row r="37" spans="1:16" ht="15" customHeight="1" x14ac:dyDescent="0.2">
      <c r="A37" s="30"/>
      <c r="B37" s="30"/>
      <c r="C37" s="37"/>
      <c r="D37" s="37"/>
      <c r="E37" s="37"/>
      <c r="F37" s="37"/>
      <c r="G37" s="37"/>
      <c r="H37" s="39"/>
      <c r="I37" s="40" t="str">
        <f t="shared" si="0"/>
        <v/>
      </c>
      <c r="J37" s="41"/>
      <c r="K37" s="37"/>
      <c r="L37" s="30"/>
      <c r="M37" s="37"/>
      <c r="N37" s="42" t="str">
        <f t="shared" ca="1" si="1"/>
        <v/>
      </c>
      <c r="O37" s="43" t="str">
        <f t="shared" ca="1" si="2"/>
        <v/>
      </c>
      <c r="P37" s="30"/>
    </row>
    <row r="38" spans="1:16" ht="15" customHeight="1" x14ac:dyDescent="0.2">
      <c r="A38" s="30"/>
      <c r="B38" s="30"/>
      <c r="C38" s="37"/>
      <c r="D38" s="37"/>
      <c r="E38" s="37"/>
      <c r="F38" s="37"/>
      <c r="G38" s="37"/>
      <c r="H38" s="39"/>
      <c r="I38" s="40" t="str">
        <f t="shared" si="0"/>
        <v/>
      </c>
      <c r="J38" s="41"/>
      <c r="K38" s="37"/>
      <c r="L38" s="30"/>
      <c r="M38" s="37"/>
      <c r="N38" s="42" t="str">
        <f t="shared" ca="1" si="1"/>
        <v/>
      </c>
      <c r="O38" s="43" t="str">
        <f t="shared" ca="1" si="2"/>
        <v/>
      </c>
      <c r="P38" s="30"/>
    </row>
    <row r="39" spans="1:16" ht="15" customHeight="1" x14ac:dyDescent="0.2">
      <c r="A39" s="30"/>
      <c r="B39" s="30"/>
      <c r="C39" s="37"/>
      <c r="D39" s="37"/>
      <c r="E39" s="37"/>
      <c r="F39" s="37"/>
      <c r="G39" s="37"/>
      <c r="H39" s="39"/>
      <c r="I39" s="40" t="str">
        <f t="shared" si="0"/>
        <v/>
      </c>
      <c r="J39" s="41"/>
      <c r="K39" s="37"/>
      <c r="L39" s="30"/>
      <c r="M39" s="37"/>
      <c r="N39" s="42" t="str">
        <f t="shared" ca="1" si="1"/>
        <v/>
      </c>
      <c r="O39" s="43" t="str">
        <f t="shared" ca="1" si="2"/>
        <v/>
      </c>
      <c r="P39" s="30"/>
    </row>
    <row r="40" spans="1:16" ht="15" customHeight="1" x14ac:dyDescent="0.2">
      <c r="A40" s="30"/>
      <c r="B40" s="30"/>
      <c r="C40" s="37"/>
      <c r="D40" s="37"/>
      <c r="E40" s="37"/>
      <c r="F40" s="37"/>
      <c r="G40" s="37"/>
      <c r="H40" s="39"/>
      <c r="I40" s="40" t="str">
        <f t="shared" si="0"/>
        <v/>
      </c>
      <c r="J40" s="41"/>
      <c r="K40" s="37"/>
      <c r="L40" s="30"/>
      <c r="M40" s="37"/>
      <c r="N40" s="42" t="str">
        <f t="shared" ca="1" si="1"/>
        <v/>
      </c>
      <c r="O40" s="43" t="str">
        <f t="shared" ca="1" si="2"/>
        <v/>
      </c>
      <c r="P40" s="30"/>
    </row>
    <row r="41" spans="1:16" ht="15" customHeight="1" x14ac:dyDescent="0.2">
      <c r="A41" s="30"/>
      <c r="B41" s="30"/>
      <c r="C41" s="37"/>
      <c r="D41" s="37"/>
      <c r="E41" s="37"/>
      <c r="F41" s="37"/>
      <c r="G41" s="37"/>
      <c r="H41" s="39"/>
      <c r="I41" s="40" t="str">
        <f t="shared" si="0"/>
        <v/>
      </c>
      <c r="J41" s="41"/>
      <c r="K41" s="37"/>
      <c r="L41" s="30"/>
      <c r="M41" s="37"/>
      <c r="N41" s="42" t="str">
        <f t="shared" ca="1" si="1"/>
        <v/>
      </c>
      <c r="O41" s="43" t="str">
        <f t="shared" ca="1" si="2"/>
        <v/>
      </c>
      <c r="P41" s="30"/>
    </row>
    <row r="42" spans="1:16" ht="15" customHeight="1" x14ac:dyDescent="0.2">
      <c r="A42" s="30"/>
      <c r="B42" s="30"/>
      <c r="C42" s="37"/>
      <c r="D42" s="37"/>
      <c r="E42" s="37"/>
      <c r="F42" s="37"/>
      <c r="G42" s="37"/>
      <c r="H42" s="39"/>
      <c r="I42" s="40" t="str">
        <f t="shared" si="0"/>
        <v/>
      </c>
      <c r="J42" s="41"/>
      <c r="K42" s="37"/>
      <c r="L42" s="30"/>
      <c r="M42" s="37"/>
      <c r="N42" s="42" t="str">
        <f t="shared" ca="1" si="1"/>
        <v/>
      </c>
      <c r="O42" s="43" t="str">
        <f t="shared" ca="1" si="2"/>
        <v/>
      </c>
      <c r="P42" s="30"/>
    </row>
  </sheetData>
  <mergeCells count="1">
    <mergeCell ref="A1:P1"/>
  </mergeCells>
  <conditionalFormatting sqref="B3:B42">
    <cfRule type="expression" dxfId="73" priority="5">
      <formula>ISNUMBER(SEARCH("AVOID",B3))</formula>
    </cfRule>
  </conditionalFormatting>
  <conditionalFormatting sqref="O3:O42">
    <cfRule type="expression" dxfId="72" priority="2">
      <formula>ISNUMBER(SEARCH("DUE",O3))</formula>
    </cfRule>
    <cfRule type="expression" dxfId="71" priority="3">
      <formula>ISNUMBER(SEARCH("WATCH",O3))</formula>
    </cfRule>
    <cfRule type="expression" dxfId="70" priority="4">
      <formula>O3="Monitor Only"</formula>
    </cfRule>
  </conditionalFormatting>
  <dataValidations count="2">
    <dataValidation type="list" allowBlank="1" sqref="B19:B42" xr:uid="{00000000-0002-0000-0300-000000000000}">
      <formula1>"Owned,Owned - Tier1 AVOID,Closed,Watch List,Tier-1 Avoid (external),Near-Miss"</formula1>
      <formula2>0</formula2>
    </dataValidation>
    <dataValidation type="list" allowBlank="1" sqref="K3:K42 M3:M42" xr:uid="{00000000-0002-0000-0300-000001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62"/>
  <sheetViews>
    <sheetView showGridLines="0" zoomScaleNormal="100" workbookViewId="0">
      <pane xSplit="1" ySplit="2" topLeftCell="B3" activePane="bottomRight" state="frozen"/>
      <selection pane="topRight" activeCell="B1" sqref="B1"/>
      <selection pane="bottomLeft" activeCell="A3" sqref="A3"/>
      <selection pane="bottomRight" sqref="A1:Q1"/>
    </sheetView>
  </sheetViews>
  <sheetFormatPr baseColWidth="10" defaultColWidth="8.6640625" defaultRowHeight="15" x14ac:dyDescent="0.2"/>
  <cols>
    <col min="1" max="1" width="12" customWidth="1"/>
    <col min="2" max="17" width="11" customWidth="1"/>
  </cols>
  <sheetData>
    <row r="1" spans="1:17" ht="25.5" customHeight="1" x14ac:dyDescent="0.2">
      <c r="A1" s="7" t="s">
        <v>161</v>
      </c>
      <c r="B1" s="7"/>
      <c r="C1" s="7"/>
      <c r="D1" s="7"/>
      <c r="E1" s="7"/>
      <c r="F1" s="7"/>
      <c r="G1" s="7"/>
      <c r="H1" s="7"/>
      <c r="I1" s="7"/>
      <c r="J1" s="7"/>
      <c r="K1" s="7"/>
      <c r="L1" s="7"/>
      <c r="M1" s="7"/>
      <c r="N1" s="7"/>
      <c r="O1" s="7"/>
      <c r="P1" s="7"/>
      <c r="Q1" s="7"/>
    </row>
    <row r="2" spans="1:17" ht="15" customHeight="1" x14ac:dyDescent="0.2">
      <c r="A2" s="44" t="s">
        <v>162</v>
      </c>
      <c r="B2" s="44" t="s">
        <v>71</v>
      </c>
      <c r="C2" s="44" t="s">
        <v>75</v>
      </c>
      <c r="D2" s="44" t="s">
        <v>77</v>
      </c>
      <c r="E2" s="44" t="s">
        <v>111</v>
      </c>
      <c r="F2" s="44" t="s">
        <v>79</v>
      </c>
      <c r="G2" s="44" t="s">
        <v>81</v>
      </c>
      <c r="H2" s="44" t="s">
        <v>83</v>
      </c>
      <c r="I2" s="44" t="s">
        <v>85</v>
      </c>
      <c r="J2" s="44" t="s">
        <v>120</v>
      </c>
      <c r="K2" s="44" t="s">
        <v>87</v>
      </c>
      <c r="L2" s="44" t="s">
        <v>89</v>
      </c>
      <c r="M2" s="44" t="s">
        <v>91</v>
      </c>
      <c r="N2" s="44" t="s">
        <v>113</v>
      </c>
      <c r="O2" s="44" t="s">
        <v>163</v>
      </c>
      <c r="P2" s="44" t="s">
        <v>164</v>
      </c>
      <c r="Q2" s="44" t="s">
        <v>165</v>
      </c>
    </row>
    <row r="3" spans="1:17" ht="15" customHeight="1" x14ac:dyDescent="0.2">
      <c r="A3" s="45">
        <v>45149</v>
      </c>
      <c r="B3" s="46">
        <v>508.45</v>
      </c>
      <c r="C3" s="46">
        <v>43.74</v>
      </c>
      <c r="D3" s="46">
        <v>661.78</v>
      </c>
      <c r="E3" s="46">
        <v>82.98</v>
      </c>
      <c r="F3" s="46">
        <v>37.06</v>
      </c>
      <c r="G3" s="46">
        <v>47.9</v>
      </c>
      <c r="H3" s="46">
        <v>64.37</v>
      </c>
      <c r="I3" s="46">
        <v>40.85</v>
      </c>
      <c r="J3" s="46">
        <v>123.51</v>
      </c>
      <c r="K3" s="46">
        <v>15.41</v>
      </c>
      <c r="L3" s="46">
        <v>91.99</v>
      </c>
      <c r="M3" s="46">
        <v>33.51</v>
      </c>
      <c r="N3" s="46">
        <v>349.86</v>
      </c>
      <c r="O3" s="46"/>
      <c r="P3" s="46"/>
      <c r="Q3" s="46"/>
    </row>
    <row r="4" spans="1:17" ht="15" customHeight="1" x14ac:dyDescent="0.2">
      <c r="A4" s="45">
        <v>45156</v>
      </c>
      <c r="B4" s="46">
        <v>508.13</v>
      </c>
      <c r="C4" s="46">
        <v>45.14</v>
      </c>
      <c r="D4" s="46">
        <v>655.33000000000004</v>
      </c>
      <c r="E4" s="46">
        <v>82.58</v>
      </c>
      <c r="F4" s="46">
        <v>36.700000000000003</v>
      </c>
      <c r="G4" s="46">
        <v>47.8</v>
      </c>
      <c r="H4" s="46">
        <v>63.59</v>
      </c>
      <c r="I4" s="46">
        <v>43.3</v>
      </c>
      <c r="J4" s="46">
        <v>121.47</v>
      </c>
      <c r="K4" s="46">
        <v>14.4</v>
      </c>
      <c r="L4" s="46">
        <v>91.1</v>
      </c>
      <c r="M4" s="46">
        <v>33.97</v>
      </c>
      <c r="N4" s="46">
        <v>344.82</v>
      </c>
      <c r="O4" s="46"/>
      <c r="P4" s="46"/>
      <c r="Q4" s="46"/>
    </row>
    <row r="5" spans="1:17" ht="15" customHeight="1" x14ac:dyDescent="0.2">
      <c r="A5" s="45">
        <v>45163</v>
      </c>
      <c r="B5" s="46">
        <v>525.05999999999995</v>
      </c>
      <c r="C5" s="46">
        <v>45.23</v>
      </c>
      <c r="D5" s="46">
        <v>651.01</v>
      </c>
      <c r="E5" s="46">
        <v>85.18</v>
      </c>
      <c r="F5" s="46">
        <v>37.4</v>
      </c>
      <c r="G5" s="46">
        <v>48.17</v>
      </c>
      <c r="H5" s="46">
        <v>63.72</v>
      </c>
      <c r="I5" s="46">
        <v>46.02</v>
      </c>
      <c r="J5" s="46">
        <v>122.66</v>
      </c>
      <c r="K5" s="46">
        <v>14.53</v>
      </c>
      <c r="L5" s="46">
        <v>93.1</v>
      </c>
      <c r="M5" s="46">
        <v>37.5</v>
      </c>
      <c r="N5" s="46">
        <v>350.06</v>
      </c>
      <c r="O5" s="46"/>
      <c r="P5" s="46"/>
      <c r="Q5" s="46"/>
    </row>
    <row r="6" spans="1:17" ht="15" customHeight="1" x14ac:dyDescent="0.2">
      <c r="A6" s="45">
        <v>45170</v>
      </c>
      <c r="B6" s="46">
        <v>563.21</v>
      </c>
      <c r="C6" s="46">
        <v>49.34</v>
      </c>
      <c r="D6" s="46">
        <v>662.52</v>
      </c>
      <c r="E6" s="46">
        <v>87.25</v>
      </c>
      <c r="F6" s="46">
        <v>40.31</v>
      </c>
      <c r="G6" s="46">
        <v>50.7</v>
      </c>
      <c r="H6" s="46">
        <v>70.39</v>
      </c>
      <c r="I6" s="46">
        <v>48.51</v>
      </c>
      <c r="J6" s="46">
        <v>124.59</v>
      </c>
      <c r="K6" s="46">
        <v>15.18</v>
      </c>
      <c r="L6" s="46">
        <v>93.19</v>
      </c>
      <c r="M6" s="46">
        <v>39.869999999999997</v>
      </c>
      <c r="N6" s="46">
        <v>351.1</v>
      </c>
      <c r="O6" s="46"/>
      <c r="P6" s="46"/>
      <c r="Q6" s="46"/>
    </row>
    <row r="7" spans="1:17" ht="15" customHeight="1" x14ac:dyDescent="0.2">
      <c r="A7" s="45">
        <v>45177</v>
      </c>
      <c r="B7" s="46">
        <v>560.36</v>
      </c>
      <c r="C7" s="46">
        <v>49.12</v>
      </c>
      <c r="D7" s="46">
        <v>627.86</v>
      </c>
      <c r="E7" s="46">
        <v>85.76</v>
      </c>
      <c r="F7" s="46">
        <v>42.02</v>
      </c>
      <c r="G7" s="46">
        <v>49.77</v>
      </c>
      <c r="H7" s="46">
        <v>70.180000000000007</v>
      </c>
      <c r="I7" s="46">
        <v>45.57</v>
      </c>
      <c r="J7" s="46">
        <v>122.48</v>
      </c>
      <c r="K7" s="46">
        <v>15.13</v>
      </c>
      <c r="L7" s="46">
        <v>89.64</v>
      </c>
      <c r="M7" s="46">
        <v>39.200000000000003</v>
      </c>
      <c r="N7" s="46">
        <v>343.05</v>
      </c>
      <c r="O7" s="46"/>
      <c r="P7" s="46"/>
      <c r="Q7" s="46"/>
    </row>
    <row r="8" spans="1:17" ht="15" customHeight="1" x14ac:dyDescent="0.2">
      <c r="A8" s="45">
        <v>45184</v>
      </c>
      <c r="B8" s="46">
        <v>528.89</v>
      </c>
      <c r="C8" s="46">
        <v>46.18</v>
      </c>
      <c r="D8" s="46">
        <v>596.66</v>
      </c>
      <c r="E8" s="46">
        <v>85.17</v>
      </c>
      <c r="F8" s="46">
        <v>41.36</v>
      </c>
      <c r="G8" s="46">
        <v>45.42</v>
      </c>
      <c r="H8" s="46">
        <v>69.88</v>
      </c>
      <c r="I8" s="46">
        <v>43.9</v>
      </c>
      <c r="J8" s="46">
        <v>123.18</v>
      </c>
      <c r="K8" s="46">
        <v>15.33</v>
      </c>
      <c r="L8" s="46">
        <v>89.25</v>
      </c>
      <c r="M8" s="46">
        <v>38.17</v>
      </c>
      <c r="N8" s="46">
        <v>348.9</v>
      </c>
      <c r="O8" s="46"/>
      <c r="P8" s="46"/>
      <c r="Q8" s="46"/>
    </row>
    <row r="9" spans="1:17" ht="15" customHeight="1" x14ac:dyDescent="0.2">
      <c r="A9" s="45">
        <v>45191</v>
      </c>
      <c r="B9" s="46">
        <v>512.9</v>
      </c>
      <c r="C9" s="46">
        <v>45.09</v>
      </c>
      <c r="D9" s="46">
        <v>587.1</v>
      </c>
      <c r="E9" s="46">
        <v>82.91</v>
      </c>
      <c r="F9" s="46">
        <v>40.64</v>
      </c>
      <c r="G9" s="46">
        <v>45.18</v>
      </c>
      <c r="H9" s="46">
        <v>68.88</v>
      </c>
      <c r="I9" s="46">
        <v>41.61</v>
      </c>
      <c r="J9" s="46">
        <v>114.07</v>
      </c>
      <c r="K9" s="46">
        <v>14.13</v>
      </c>
      <c r="L9" s="46">
        <v>85.64</v>
      </c>
      <c r="M9" s="46">
        <v>36.450000000000003</v>
      </c>
      <c r="N9" s="46">
        <v>349.53</v>
      </c>
      <c r="O9" s="46"/>
      <c r="P9" s="46"/>
      <c r="Q9" s="46"/>
    </row>
    <row r="10" spans="1:17" ht="15" customHeight="1" x14ac:dyDescent="0.2">
      <c r="A10" s="45">
        <v>45198</v>
      </c>
      <c r="B10" s="46">
        <v>509.9</v>
      </c>
      <c r="C10" s="46">
        <v>45.98</v>
      </c>
      <c r="D10" s="46">
        <v>588.66</v>
      </c>
      <c r="E10" s="46">
        <v>83.06</v>
      </c>
      <c r="F10" s="46">
        <v>41.85</v>
      </c>
      <c r="G10" s="46">
        <v>45.87</v>
      </c>
      <c r="H10" s="46">
        <v>68.03</v>
      </c>
      <c r="I10" s="46">
        <v>43.5</v>
      </c>
      <c r="J10" s="46">
        <v>112.21</v>
      </c>
      <c r="K10" s="46">
        <v>16</v>
      </c>
      <c r="L10" s="46">
        <v>86.9</v>
      </c>
      <c r="M10" s="46">
        <v>37.200000000000003</v>
      </c>
      <c r="N10" s="46">
        <v>347.74</v>
      </c>
      <c r="O10" s="46"/>
      <c r="P10" s="46"/>
      <c r="Q10" s="46"/>
    </row>
    <row r="11" spans="1:17" ht="15" customHeight="1" x14ac:dyDescent="0.2">
      <c r="A11" s="45">
        <v>45205</v>
      </c>
      <c r="B11" s="46">
        <v>526.67999999999995</v>
      </c>
      <c r="C11" s="46">
        <v>48.51</v>
      </c>
      <c r="D11" s="46">
        <v>597.36</v>
      </c>
      <c r="E11" s="46">
        <v>84.53</v>
      </c>
      <c r="F11" s="46">
        <v>44.17</v>
      </c>
      <c r="G11" s="46">
        <v>46.81</v>
      </c>
      <c r="H11" s="46">
        <v>69.959999999999994</v>
      </c>
      <c r="I11" s="46">
        <v>45.76</v>
      </c>
      <c r="J11" s="46">
        <v>108.91</v>
      </c>
      <c r="K11" s="46">
        <v>16.61</v>
      </c>
      <c r="L11" s="46">
        <v>89.29</v>
      </c>
      <c r="M11" s="46">
        <v>39.770000000000003</v>
      </c>
      <c r="N11" s="46">
        <v>360.62</v>
      </c>
      <c r="O11" s="46"/>
      <c r="P11" s="46"/>
      <c r="Q11" s="46"/>
    </row>
    <row r="12" spans="1:17" ht="15" customHeight="1" x14ac:dyDescent="0.2">
      <c r="A12" s="45">
        <v>45212</v>
      </c>
      <c r="B12" s="46">
        <v>548.76</v>
      </c>
      <c r="C12" s="46">
        <v>47.46</v>
      </c>
      <c r="D12" s="46">
        <v>599.75</v>
      </c>
      <c r="E12" s="46">
        <v>88.32</v>
      </c>
      <c r="F12" s="46">
        <v>46.43</v>
      </c>
      <c r="G12" s="46">
        <v>48.68</v>
      </c>
      <c r="H12" s="46">
        <v>69.209999999999994</v>
      </c>
      <c r="I12" s="46">
        <v>45.46</v>
      </c>
      <c r="J12" s="46">
        <v>109.65</v>
      </c>
      <c r="K12" s="46">
        <v>17.36</v>
      </c>
      <c r="L12" s="46">
        <v>90.46</v>
      </c>
      <c r="M12" s="46">
        <v>39.1</v>
      </c>
      <c r="N12" s="46">
        <v>371</v>
      </c>
      <c r="O12" s="46"/>
      <c r="P12" s="46"/>
      <c r="Q12" s="46"/>
    </row>
    <row r="13" spans="1:17" ht="15" customHeight="1" x14ac:dyDescent="0.2">
      <c r="A13" s="45">
        <v>45219</v>
      </c>
      <c r="B13" s="46">
        <v>540.96</v>
      </c>
      <c r="C13" s="46">
        <v>46.53</v>
      </c>
      <c r="D13" s="46">
        <v>580.1</v>
      </c>
      <c r="E13" s="46">
        <v>85.36</v>
      </c>
      <c r="F13" s="46">
        <v>44.69</v>
      </c>
      <c r="G13" s="46">
        <v>46.24</v>
      </c>
      <c r="H13" s="46">
        <v>67.22</v>
      </c>
      <c r="I13" s="46">
        <v>41.39</v>
      </c>
      <c r="J13" s="46">
        <v>102.43</v>
      </c>
      <c r="K13" s="46">
        <v>16.11</v>
      </c>
      <c r="L13" s="46">
        <v>91.31</v>
      </c>
      <c r="M13" s="46">
        <v>36.74</v>
      </c>
      <c r="N13" s="46">
        <v>361.86</v>
      </c>
      <c r="O13" s="46"/>
      <c r="P13" s="46"/>
      <c r="Q13" s="46"/>
    </row>
    <row r="14" spans="1:17" ht="15" customHeight="1" x14ac:dyDescent="0.2">
      <c r="A14" s="45">
        <v>45226</v>
      </c>
      <c r="B14" s="46">
        <v>508.12</v>
      </c>
      <c r="C14" s="46">
        <v>44.05</v>
      </c>
      <c r="D14" s="46">
        <v>590</v>
      </c>
      <c r="E14" s="46">
        <v>83.84</v>
      </c>
      <c r="F14" s="46">
        <v>43.21</v>
      </c>
      <c r="G14" s="46">
        <v>45.79</v>
      </c>
      <c r="H14" s="46">
        <v>65.650000000000006</v>
      </c>
      <c r="I14" s="46">
        <v>40.5</v>
      </c>
      <c r="J14" s="46">
        <v>97.32</v>
      </c>
      <c r="K14" s="46">
        <v>15.07</v>
      </c>
      <c r="L14" s="46">
        <v>85.99</v>
      </c>
      <c r="M14" s="46">
        <v>36.42</v>
      </c>
      <c r="N14" s="46">
        <v>355.28</v>
      </c>
      <c r="O14" s="46"/>
      <c r="P14" s="46"/>
      <c r="Q14" s="46"/>
    </row>
    <row r="15" spans="1:17" ht="15" customHeight="1" x14ac:dyDescent="0.2">
      <c r="A15" s="45">
        <v>45233</v>
      </c>
      <c r="B15" s="46">
        <v>563.66</v>
      </c>
      <c r="C15" s="46">
        <v>53.12</v>
      </c>
      <c r="D15" s="46">
        <v>642.41</v>
      </c>
      <c r="E15" s="46">
        <v>88.27</v>
      </c>
      <c r="F15" s="46">
        <v>47.06</v>
      </c>
      <c r="G15" s="46">
        <v>49.96</v>
      </c>
      <c r="H15" s="46">
        <v>72.58</v>
      </c>
      <c r="I15" s="46">
        <v>45.01</v>
      </c>
      <c r="J15" s="46">
        <v>106.55</v>
      </c>
      <c r="K15" s="46">
        <v>18.89</v>
      </c>
      <c r="L15" s="46">
        <v>91.79</v>
      </c>
      <c r="M15" s="46">
        <v>40.44</v>
      </c>
      <c r="N15" s="46">
        <v>376.2</v>
      </c>
      <c r="O15" s="46"/>
      <c r="P15" s="46"/>
      <c r="Q15" s="46"/>
    </row>
    <row r="16" spans="1:17" ht="15" customHeight="1" x14ac:dyDescent="0.2">
      <c r="A16" s="45">
        <v>45240</v>
      </c>
      <c r="B16" s="46">
        <v>597.22</v>
      </c>
      <c r="C16" s="46">
        <v>51.71</v>
      </c>
      <c r="D16" s="46">
        <v>661.28</v>
      </c>
      <c r="E16" s="46">
        <v>95.75</v>
      </c>
      <c r="F16" s="46">
        <v>49.08</v>
      </c>
      <c r="G16" s="46">
        <v>53.43</v>
      </c>
      <c r="H16" s="46">
        <v>75.36</v>
      </c>
      <c r="I16" s="46">
        <v>48.34</v>
      </c>
      <c r="J16" s="46">
        <v>104.55</v>
      </c>
      <c r="K16" s="46">
        <v>19.670000000000002</v>
      </c>
      <c r="L16" s="46">
        <v>97.44</v>
      </c>
      <c r="M16" s="46">
        <v>41.83</v>
      </c>
      <c r="N16" s="46">
        <v>373.65</v>
      </c>
      <c r="O16" s="46"/>
      <c r="P16" s="46"/>
      <c r="Q16" s="46"/>
    </row>
    <row r="17" spans="1:17" ht="15" customHeight="1" x14ac:dyDescent="0.2">
      <c r="A17" s="45">
        <v>45247</v>
      </c>
      <c r="B17" s="46">
        <v>602.66</v>
      </c>
      <c r="C17" s="46">
        <v>53.66</v>
      </c>
      <c r="D17" s="46">
        <v>686.09</v>
      </c>
      <c r="E17" s="46">
        <v>97.77</v>
      </c>
      <c r="F17" s="46">
        <v>51.77</v>
      </c>
      <c r="G17" s="46">
        <v>54.45</v>
      </c>
      <c r="H17" s="46">
        <v>77.56</v>
      </c>
      <c r="I17" s="46">
        <v>49.3</v>
      </c>
      <c r="J17" s="46">
        <v>110.07</v>
      </c>
      <c r="K17" s="46">
        <v>20.49</v>
      </c>
      <c r="L17" s="46">
        <v>99.58</v>
      </c>
      <c r="M17" s="46">
        <v>43.29</v>
      </c>
      <c r="N17" s="46">
        <v>350.5</v>
      </c>
      <c r="O17" s="46"/>
      <c r="P17" s="46"/>
      <c r="Q17" s="46"/>
    </row>
    <row r="18" spans="1:17" ht="15" customHeight="1" x14ac:dyDescent="0.2">
      <c r="A18" s="45">
        <v>45254</v>
      </c>
      <c r="B18" s="46">
        <v>619.42999999999995</v>
      </c>
      <c r="C18" s="46">
        <v>54.6</v>
      </c>
      <c r="D18" s="46">
        <v>691.18</v>
      </c>
      <c r="E18" s="46">
        <v>97.89</v>
      </c>
      <c r="F18" s="46">
        <v>52.67</v>
      </c>
      <c r="G18" s="46">
        <v>55.56</v>
      </c>
      <c r="H18" s="46">
        <v>76.87</v>
      </c>
      <c r="I18" s="46">
        <v>47.78</v>
      </c>
      <c r="J18" s="46">
        <v>112</v>
      </c>
      <c r="K18" s="46">
        <v>19.2</v>
      </c>
      <c r="L18" s="46">
        <v>97.83</v>
      </c>
      <c r="M18" s="46">
        <v>42.68</v>
      </c>
      <c r="N18" s="46">
        <v>353.04</v>
      </c>
      <c r="O18" s="46"/>
      <c r="P18" s="46"/>
      <c r="Q18" s="46"/>
    </row>
    <row r="19" spans="1:17" ht="15" customHeight="1" x14ac:dyDescent="0.2">
      <c r="A19" s="45">
        <v>45261</v>
      </c>
      <c r="B19" s="46">
        <v>612.47</v>
      </c>
      <c r="C19" s="46">
        <v>54.16</v>
      </c>
      <c r="D19" s="46">
        <v>692.2</v>
      </c>
      <c r="E19" s="46">
        <v>93</v>
      </c>
      <c r="F19" s="46">
        <v>58.76</v>
      </c>
      <c r="G19" s="46">
        <v>54.9</v>
      </c>
      <c r="H19" s="46">
        <v>75.930000000000007</v>
      </c>
      <c r="I19" s="46">
        <v>46.77</v>
      </c>
      <c r="J19" s="46">
        <v>118.26</v>
      </c>
      <c r="K19" s="46">
        <v>20.27</v>
      </c>
      <c r="L19" s="46">
        <v>98.55</v>
      </c>
      <c r="M19" s="46">
        <v>45.14</v>
      </c>
      <c r="N19" s="46">
        <v>351.16</v>
      </c>
      <c r="O19" s="46"/>
      <c r="P19" s="46"/>
      <c r="Q19" s="46"/>
    </row>
    <row r="20" spans="1:17" ht="15" customHeight="1" x14ac:dyDescent="0.2">
      <c r="A20" s="45">
        <v>45268</v>
      </c>
      <c r="B20" s="46">
        <v>610.01</v>
      </c>
      <c r="C20" s="46">
        <v>56.01</v>
      </c>
      <c r="D20" s="46">
        <v>696.43</v>
      </c>
      <c r="E20" s="46">
        <v>94.43</v>
      </c>
      <c r="F20" s="46">
        <v>60.64</v>
      </c>
      <c r="G20" s="46">
        <v>53.44</v>
      </c>
      <c r="H20" s="46">
        <v>74.959999999999994</v>
      </c>
      <c r="I20" s="46">
        <v>47.51</v>
      </c>
      <c r="J20" s="46">
        <v>119.85</v>
      </c>
      <c r="K20" s="46">
        <v>17.77</v>
      </c>
      <c r="L20" s="46">
        <v>100.35</v>
      </c>
      <c r="M20" s="46">
        <v>47.14</v>
      </c>
      <c r="N20" s="46">
        <v>350.15</v>
      </c>
      <c r="O20" s="46"/>
      <c r="P20" s="46"/>
      <c r="Q20" s="46"/>
    </row>
    <row r="21" spans="1:17" ht="15" customHeight="1" x14ac:dyDescent="0.2">
      <c r="A21" s="45">
        <v>45275</v>
      </c>
      <c r="B21" s="46">
        <v>584.67999999999995</v>
      </c>
      <c r="C21" s="46">
        <v>58.9</v>
      </c>
      <c r="D21" s="46">
        <v>752.96</v>
      </c>
      <c r="E21" s="46">
        <v>112.97</v>
      </c>
      <c r="F21" s="46">
        <v>65.02</v>
      </c>
      <c r="G21" s="46">
        <v>58.51</v>
      </c>
      <c r="H21" s="46">
        <v>81.41</v>
      </c>
      <c r="I21" s="46">
        <v>48.89</v>
      </c>
      <c r="J21" s="46">
        <v>134.26</v>
      </c>
      <c r="K21" s="46">
        <v>18.2</v>
      </c>
      <c r="L21" s="46">
        <v>102.54</v>
      </c>
      <c r="M21" s="46">
        <v>47.73</v>
      </c>
      <c r="N21" s="46">
        <v>410.68</v>
      </c>
      <c r="O21" s="46"/>
      <c r="P21" s="46"/>
      <c r="Q21" s="46"/>
    </row>
    <row r="22" spans="1:17" ht="15" customHeight="1" x14ac:dyDescent="0.2">
      <c r="A22" s="45">
        <v>45282</v>
      </c>
      <c r="B22" s="46">
        <v>598.75</v>
      </c>
      <c r="C22" s="46">
        <v>59.57</v>
      </c>
      <c r="D22" s="46">
        <v>752.53</v>
      </c>
      <c r="E22" s="46">
        <v>112.2</v>
      </c>
      <c r="F22" s="46">
        <v>63.91</v>
      </c>
      <c r="G22" s="46">
        <v>58.27</v>
      </c>
      <c r="H22" s="46">
        <v>86.49</v>
      </c>
      <c r="I22" s="46">
        <v>48.83</v>
      </c>
      <c r="J22" s="46">
        <v>132.4</v>
      </c>
      <c r="K22" s="46">
        <v>17.41</v>
      </c>
      <c r="L22" s="46">
        <v>103.15</v>
      </c>
      <c r="M22" s="46">
        <v>48.78</v>
      </c>
      <c r="N22" s="46">
        <v>405.25</v>
      </c>
      <c r="O22" s="46"/>
      <c r="P22" s="46"/>
      <c r="Q22" s="46"/>
    </row>
    <row r="23" spans="1:17" ht="15" customHeight="1" x14ac:dyDescent="0.2">
      <c r="A23" s="45">
        <v>45289</v>
      </c>
      <c r="B23" s="46">
        <v>596.6</v>
      </c>
      <c r="C23" s="46">
        <v>58.88</v>
      </c>
      <c r="D23" s="46">
        <v>756.92</v>
      </c>
      <c r="E23" s="46">
        <v>111.63</v>
      </c>
      <c r="F23" s="46">
        <v>63.83</v>
      </c>
      <c r="G23" s="46">
        <v>58.13</v>
      </c>
      <c r="H23" s="46">
        <v>85.34</v>
      </c>
      <c r="I23" s="46">
        <v>49.52</v>
      </c>
      <c r="J23" s="46">
        <v>133.30000000000001</v>
      </c>
      <c r="K23" s="46">
        <v>17.170000000000002</v>
      </c>
      <c r="L23" s="46">
        <v>104</v>
      </c>
      <c r="M23" s="46">
        <v>48.03</v>
      </c>
      <c r="N23" s="46">
        <v>406.89</v>
      </c>
      <c r="O23" s="46"/>
      <c r="P23" s="46"/>
      <c r="Q23" s="46"/>
    </row>
    <row r="24" spans="1:17" ht="15" customHeight="1" x14ac:dyDescent="0.2">
      <c r="A24" s="45">
        <v>45296</v>
      </c>
      <c r="B24" s="46">
        <v>564.6</v>
      </c>
      <c r="C24" s="46">
        <v>57.73</v>
      </c>
      <c r="D24" s="46">
        <v>703.34</v>
      </c>
      <c r="E24" s="46">
        <v>104.93</v>
      </c>
      <c r="F24" s="46">
        <v>61.87</v>
      </c>
      <c r="G24" s="46">
        <v>54.43</v>
      </c>
      <c r="H24" s="46">
        <v>83.45</v>
      </c>
      <c r="I24" s="46">
        <v>49.1</v>
      </c>
      <c r="J24" s="46">
        <v>130.56</v>
      </c>
      <c r="K24" s="46">
        <v>15.98</v>
      </c>
      <c r="L24" s="46">
        <v>99.61</v>
      </c>
      <c r="M24" s="46">
        <v>46.31</v>
      </c>
      <c r="N24" s="46">
        <v>416.5</v>
      </c>
      <c r="O24" s="46"/>
      <c r="P24" s="46"/>
      <c r="Q24" s="46"/>
    </row>
    <row r="25" spans="1:17" ht="15" customHeight="1" x14ac:dyDescent="0.2">
      <c r="A25" s="45">
        <v>45303</v>
      </c>
      <c r="B25" s="46">
        <v>596.54</v>
      </c>
      <c r="C25" s="46">
        <v>63.01</v>
      </c>
      <c r="D25" s="46">
        <v>713.22</v>
      </c>
      <c r="E25" s="46">
        <v>110.77</v>
      </c>
      <c r="F25" s="46">
        <v>70.84</v>
      </c>
      <c r="G25" s="46">
        <v>56.06</v>
      </c>
      <c r="H25" s="46">
        <v>82.39</v>
      </c>
      <c r="I25" s="46">
        <v>54.71</v>
      </c>
      <c r="J25" s="46">
        <v>131.55000000000001</v>
      </c>
      <c r="K25" s="46">
        <v>16.760000000000002</v>
      </c>
      <c r="L25" s="46">
        <v>101.24</v>
      </c>
      <c r="M25" s="46">
        <v>49.52</v>
      </c>
      <c r="N25" s="46">
        <v>433.4</v>
      </c>
      <c r="O25" s="46"/>
      <c r="P25" s="46"/>
      <c r="Q25" s="46"/>
    </row>
    <row r="26" spans="1:17" ht="15" customHeight="1" x14ac:dyDescent="0.2">
      <c r="A26" s="45">
        <v>45310</v>
      </c>
      <c r="B26" s="46">
        <v>611.54999999999995</v>
      </c>
      <c r="C26" s="46">
        <v>65.88</v>
      </c>
      <c r="D26" s="46">
        <v>757.83</v>
      </c>
      <c r="E26" s="46">
        <v>121.12</v>
      </c>
      <c r="F26" s="46">
        <v>72.64</v>
      </c>
      <c r="G26" s="46">
        <v>61.3</v>
      </c>
      <c r="H26" s="46">
        <v>87.51</v>
      </c>
      <c r="I26" s="46">
        <v>59.49</v>
      </c>
      <c r="J26" s="46">
        <v>128.44</v>
      </c>
      <c r="K26" s="46">
        <v>16.78</v>
      </c>
      <c r="L26" s="46">
        <v>114.2</v>
      </c>
      <c r="M26" s="46">
        <v>53.67</v>
      </c>
      <c r="N26" s="46">
        <v>435.02</v>
      </c>
      <c r="O26" s="46"/>
      <c r="P26" s="46"/>
      <c r="Q26" s="46"/>
    </row>
    <row r="27" spans="1:17" ht="15" customHeight="1" x14ac:dyDescent="0.2">
      <c r="A27" s="45">
        <v>45317</v>
      </c>
      <c r="B27" s="46">
        <v>613.92999999999995</v>
      </c>
      <c r="C27" s="46">
        <v>66.099999999999994</v>
      </c>
      <c r="D27" s="46">
        <v>867.75</v>
      </c>
      <c r="E27" s="46">
        <v>120.49</v>
      </c>
      <c r="F27" s="46">
        <v>72.58</v>
      </c>
      <c r="G27" s="46">
        <v>59.94</v>
      </c>
      <c r="H27" s="46">
        <v>88.05</v>
      </c>
      <c r="I27" s="46">
        <v>61.03</v>
      </c>
      <c r="J27" s="46">
        <v>126.87</v>
      </c>
      <c r="K27" s="46">
        <v>16.350000000000001</v>
      </c>
      <c r="L27" s="46">
        <v>117.26</v>
      </c>
      <c r="M27" s="46">
        <v>53.46</v>
      </c>
      <c r="N27" s="46">
        <v>430.17</v>
      </c>
      <c r="O27" s="46"/>
      <c r="P27" s="46"/>
      <c r="Q27" s="46"/>
    </row>
    <row r="28" spans="1:17" ht="15" customHeight="1" x14ac:dyDescent="0.2">
      <c r="A28" s="45">
        <v>45324</v>
      </c>
      <c r="B28" s="46">
        <v>634.76</v>
      </c>
      <c r="C28" s="46">
        <v>68.28</v>
      </c>
      <c r="D28" s="46">
        <v>890.66</v>
      </c>
      <c r="E28" s="46">
        <v>122.43</v>
      </c>
      <c r="F28" s="46">
        <v>75.89</v>
      </c>
      <c r="G28" s="46">
        <v>60.43</v>
      </c>
      <c r="H28" s="46">
        <v>86.48</v>
      </c>
      <c r="I28" s="46">
        <v>66.16</v>
      </c>
      <c r="J28" s="46">
        <v>129.25</v>
      </c>
      <c r="K28" s="46">
        <v>17.02</v>
      </c>
      <c r="L28" s="46">
        <v>115.75</v>
      </c>
      <c r="M28" s="46">
        <v>61.47</v>
      </c>
      <c r="N28" s="46">
        <v>424.68</v>
      </c>
      <c r="O28" s="46"/>
      <c r="P28" s="46"/>
      <c r="Q28" s="46"/>
    </row>
    <row r="29" spans="1:17" ht="15" customHeight="1" x14ac:dyDescent="0.2">
      <c r="A29" s="45">
        <v>45331</v>
      </c>
      <c r="B29" s="46">
        <v>627.21</v>
      </c>
      <c r="C29" s="46">
        <v>70.61</v>
      </c>
      <c r="D29" s="46">
        <v>949.6</v>
      </c>
      <c r="E29" s="46">
        <v>128.34</v>
      </c>
      <c r="F29" s="46">
        <v>82.34</v>
      </c>
      <c r="G29" s="46">
        <v>64.98</v>
      </c>
      <c r="H29" s="46">
        <v>85.56</v>
      </c>
      <c r="I29" s="46">
        <v>72.13</v>
      </c>
      <c r="J29" s="46">
        <v>132.47999999999999</v>
      </c>
      <c r="K29" s="46">
        <v>24.38</v>
      </c>
      <c r="L29" s="46">
        <v>133.11000000000001</v>
      </c>
      <c r="M29" s="46">
        <v>63.52</v>
      </c>
      <c r="N29" s="46">
        <v>422.91</v>
      </c>
      <c r="O29" s="46"/>
      <c r="P29" s="46"/>
      <c r="Q29" s="46"/>
    </row>
    <row r="30" spans="1:17" ht="15" customHeight="1" x14ac:dyDescent="0.2">
      <c r="A30" s="45">
        <v>45338</v>
      </c>
      <c r="B30" s="46">
        <v>546.66</v>
      </c>
      <c r="C30" s="46">
        <v>65.44</v>
      </c>
      <c r="D30" s="46">
        <v>928.94</v>
      </c>
      <c r="E30" s="46">
        <v>124.55</v>
      </c>
      <c r="F30" s="46">
        <v>82.31</v>
      </c>
      <c r="G30" s="46">
        <v>66.14</v>
      </c>
      <c r="H30" s="46">
        <v>79.5</v>
      </c>
      <c r="I30" s="46">
        <v>72.61</v>
      </c>
      <c r="J30" s="46">
        <v>133.38999999999999</v>
      </c>
      <c r="K30" s="46">
        <v>24.44</v>
      </c>
      <c r="L30" s="46">
        <v>126.69</v>
      </c>
      <c r="M30" s="46">
        <v>62.97</v>
      </c>
      <c r="N30" s="46">
        <v>422.2</v>
      </c>
      <c r="O30" s="46"/>
      <c r="P30" s="46"/>
      <c r="Q30" s="46"/>
    </row>
    <row r="31" spans="1:17" ht="15" customHeight="1" x14ac:dyDescent="0.2">
      <c r="A31" s="45">
        <v>45345</v>
      </c>
      <c r="B31" s="46">
        <v>553.44000000000005</v>
      </c>
      <c r="C31" s="46">
        <v>66.92</v>
      </c>
      <c r="D31" s="46">
        <v>933.25</v>
      </c>
      <c r="E31" s="46">
        <v>129.63999999999999</v>
      </c>
      <c r="F31" s="46">
        <v>77.87</v>
      </c>
      <c r="G31" s="46">
        <v>66.88</v>
      </c>
      <c r="H31" s="46">
        <v>86</v>
      </c>
      <c r="I31" s="46">
        <v>78.819999999999993</v>
      </c>
      <c r="J31" s="46">
        <v>133.21</v>
      </c>
      <c r="K31" s="46">
        <v>22.97</v>
      </c>
      <c r="L31" s="46">
        <v>129.53</v>
      </c>
      <c r="M31" s="46">
        <v>62.7</v>
      </c>
      <c r="N31" s="46">
        <v>430.11</v>
      </c>
      <c r="O31" s="46"/>
      <c r="P31" s="46"/>
      <c r="Q31" s="46"/>
    </row>
    <row r="32" spans="1:17" ht="15" customHeight="1" x14ac:dyDescent="0.2">
      <c r="A32" s="45">
        <v>45352</v>
      </c>
      <c r="B32" s="46">
        <v>570.92999999999995</v>
      </c>
      <c r="C32" s="46">
        <v>71.94</v>
      </c>
      <c r="D32" s="46">
        <v>990.94</v>
      </c>
      <c r="E32" s="46">
        <v>139.91999999999999</v>
      </c>
      <c r="F32" s="46">
        <v>78.650000000000006</v>
      </c>
      <c r="G32" s="46">
        <v>71.760000000000005</v>
      </c>
      <c r="H32" s="46">
        <v>95.15</v>
      </c>
      <c r="I32" s="46">
        <v>82.28</v>
      </c>
      <c r="J32" s="46">
        <v>134.6</v>
      </c>
      <c r="K32" s="46">
        <v>24.93</v>
      </c>
      <c r="L32" s="46">
        <v>133.9</v>
      </c>
      <c r="M32" s="46">
        <v>70.569999999999993</v>
      </c>
      <c r="N32" s="46">
        <v>432.76</v>
      </c>
      <c r="O32" s="46"/>
      <c r="P32" s="46"/>
      <c r="Q32" s="46"/>
    </row>
    <row r="33" spans="1:17" ht="15" customHeight="1" x14ac:dyDescent="0.2">
      <c r="A33" s="45">
        <v>45359</v>
      </c>
      <c r="B33" s="46">
        <v>551.69000000000005</v>
      </c>
      <c r="C33" s="46">
        <v>68.28</v>
      </c>
      <c r="D33" s="46">
        <v>994.33</v>
      </c>
      <c r="E33" s="46">
        <v>130.87</v>
      </c>
      <c r="F33" s="46">
        <v>80.709999999999994</v>
      </c>
      <c r="G33" s="46">
        <v>69.92</v>
      </c>
      <c r="H33" s="46">
        <v>97.62</v>
      </c>
      <c r="I33" s="46">
        <v>87.53</v>
      </c>
      <c r="J33" s="46">
        <v>135.07</v>
      </c>
      <c r="K33" s="46">
        <v>26.04</v>
      </c>
      <c r="L33" s="46">
        <v>146.37</v>
      </c>
      <c r="M33" s="46">
        <v>69.37</v>
      </c>
      <c r="N33" s="46">
        <v>413.59</v>
      </c>
      <c r="O33" s="46"/>
      <c r="P33" s="46"/>
      <c r="Q33" s="46"/>
    </row>
    <row r="34" spans="1:17" ht="15" customHeight="1" x14ac:dyDescent="0.2">
      <c r="A34" s="45">
        <v>45366</v>
      </c>
      <c r="B34" s="46">
        <v>492.46</v>
      </c>
      <c r="C34" s="46">
        <v>69.430000000000007</v>
      </c>
      <c r="D34" s="46">
        <v>940.21</v>
      </c>
      <c r="E34" s="46">
        <v>123.55</v>
      </c>
      <c r="F34" s="46">
        <v>78.91</v>
      </c>
      <c r="G34" s="46">
        <v>68.39</v>
      </c>
      <c r="H34" s="46">
        <v>93.25</v>
      </c>
      <c r="I34" s="46">
        <v>87.84</v>
      </c>
      <c r="J34" s="46">
        <v>129.02000000000001</v>
      </c>
      <c r="K34" s="46">
        <v>23.49</v>
      </c>
      <c r="L34" s="46">
        <v>136.97999999999999</v>
      </c>
      <c r="M34" s="46">
        <v>74.16</v>
      </c>
      <c r="N34" s="46">
        <v>407.69</v>
      </c>
      <c r="O34" s="46"/>
      <c r="P34" s="46"/>
      <c r="Q34" s="46"/>
    </row>
    <row r="35" spans="1:17" ht="15" customHeight="1" x14ac:dyDescent="0.2">
      <c r="A35" s="45">
        <v>45373</v>
      </c>
      <c r="B35" s="46">
        <v>499.52</v>
      </c>
      <c r="C35" s="46">
        <v>76.61</v>
      </c>
      <c r="D35" s="46">
        <v>979.96</v>
      </c>
      <c r="E35" s="46">
        <v>135.35</v>
      </c>
      <c r="F35" s="46">
        <v>81.900000000000006</v>
      </c>
      <c r="G35" s="46">
        <v>71.06</v>
      </c>
      <c r="H35" s="46">
        <v>110.21</v>
      </c>
      <c r="I35" s="46">
        <v>94.29</v>
      </c>
      <c r="J35" s="46">
        <v>128.62</v>
      </c>
      <c r="K35" s="46">
        <v>24.18</v>
      </c>
      <c r="L35" s="46">
        <v>140.54</v>
      </c>
      <c r="M35" s="46">
        <v>82.5</v>
      </c>
      <c r="N35" s="46">
        <v>415.66</v>
      </c>
      <c r="O35" s="46"/>
      <c r="P35" s="46"/>
      <c r="Q35" s="46"/>
    </row>
    <row r="36" spans="1:17" ht="15" customHeight="1" x14ac:dyDescent="0.2">
      <c r="A36" s="45">
        <v>45379</v>
      </c>
      <c r="B36" s="46">
        <v>504.6</v>
      </c>
      <c r="C36" s="46">
        <v>72.5</v>
      </c>
      <c r="D36" s="46">
        <v>970.47</v>
      </c>
      <c r="E36" s="46">
        <v>132.54</v>
      </c>
      <c r="F36" s="46">
        <v>80.150000000000006</v>
      </c>
      <c r="G36" s="46">
        <v>69.86</v>
      </c>
      <c r="H36" s="46">
        <v>117.89</v>
      </c>
      <c r="I36" s="46">
        <v>90.36</v>
      </c>
      <c r="J36" s="46">
        <v>130.22</v>
      </c>
      <c r="K36" s="46">
        <v>23.01</v>
      </c>
      <c r="L36" s="46">
        <v>136.05000000000001</v>
      </c>
      <c r="M36" s="46">
        <v>81.67</v>
      </c>
      <c r="N36" s="46">
        <v>418.01</v>
      </c>
      <c r="O36" s="46"/>
      <c r="P36" s="46"/>
      <c r="Q36" s="46"/>
    </row>
    <row r="37" spans="1:17" ht="15" customHeight="1" x14ac:dyDescent="0.2">
      <c r="A37" s="45">
        <v>45387</v>
      </c>
      <c r="B37" s="46">
        <v>485.12</v>
      </c>
      <c r="C37" s="46">
        <v>74.400000000000006</v>
      </c>
      <c r="D37" s="46">
        <v>979.55</v>
      </c>
      <c r="E37" s="46">
        <v>133.94</v>
      </c>
      <c r="F37" s="46">
        <v>78.88</v>
      </c>
      <c r="G37" s="46">
        <v>68.28</v>
      </c>
      <c r="H37" s="46">
        <v>123.58</v>
      </c>
      <c r="I37" s="46">
        <v>88.01</v>
      </c>
      <c r="J37" s="46">
        <v>124.74</v>
      </c>
      <c r="K37" s="46">
        <v>22.96</v>
      </c>
      <c r="L37" s="46">
        <v>141.36000000000001</v>
      </c>
      <c r="M37" s="46">
        <v>85.34</v>
      </c>
      <c r="N37" s="46">
        <v>406.67</v>
      </c>
      <c r="O37" s="46"/>
      <c r="P37" s="46"/>
      <c r="Q37" s="46"/>
    </row>
    <row r="38" spans="1:17" ht="15" customHeight="1" x14ac:dyDescent="0.2">
      <c r="A38" s="45">
        <v>45394</v>
      </c>
      <c r="B38" s="46">
        <v>474.09</v>
      </c>
      <c r="C38" s="46">
        <v>67.81</v>
      </c>
      <c r="D38" s="46">
        <v>961.84</v>
      </c>
      <c r="E38" s="46">
        <v>134.41</v>
      </c>
      <c r="F38" s="46">
        <v>77.260000000000005</v>
      </c>
      <c r="G38" s="46">
        <v>68.08</v>
      </c>
      <c r="H38" s="46">
        <v>122.52</v>
      </c>
      <c r="I38" s="46">
        <v>88.19</v>
      </c>
      <c r="J38" s="46">
        <v>119</v>
      </c>
      <c r="K38" s="46">
        <v>22.67</v>
      </c>
      <c r="L38" s="46">
        <v>142.52000000000001</v>
      </c>
      <c r="M38" s="46">
        <v>83.89</v>
      </c>
      <c r="N38" s="46">
        <v>396.55</v>
      </c>
      <c r="O38" s="46"/>
      <c r="P38" s="46"/>
      <c r="Q38" s="46"/>
    </row>
    <row r="39" spans="1:17" ht="15" customHeight="1" x14ac:dyDescent="0.2">
      <c r="A39" s="45">
        <v>45401</v>
      </c>
      <c r="B39" s="46">
        <v>465.02</v>
      </c>
      <c r="C39" s="46">
        <v>61.52</v>
      </c>
      <c r="D39" s="46">
        <v>859.54</v>
      </c>
      <c r="E39" s="46">
        <v>120.47</v>
      </c>
      <c r="F39" s="46">
        <v>70.66</v>
      </c>
      <c r="G39" s="46">
        <v>62.82</v>
      </c>
      <c r="H39" s="46">
        <v>106.77</v>
      </c>
      <c r="I39" s="46">
        <v>76.2</v>
      </c>
      <c r="J39" s="46">
        <v>103.49</v>
      </c>
      <c r="K39" s="46">
        <v>20.47</v>
      </c>
      <c r="L39" s="46">
        <v>127.7</v>
      </c>
      <c r="M39" s="46">
        <v>75.010000000000005</v>
      </c>
      <c r="N39" s="46">
        <v>394.28</v>
      </c>
      <c r="O39" s="46"/>
      <c r="P39" s="46"/>
      <c r="Q39" s="46"/>
    </row>
    <row r="40" spans="1:17" ht="15" customHeight="1" x14ac:dyDescent="0.2">
      <c r="A40" s="45">
        <v>45408</v>
      </c>
      <c r="B40" s="46">
        <v>477.56</v>
      </c>
      <c r="C40" s="46">
        <v>66.180000000000007</v>
      </c>
      <c r="D40" s="46">
        <v>918.97</v>
      </c>
      <c r="E40" s="46">
        <v>134.41</v>
      </c>
      <c r="F40" s="46">
        <v>76.02</v>
      </c>
      <c r="G40" s="46">
        <v>70.63</v>
      </c>
      <c r="H40" s="46">
        <v>114.84</v>
      </c>
      <c r="I40" s="46">
        <v>87.74</v>
      </c>
      <c r="J40" s="46">
        <v>104.06</v>
      </c>
      <c r="K40" s="46">
        <v>22.52</v>
      </c>
      <c r="L40" s="46">
        <v>138.30000000000001</v>
      </c>
      <c r="M40" s="46">
        <v>93.49</v>
      </c>
      <c r="N40" s="46">
        <v>397.48</v>
      </c>
      <c r="O40" s="46"/>
      <c r="P40" s="46"/>
      <c r="Q40" s="46"/>
    </row>
    <row r="41" spans="1:17" ht="15" customHeight="1" x14ac:dyDescent="0.2">
      <c r="A41" s="45">
        <v>45415</v>
      </c>
      <c r="B41" s="46">
        <v>486.18</v>
      </c>
      <c r="C41" s="46">
        <v>68.599999999999994</v>
      </c>
      <c r="D41" s="46">
        <v>901.63</v>
      </c>
      <c r="E41" s="46">
        <v>127.81</v>
      </c>
      <c r="F41" s="46">
        <v>77.55</v>
      </c>
      <c r="G41" s="46">
        <v>69.66</v>
      </c>
      <c r="H41" s="46">
        <v>114.7</v>
      </c>
      <c r="I41" s="46">
        <v>88.79</v>
      </c>
      <c r="J41" s="46">
        <v>105.89</v>
      </c>
      <c r="K41" s="46">
        <v>23.33</v>
      </c>
      <c r="L41" s="46">
        <v>141.56</v>
      </c>
      <c r="M41" s="46">
        <v>93.01</v>
      </c>
      <c r="N41" s="46">
        <v>401.08</v>
      </c>
      <c r="O41" s="46"/>
      <c r="P41" s="46"/>
      <c r="Q41" s="46"/>
    </row>
    <row r="42" spans="1:17" ht="15" customHeight="1" x14ac:dyDescent="0.2">
      <c r="A42" s="45">
        <v>45422</v>
      </c>
      <c r="B42" s="46">
        <v>482.29</v>
      </c>
      <c r="C42" s="46">
        <v>78.510000000000005</v>
      </c>
      <c r="D42" s="46">
        <v>930.29</v>
      </c>
      <c r="E42" s="46">
        <v>133.28</v>
      </c>
      <c r="F42" s="46">
        <v>80.19</v>
      </c>
      <c r="G42" s="46">
        <v>71.83</v>
      </c>
      <c r="H42" s="46">
        <v>121.24</v>
      </c>
      <c r="I42" s="46">
        <v>89.88</v>
      </c>
      <c r="J42" s="46">
        <v>107.49</v>
      </c>
      <c r="K42" s="46">
        <v>20.6</v>
      </c>
      <c r="L42" s="46">
        <v>149.26</v>
      </c>
      <c r="M42" s="46">
        <v>95.4</v>
      </c>
      <c r="N42" s="46">
        <v>422.78</v>
      </c>
      <c r="O42" s="46"/>
      <c r="P42" s="46"/>
      <c r="Q42" s="46"/>
    </row>
    <row r="43" spans="1:17" ht="15" customHeight="1" x14ac:dyDescent="0.2">
      <c r="A43" s="45">
        <v>45429</v>
      </c>
      <c r="B43" s="46">
        <v>483.43</v>
      </c>
      <c r="C43" s="46">
        <v>79.97</v>
      </c>
      <c r="D43" s="46">
        <v>924.97</v>
      </c>
      <c r="E43" s="46">
        <v>139.53</v>
      </c>
      <c r="F43" s="46">
        <v>86.48</v>
      </c>
      <c r="G43" s="46">
        <v>74.77</v>
      </c>
      <c r="H43" s="46">
        <v>125.29</v>
      </c>
      <c r="I43" s="46">
        <v>92.48</v>
      </c>
      <c r="J43" s="46">
        <v>111.5</v>
      </c>
      <c r="K43" s="46">
        <v>21.76</v>
      </c>
      <c r="L43" s="46">
        <v>151.68</v>
      </c>
      <c r="M43" s="46">
        <v>96.81</v>
      </c>
      <c r="N43" s="46">
        <v>445.21</v>
      </c>
      <c r="O43" s="46"/>
      <c r="P43" s="46"/>
      <c r="Q43" s="46"/>
    </row>
    <row r="44" spans="1:17" ht="15" customHeight="1" x14ac:dyDescent="0.2">
      <c r="A44" s="45">
        <v>45436</v>
      </c>
      <c r="B44" s="46">
        <v>475.43</v>
      </c>
      <c r="C44" s="46">
        <v>76.64</v>
      </c>
      <c r="D44" s="46">
        <v>956.22</v>
      </c>
      <c r="E44" s="46">
        <v>140.78</v>
      </c>
      <c r="F44" s="46">
        <v>87.87</v>
      </c>
      <c r="G44" s="46">
        <v>77.91</v>
      </c>
      <c r="H44" s="46">
        <v>129.49</v>
      </c>
      <c r="I44" s="46">
        <v>106.47</v>
      </c>
      <c r="J44" s="46">
        <v>104.75</v>
      </c>
      <c r="K44" s="46">
        <v>21.01</v>
      </c>
      <c r="L44" s="46">
        <v>160</v>
      </c>
      <c r="M44" s="46">
        <v>106.17</v>
      </c>
      <c r="N44" s="46">
        <v>456.95</v>
      </c>
      <c r="O44" s="46"/>
      <c r="P44" s="46"/>
      <c r="Q44" s="46"/>
    </row>
    <row r="45" spans="1:17" ht="15" customHeight="1" x14ac:dyDescent="0.2">
      <c r="A45" s="45">
        <v>45443</v>
      </c>
      <c r="B45" s="46">
        <v>444.76</v>
      </c>
      <c r="C45" s="46">
        <v>74.41</v>
      </c>
      <c r="D45" s="46">
        <v>960.35</v>
      </c>
      <c r="E45" s="46">
        <v>132.85</v>
      </c>
      <c r="F45" s="46">
        <v>78.42</v>
      </c>
      <c r="G45" s="46">
        <v>75.95</v>
      </c>
      <c r="H45" s="46">
        <v>125</v>
      </c>
      <c r="I45" s="46">
        <v>109.63</v>
      </c>
      <c r="J45" s="46">
        <v>110.49</v>
      </c>
      <c r="K45" s="46">
        <v>21.68</v>
      </c>
      <c r="L45" s="46">
        <v>151.04</v>
      </c>
      <c r="M45" s="46">
        <v>98.07</v>
      </c>
      <c r="N45" s="46">
        <v>455.34</v>
      </c>
      <c r="O45" s="46"/>
      <c r="P45" s="46"/>
      <c r="Q45" s="46"/>
    </row>
    <row r="46" spans="1:17" ht="15" customHeight="1" x14ac:dyDescent="0.2">
      <c r="A46" s="45">
        <v>45450</v>
      </c>
      <c r="B46" s="46">
        <v>465.43</v>
      </c>
      <c r="C46" s="46">
        <v>74.2</v>
      </c>
      <c r="D46" s="46">
        <v>1028.42</v>
      </c>
      <c r="E46" s="46">
        <v>140.66</v>
      </c>
      <c r="F46" s="46">
        <v>87.28</v>
      </c>
      <c r="G46" s="46">
        <v>76.900000000000006</v>
      </c>
      <c r="H46" s="46">
        <v>130.94</v>
      </c>
      <c r="I46" s="46">
        <v>120.89</v>
      </c>
      <c r="J46" s="46">
        <v>110.2</v>
      </c>
      <c r="K46" s="46">
        <v>23.31</v>
      </c>
      <c r="L46" s="46">
        <v>164.39</v>
      </c>
      <c r="M46" s="46">
        <v>87.68</v>
      </c>
      <c r="N46" s="46">
        <v>483.04</v>
      </c>
      <c r="O46" s="46"/>
      <c r="P46" s="46"/>
      <c r="Q46" s="46"/>
    </row>
    <row r="47" spans="1:17" ht="15" customHeight="1" x14ac:dyDescent="0.2">
      <c r="A47" s="45">
        <v>45457</v>
      </c>
      <c r="B47" s="46">
        <v>525.30999999999995</v>
      </c>
      <c r="C47" s="46">
        <v>82.13</v>
      </c>
      <c r="D47" s="46">
        <v>1027.9000000000001</v>
      </c>
      <c r="E47" s="46">
        <v>173.5</v>
      </c>
      <c r="F47" s="46">
        <v>96.36</v>
      </c>
      <c r="G47" s="46">
        <v>82.48</v>
      </c>
      <c r="H47" s="46">
        <v>141.36000000000001</v>
      </c>
      <c r="I47" s="46">
        <v>131.88</v>
      </c>
      <c r="J47" s="46">
        <v>112.29</v>
      </c>
      <c r="K47" s="46">
        <v>23.57</v>
      </c>
      <c r="L47" s="46">
        <v>172.51</v>
      </c>
      <c r="M47" s="46">
        <v>91.48</v>
      </c>
      <c r="N47" s="46">
        <v>480.73</v>
      </c>
      <c r="O47" s="46"/>
      <c r="P47" s="46"/>
      <c r="Q47" s="46"/>
    </row>
    <row r="48" spans="1:17" ht="15" customHeight="1" x14ac:dyDescent="0.2">
      <c r="A48" s="45">
        <v>45464</v>
      </c>
      <c r="B48" s="46">
        <v>533.44000000000005</v>
      </c>
      <c r="C48" s="46">
        <v>84.34</v>
      </c>
      <c r="D48" s="46">
        <v>1036.5999999999999</v>
      </c>
      <c r="E48" s="46">
        <v>165.86</v>
      </c>
      <c r="F48" s="46">
        <v>95.16</v>
      </c>
      <c r="G48" s="46">
        <v>81.66</v>
      </c>
      <c r="H48" s="46">
        <v>139.54</v>
      </c>
      <c r="I48" s="46">
        <v>126.57</v>
      </c>
      <c r="J48" s="46">
        <v>109.4</v>
      </c>
      <c r="K48" s="46">
        <v>23.84</v>
      </c>
      <c r="L48" s="46">
        <v>173.96</v>
      </c>
      <c r="M48" s="46">
        <v>90.62</v>
      </c>
      <c r="N48" s="46">
        <v>468.71</v>
      </c>
      <c r="O48" s="46"/>
      <c r="P48" s="46"/>
      <c r="Q48" s="46"/>
    </row>
    <row r="49" spans="1:17" ht="15" customHeight="1" x14ac:dyDescent="0.2">
      <c r="A49" s="45">
        <v>45471</v>
      </c>
      <c r="B49" s="46">
        <v>555.54</v>
      </c>
      <c r="C49" s="46">
        <v>87.62</v>
      </c>
      <c r="D49" s="46">
        <v>1022.73</v>
      </c>
      <c r="E49" s="46">
        <v>160.55000000000001</v>
      </c>
      <c r="F49" s="46">
        <v>95.8</v>
      </c>
      <c r="G49" s="46">
        <v>82.45</v>
      </c>
      <c r="H49" s="46">
        <v>131.53</v>
      </c>
      <c r="I49" s="46">
        <v>123.54</v>
      </c>
      <c r="J49" s="46">
        <v>112.31</v>
      </c>
      <c r="K49" s="46">
        <v>25.33</v>
      </c>
      <c r="L49" s="46">
        <v>173.81</v>
      </c>
      <c r="M49" s="46">
        <v>86.57</v>
      </c>
      <c r="N49" s="46">
        <v>468.72</v>
      </c>
      <c r="O49" s="46"/>
      <c r="P49" s="46"/>
      <c r="Q49" s="46"/>
    </row>
    <row r="50" spans="1:17" ht="15" customHeight="1" x14ac:dyDescent="0.2">
      <c r="A50" s="45">
        <v>45478</v>
      </c>
      <c r="B50" s="46">
        <v>578.34</v>
      </c>
      <c r="C50" s="46">
        <v>91.54</v>
      </c>
      <c r="D50" s="46">
        <v>1074.48</v>
      </c>
      <c r="E50" s="46">
        <v>170.33</v>
      </c>
      <c r="F50" s="46">
        <v>97.42</v>
      </c>
      <c r="G50" s="46">
        <v>85.52</v>
      </c>
      <c r="H50" s="46">
        <v>131.6</v>
      </c>
      <c r="I50" s="46">
        <v>125.83</v>
      </c>
      <c r="J50" s="46">
        <v>114.46</v>
      </c>
      <c r="K50" s="46">
        <v>27.23</v>
      </c>
      <c r="L50" s="46">
        <v>183.99</v>
      </c>
      <c r="M50" s="46">
        <v>91.78</v>
      </c>
      <c r="N50" s="46">
        <v>474.57</v>
      </c>
      <c r="O50" s="46"/>
      <c r="P50" s="46"/>
      <c r="Q50" s="46"/>
    </row>
    <row r="51" spans="1:17" ht="15" customHeight="1" x14ac:dyDescent="0.2">
      <c r="A51" s="45">
        <v>45485</v>
      </c>
      <c r="B51" s="46">
        <v>559.04999999999995</v>
      </c>
      <c r="C51" s="46">
        <v>90.48</v>
      </c>
      <c r="D51" s="46">
        <v>1085.26</v>
      </c>
      <c r="E51" s="46">
        <v>170.07</v>
      </c>
      <c r="F51" s="46">
        <v>92.83</v>
      </c>
      <c r="G51" s="46">
        <v>85.77</v>
      </c>
      <c r="H51" s="46">
        <v>133.55000000000001</v>
      </c>
      <c r="I51" s="46">
        <v>129.24</v>
      </c>
      <c r="J51" s="46">
        <v>120.15</v>
      </c>
      <c r="K51" s="46">
        <v>28.07</v>
      </c>
      <c r="L51" s="46">
        <v>187.35</v>
      </c>
      <c r="M51" s="46">
        <v>89.67</v>
      </c>
      <c r="N51" s="46">
        <v>488.74</v>
      </c>
      <c r="O51" s="46"/>
      <c r="P51" s="46"/>
      <c r="Q51" s="46"/>
    </row>
    <row r="52" spans="1:17" ht="15" customHeight="1" x14ac:dyDescent="0.2">
      <c r="A52" s="45">
        <v>45492</v>
      </c>
      <c r="B52" s="46">
        <v>551</v>
      </c>
      <c r="C52" s="46">
        <v>82.64</v>
      </c>
      <c r="D52" s="46">
        <v>895.37</v>
      </c>
      <c r="E52" s="46">
        <v>157.35</v>
      </c>
      <c r="F52" s="46">
        <v>76.239999999999995</v>
      </c>
      <c r="G52" s="46">
        <v>76.260000000000005</v>
      </c>
      <c r="H52" s="46">
        <v>114.26</v>
      </c>
      <c r="I52" s="46">
        <v>117.93</v>
      </c>
      <c r="J52" s="46">
        <v>123.75</v>
      </c>
      <c r="K52" s="46">
        <v>28.58</v>
      </c>
      <c r="L52" s="46">
        <v>165.77</v>
      </c>
      <c r="M52" s="46">
        <v>85.31</v>
      </c>
      <c r="N52" s="46">
        <v>491.57</v>
      </c>
      <c r="O52" s="46"/>
      <c r="P52" s="46"/>
      <c r="Q52" s="46"/>
    </row>
    <row r="53" spans="1:17" ht="15" customHeight="1" x14ac:dyDescent="0.2">
      <c r="A53" s="45">
        <v>45499</v>
      </c>
      <c r="B53" s="46">
        <v>542.44000000000005</v>
      </c>
      <c r="C53" s="46">
        <v>79.8</v>
      </c>
      <c r="D53" s="46">
        <v>888.39</v>
      </c>
      <c r="E53" s="46">
        <v>151.63</v>
      </c>
      <c r="F53" s="46">
        <v>64.040000000000006</v>
      </c>
      <c r="G53" s="46">
        <v>78.739999999999995</v>
      </c>
      <c r="H53" s="46">
        <v>109.41</v>
      </c>
      <c r="I53" s="46">
        <v>113.06</v>
      </c>
      <c r="J53" s="46">
        <v>122.68</v>
      </c>
      <c r="K53" s="46">
        <v>27.18</v>
      </c>
      <c r="L53" s="46">
        <v>161.94</v>
      </c>
      <c r="M53" s="46">
        <v>77.12</v>
      </c>
      <c r="N53" s="46">
        <v>495.26</v>
      </c>
      <c r="O53" s="46"/>
      <c r="P53" s="46"/>
      <c r="Q53" s="46"/>
    </row>
    <row r="54" spans="1:17" ht="15" customHeight="1" x14ac:dyDescent="0.2">
      <c r="A54" s="45">
        <v>45506</v>
      </c>
      <c r="B54" s="46">
        <v>526.16999999999996</v>
      </c>
      <c r="C54" s="46">
        <v>79.83</v>
      </c>
      <c r="D54" s="46">
        <v>809.35</v>
      </c>
      <c r="E54" s="46">
        <v>143.82</v>
      </c>
      <c r="F54" s="46">
        <v>54.47</v>
      </c>
      <c r="G54" s="46">
        <v>69.62</v>
      </c>
      <c r="H54" s="46">
        <v>92.7</v>
      </c>
      <c r="I54" s="46">
        <v>107.27</v>
      </c>
      <c r="J54" s="46">
        <v>123.98</v>
      </c>
      <c r="K54" s="46">
        <v>24.74</v>
      </c>
      <c r="L54" s="46">
        <v>149.86000000000001</v>
      </c>
      <c r="M54" s="46">
        <v>69.459999999999994</v>
      </c>
      <c r="N54" s="46">
        <v>494.46</v>
      </c>
      <c r="O54" s="46"/>
      <c r="P54" s="46"/>
      <c r="Q54" s="46"/>
    </row>
    <row r="55" spans="1:17" ht="15" customHeight="1" x14ac:dyDescent="0.2">
      <c r="A55" s="45">
        <v>45513</v>
      </c>
      <c r="B55" s="46">
        <v>536.29999999999995</v>
      </c>
      <c r="C55" s="46">
        <v>83.95</v>
      </c>
      <c r="D55" s="46">
        <v>860.55</v>
      </c>
      <c r="E55" s="46">
        <v>148.26</v>
      </c>
      <c r="F55" s="46">
        <v>60.23</v>
      </c>
      <c r="G55" s="46">
        <v>74.680000000000007</v>
      </c>
      <c r="H55" s="46">
        <v>93.08</v>
      </c>
      <c r="I55" s="46">
        <v>104.75</v>
      </c>
      <c r="J55" s="46">
        <v>121.9</v>
      </c>
      <c r="K55" s="46">
        <v>30.01</v>
      </c>
      <c r="L55" s="46">
        <v>167.12</v>
      </c>
      <c r="M55" s="46">
        <v>71.459999999999994</v>
      </c>
      <c r="N55" s="46">
        <v>468.45</v>
      </c>
      <c r="O55" s="46"/>
      <c r="P55" s="46"/>
      <c r="Q55" s="46"/>
    </row>
    <row r="56" spans="1:17" ht="15" customHeight="1" x14ac:dyDescent="0.2">
      <c r="A56" s="45">
        <v>45520</v>
      </c>
      <c r="B56" s="46">
        <v>553.46</v>
      </c>
      <c r="C56" s="46">
        <v>88.47</v>
      </c>
      <c r="D56" s="46">
        <v>918.66</v>
      </c>
      <c r="E56" s="46">
        <v>165.72</v>
      </c>
      <c r="F56" s="46">
        <v>65.64</v>
      </c>
      <c r="G56" s="46">
        <v>81.96</v>
      </c>
      <c r="H56" s="46">
        <v>107.99</v>
      </c>
      <c r="I56" s="46">
        <v>124.58</v>
      </c>
      <c r="J56" s="46">
        <v>122.85</v>
      </c>
      <c r="K56" s="46">
        <v>32.08</v>
      </c>
      <c r="L56" s="46">
        <v>174.54</v>
      </c>
      <c r="M56" s="46">
        <v>79.42</v>
      </c>
      <c r="N56" s="46">
        <v>477.37</v>
      </c>
      <c r="O56" s="46"/>
      <c r="P56" s="46"/>
      <c r="Q56" s="46"/>
    </row>
    <row r="57" spans="1:17" ht="15" customHeight="1" x14ac:dyDescent="0.2">
      <c r="A57" s="45">
        <v>45527</v>
      </c>
      <c r="B57" s="46">
        <v>558.29999999999995</v>
      </c>
      <c r="C57" s="46">
        <v>88.78</v>
      </c>
      <c r="D57" s="46">
        <v>907.26</v>
      </c>
      <c r="E57" s="46">
        <v>166.36</v>
      </c>
      <c r="F57" s="46">
        <v>67.89</v>
      </c>
      <c r="G57" s="46">
        <v>81.78</v>
      </c>
      <c r="H57" s="46">
        <v>102.85</v>
      </c>
      <c r="I57" s="46">
        <v>129.37</v>
      </c>
      <c r="J57" s="46">
        <v>128.86000000000001</v>
      </c>
      <c r="K57" s="46">
        <v>31.78</v>
      </c>
      <c r="L57" s="46">
        <v>171.28</v>
      </c>
      <c r="M57" s="46">
        <v>78.55</v>
      </c>
      <c r="N57" s="46">
        <v>481.24</v>
      </c>
      <c r="O57" s="46"/>
      <c r="P57" s="46"/>
      <c r="Q57" s="46"/>
    </row>
    <row r="58" spans="1:17" ht="15" customHeight="1" x14ac:dyDescent="0.2">
      <c r="A58" s="45">
        <v>45534</v>
      </c>
      <c r="B58" s="46">
        <v>574.41</v>
      </c>
      <c r="C58" s="46">
        <v>88.35</v>
      </c>
      <c r="D58" s="46">
        <v>903.87</v>
      </c>
      <c r="E58" s="46">
        <v>162.82</v>
      </c>
      <c r="F58" s="46">
        <v>69.319999999999993</v>
      </c>
      <c r="G58" s="46">
        <v>81.94</v>
      </c>
      <c r="H58" s="46">
        <v>96.24</v>
      </c>
      <c r="I58" s="46">
        <v>119.37</v>
      </c>
      <c r="J58" s="46">
        <v>127.82</v>
      </c>
      <c r="K58" s="46">
        <v>31.48</v>
      </c>
      <c r="L58" s="46">
        <v>171.7</v>
      </c>
      <c r="M58" s="46">
        <v>83.03</v>
      </c>
      <c r="N58" s="46">
        <v>495.89</v>
      </c>
      <c r="O58" s="46"/>
      <c r="P58" s="46"/>
      <c r="Q58" s="46"/>
    </row>
    <row r="59" spans="1:17" ht="15" customHeight="1" x14ac:dyDescent="0.2">
      <c r="A59" s="45">
        <v>45541</v>
      </c>
      <c r="B59" s="46">
        <v>563.41</v>
      </c>
      <c r="C59" s="46">
        <v>78.58</v>
      </c>
      <c r="D59" s="46">
        <v>752.79</v>
      </c>
      <c r="E59" s="46">
        <v>137</v>
      </c>
      <c r="F59" s="46">
        <v>61.6</v>
      </c>
      <c r="G59" s="46">
        <v>70.28</v>
      </c>
      <c r="H59" s="46">
        <v>86.38</v>
      </c>
      <c r="I59" s="46">
        <v>102.83</v>
      </c>
      <c r="J59" s="46">
        <v>127.23</v>
      </c>
      <c r="K59" s="46">
        <v>30.33</v>
      </c>
      <c r="L59" s="46">
        <v>156.82</v>
      </c>
      <c r="M59" s="46">
        <v>71.77</v>
      </c>
      <c r="N59" s="46">
        <v>468</v>
      </c>
      <c r="O59" s="46"/>
      <c r="P59" s="46"/>
      <c r="Q59" s="46"/>
    </row>
    <row r="60" spans="1:17" ht="15" customHeight="1" x14ac:dyDescent="0.2">
      <c r="A60" s="45">
        <v>45548</v>
      </c>
      <c r="B60" s="46">
        <v>536.87</v>
      </c>
      <c r="C60" s="46">
        <v>89.94</v>
      </c>
      <c r="D60" s="46">
        <v>816.36</v>
      </c>
      <c r="E60" s="46">
        <v>167.69</v>
      </c>
      <c r="F60" s="46">
        <v>64.78</v>
      </c>
      <c r="G60" s="46">
        <v>75.150000000000006</v>
      </c>
      <c r="H60" s="46">
        <v>91.22</v>
      </c>
      <c r="I60" s="46">
        <v>119.1</v>
      </c>
      <c r="J60" s="46">
        <v>129.97999999999999</v>
      </c>
      <c r="K60" s="46">
        <v>35.590000000000003</v>
      </c>
      <c r="L60" s="46">
        <v>172.5</v>
      </c>
      <c r="M60" s="46">
        <v>85.76</v>
      </c>
      <c r="N60" s="46">
        <v>485.37</v>
      </c>
      <c r="O60" s="46"/>
      <c r="P60" s="46"/>
      <c r="Q60" s="46"/>
    </row>
    <row r="61" spans="1:17" ht="15" customHeight="1" x14ac:dyDescent="0.2">
      <c r="A61" s="45">
        <v>45555</v>
      </c>
      <c r="B61" s="46">
        <v>522.29999999999995</v>
      </c>
      <c r="C61" s="46">
        <v>96.12</v>
      </c>
      <c r="D61" s="46">
        <v>795.28</v>
      </c>
      <c r="E61" s="46">
        <v>171.1</v>
      </c>
      <c r="F61" s="46">
        <v>74.959999999999994</v>
      </c>
      <c r="G61" s="46">
        <v>75.89</v>
      </c>
      <c r="H61" s="46">
        <v>90.9</v>
      </c>
      <c r="I61" s="46">
        <v>116</v>
      </c>
      <c r="J61" s="46">
        <v>125.47</v>
      </c>
      <c r="K61" s="46">
        <v>37.200000000000003</v>
      </c>
      <c r="L61" s="46">
        <v>174.08</v>
      </c>
      <c r="M61" s="46">
        <v>94.54</v>
      </c>
      <c r="N61" s="46">
        <v>464.92</v>
      </c>
      <c r="O61" s="46"/>
      <c r="P61" s="46"/>
      <c r="Q61" s="46"/>
    </row>
    <row r="62" spans="1:17" ht="15" customHeight="1" x14ac:dyDescent="0.2">
      <c r="A62" s="45">
        <v>45562</v>
      </c>
      <c r="B62" s="46">
        <v>515.48</v>
      </c>
      <c r="C62" s="46">
        <v>95.07</v>
      </c>
      <c r="D62" s="46">
        <v>841.54</v>
      </c>
      <c r="E62" s="46">
        <v>172.69</v>
      </c>
      <c r="F62" s="46">
        <v>71.47</v>
      </c>
      <c r="G62" s="46">
        <v>78.239999999999995</v>
      </c>
      <c r="H62" s="46">
        <v>107.5</v>
      </c>
      <c r="I62" s="46">
        <v>121.4</v>
      </c>
      <c r="J62" s="46">
        <v>125.59</v>
      </c>
      <c r="K62" s="46">
        <v>36.840000000000003</v>
      </c>
      <c r="L62" s="46">
        <v>177.97</v>
      </c>
      <c r="M62" s="46">
        <v>98.41</v>
      </c>
      <c r="N62" s="46">
        <v>462.88</v>
      </c>
      <c r="O62" s="46"/>
      <c r="P62" s="46"/>
      <c r="Q62" s="46"/>
    </row>
    <row r="63" spans="1:17" ht="15" customHeight="1" x14ac:dyDescent="0.2">
      <c r="A63" s="45">
        <v>45569</v>
      </c>
      <c r="B63" s="46">
        <v>507.22</v>
      </c>
      <c r="C63" s="46">
        <v>98.99</v>
      </c>
      <c r="D63" s="46">
        <v>833</v>
      </c>
      <c r="E63" s="46">
        <v>176.64</v>
      </c>
      <c r="F63" s="46">
        <v>73.06</v>
      </c>
      <c r="G63" s="46">
        <v>78.739999999999995</v>
      </c>
      <c r="H63" s="46">
        <v>102.25</v>
      </c>
      <c r="I63" s="46">
        <v>124.92</v>
      </c>
      <c r="J63" s="46">
        <v>122.42</v>
      </c>
      <c r="K63" s="46">
        <v>40.01</v>
      </c>
      <c r="L63" s="46">
        <v>181.16</v>
      </c>
      <c r="M63" s="46">
        <v>105.2</v>
      </c>
      <c r="N63" s="46">
        <v>455.31</v>
      </c>
      <c r="O63" s="46"/>
      <c r="P63" s="46"/>
      <c r="Q63" s="46"/>
    </row>
    <row r="64" spans="1:17" ht="15" customHeight="1" x14ac:dyDescent="0.2">
      <c r="A64" s="45">
        <v>45576</v>
      </c>
      <c r="B64" s="46">
        <v>495.42</v>
      </c>
      <c r="C64" s="46">
        <v>104.23</v>
      </c>
      <c r="D64" s="46">
        <v>840.69</v>
      </c>
      <c r="E64" s="46">
        <v>181.48</v>
      </c>
      <c r="F64" s="46">
        <v>80.05</v>
      </c>
      <c r="G64" s="46">
        <v>80.37</v>
      </c>
      <c r="H64" s="46">
        <v>106.92</v>
      </c>
      <c r="I64" s="46">
        <v>134.80000000000001</v>
      </c>
      <c r="J64" s="46">
        <v>120.24</v>
      </c>
      <c r="K64" s="46">
        <v>43.51</v>
      </c>
      <c r="L64" s="46">
        <v>190.81</v>
      </c>
      <c r="M64" s="46">
        <v>111.84</v>
      </c>
      <c r="N64" s="46">
        <v>481.71</v>
      </c>
      <c r="O64" s="46"/>
      <c r="P64" s="46"/>
      <c r="Q64" s="46"/>
    </row>
    <row r="65" spans="1:17" ht="15" customHeight="1" x14ac:dyDescent="0.2">
      <c r="A65" s="45">
        <v>45583</v>
      </c>
      <c r="B65" s="46">
        <v>494.9</v>
      </c>
      <c r="C65" s="46">
        <v>100.5</v>
      </c>
      <c r="D65" s="46">
        <v>723.26</v>
      </c>
      <c r="E65" s="46">
        <v>179.89</v>
      </c>
      <c r="F65" s="46">
        <v>77.540000000000006</v>
      </c>
      <c r="G65" s="46">
        <v>67.849999999999994</v>
      </c>
      <c r="H65" s="46">
        <v>111.15</v>
      </c>
      <c r="I65" s="46">
        <v>138</v>
      </c>
      <c r="J65" s="46">
        <v>122.5</v>
      </c>
      <c r="K65" s="46">
        <v>42.97</v>
      </c>
      <c r="L65" s="46">
        <v>200.78</v>
      </c>
      <c r="M65" s="46">
        <v>112.25</v>
      </c>
      <c r="N65" s="46">
        <v>483</v>
      </c>
      <c r="O65" s="46"/>
      <c r="P65" s="46"/>
      <c r="Q65" s="46"/>
    </row>
    <row r="66" spans="1:17" ht="15" customHeight="1" x14ac:dyDescent="0.2">
      <c r="A66" s="45">
        <v>45590</v>
      </c>
      <c r="B66" s="46">
        <v>483.72</v>
      </c>
      <c r="C66" s="46">
        <v>98.52</v>
      </c>
      <c r="D66" s="46">
        <v>711.7</v>
      </c>
      <c r="E66" s="46">
        <v>173</v>
      </c>
      <c r="F66" s="46">
        <v>75.16</v>
      </c>
      <c r="G66" s="46">
        <v>67.31</v>
      </c>
      <c r="H66" s="46">
        <v>107.91</v>
      </c>
      <c r="I66" s="46">
        <v>141.54</v>
      </c>
      <c r="J66" s="46">
        <v>117.54</v>
      </c>
      <c r="K66" s="46">
        <v>44.86</v>
      </c>
      <c r="L66" s="46">
        <v>203.44</v>
      </c>
      <c r="M66" s="46">
        <v>112.17</v>
      </c>
      <c r="N66" s="46">
        <v>477.7</v>
      </c>
      <c r="O66" s="46"/>
      <c r="P66" s="46"/>
      <c r="Q66" s="46"/>
    </row>
    <row r="67" spans="1:17" ht="15" customHeight="1" x14ac:dyDescent="0.2">
      <c r="A67" s="45">
        <v>45597</v>
      </c>
      <c r="B67" s="46">
        <v>482.8</v>
      </c>
      <c r="C67" s="46">
        <v>98.54</v>
      </c>
      <c r="D67" s="46">
        <v>674.73</v>
      </c>
      <c r="E67" s="46">
        <v>168.92</v>
      </c>
      <c r="F67" s="46">
        <v>75.78</v>
      </c>
      <c r="G67" s="46">
        <v>66.94</v>
      </c>
      <c r="H67" s="46">
        <v>99.73</v>
      </c>
      <c r="I67" s="46">
        <v>135.4</v>
      </c>
      <c r="J67" s="46">
        <v>113.4</v>
      </c>
      <c r="K67" s="46">
        <v>41.92</v>
      </c>
      <c r="L67" s="46">
        <v>192.95</v>
      </c>
      <c r="M67" s="46">
        <v>106.9</v>
      </c>
      <c r="N67" s="46">
        <v>471.12</v>
      </c>
      <c r="O67" s="46"/>
      <c r="P67" s="46"/>
      <c r="Q67" s="46"/>
    </row>
    <row r="68" spans="1:17" ht="15" customHeight="1" x14ac:dyDescent="0.2">
      <c r="A68" s="45">
        <v>45604</v>
      </c>
      <c r="B68" s="46">
        <v>494.68</v>
      </c>
      <c r="C68" s="46">
        <v>100.11</v>
      </c>
      <c r="D68" s="46">
        <v>669.47</v>
      </c>
      <c r="E68" s="46">
        <v>183.64</v>
      </c>
      <c r="F68" s="46">
        <v>82.51</v>
      </c>
      <c r="G68" s="46">
        <v>68.739999999999995</v>
      </c>
      <c r="H68" s="46">
        <v>111.9</v>
      </c>
      <c r="I68" s="46">
        <v>147.63</v>
      </c>
      <c r="J68" s="46">
        <v>115.83</v>
      </c>
      <c r="K68" s="46">
        <v>58.39</v>
      </c>
      <c r="L68" s="46">
        <v>201.2</v>
      </c>
      <c r="M68" s="46">
        <v>125.75</v>
      </c>
      <c r="N68" s="46">
        <v>516.74</v>
      </c>
      <c r="O68" s="46"/>
      <c r="P68" s="46"/>
      <c r="Q68" s="46"/>
    </row>
    <row r="69" spans="1:17" ht="15" customHeight="1" x14ac:dyDescent="0.2">
      <c r="A69" s="45">
        <v>45611</v>
      </c>
      <c r="B69" s="46">
        <v>503.37</v>
      </c>
      <c r="C69" s="46">
        <v>93.6</v>
      </c>
      <c r="D69" s="46">
        <v>658.63</v>
      </c>
      <c r="E69" s="46">
        <v>164.84</v>
      </c>
      <c r="F69" s="46">
        <v>84.19</v>
      </c>
      <c r="G69" s="46">
        <v>61.45</v>
      </c>
      <c r="H69" s="46">
        <v>96.34</v>
      </c>
      <c r="I69" s="46">
        <v>141.97999999999999</v>
      </c>
      <c r="J69" s="46">
        <v>113.42</v>
      </c>
      <c r="K69" s="46">
        <v>65.77</v>
      </c>
      <c r="L69" s="46">
        <v>186.01</v>
      </c>
      <c r="M69" s="46">
        <v>120.87</v>
      </c>
      <c r="N69" s="46">
        <v>465.7</v>
      </c>
      <c r="O69" s="46"/>
      <c r="P69" s="46"/>
      <c r="Q69" s="46"/>
    </row>
    <row r="70" spans="1:17" ht="15" customHeight="1" x14ac:dyDescent="0.2">
      <c r="A70" s="45">
        <v>45618</v>
      </c>
      <c r="B70" s="46">
        <v>512.15</v>
      </c>
      <c r="C70" s="46">
        <v>101.62</v>
      </c>
      <c r="D70" s="46">
        <v>672.88</v>
      </c>
      <c r="E70" s="46">
        <v>164.23</v>
      </c>
      <c r="F70" s="46">
        <v>93.07</v>
      </c>
      <c r="G70" s="46">
        <v>63.96</v>
      </c>
      <c r="H70" s="46">
        <v>102.64</v>
      </c>
      <c r="I70" s="46">
        <v>141.94999999999999</v>
      </c>
      <c r="J70" s="46">
        <v>115.8</v>
      </c>
      <c r="K70" s="46">
        <v>64.349999999999994</v>
      </c>
      <c r="L70" s="46">
        <v>190.08</v>
      </c>
      <c r="M70" s="46">
        <v>140.15</v>
      </c>
      <c r="N70" s="46">
        <v>450.97</v>
      </c>
      <c r="O70" s="46"/>
      <c r="P70" s="46"/>
      <c r="Q70" s="46"/>
    </row>
    <row r="71" spans="1:17" ht="15" customHeight="1" x14ac:dyDescent="0.2">
      <c r="A71" s="45">
        <v>45625</v>
      </c>
      <c r="B71" s="46">
        <v>515.92999999999995</v>
      </c>
      <c r="C71" s="46">
        <v>101.46</v>
      </c>
      <c r="D71" s="46">
        <v>686.61</v>
      </c>
      <c r="E71" s="46">
        <v>162.08000000000001</v>
      </c>
      <c r="F71" s="46">
        <v>86.49</v>
      </c>
      <c r="G71" s="46">
        <v>64.7</v>
      </c>
      <c r="H71" s="46">
        <v>97.95</v>
      </c>
      <c r="I71" s="46">
        <v>138.25</v>
      </c>
      <c r="J71" s="46">
        <v>116.78</v>
      </c>
      <c r="K71" s="46">
        <v>67.08</v>
      </c>
      <c r="L71" s="46">
        <v>184.66</v>
      </c>
      <c r="M71" s="46">
        <v>127.6</v>
      </c>
      <c r="N71" s="46">
        <v>468.13</v>
      </c>
      <c r="O71" s="46"/>
      <c r="P71" s="46"/>
      <c r="Q71" s="46"/>
    </row>
    <row r="72" spans="1:17" ht="15" customHeight="1" x14ac:dyDescent="0.2">
      <c r="A72" s="45">
        <v>45632</v>
      </c>
      <c r="B72" s="46">
        <v>552.96</v>
      </c>
      <c r="C72" s="46">
        <v>108.25</v>
      </c>
      <c r="D72" s="46">
        <v>708.98</v>
      </c>
      <c r="E72" s="46">
        <v>179.53</v>
      </c>
      <c r="F72" s="46">
        <v>91.41</v>
      </c>
      <c r="G72" s="46">
        <v>64.83</v>
      </c>
      <c r="H72" s="46">
        <v>101.17</v>
      </c>
      <c r="I72" s="46">
        <v>142.44</v>
      </c>
      <c r="J72" s="46">
        <v>112</v>
      </c>
      <c r="K72" s="46">
        <v>76.34</v>
      </c>
      <c r="L72" s="46">
        <v>203.02</v>
      </c>
      <c r="M72" s="46">
        <v>133.85</v>
      </c>
      <c r="N72" s="46">
        <v>462.1</v>
      </c>
      <c r="O72" s="46"/>
      <c r="P72" s="46"/>
      <c r="Q72" s="46"/>
    </row>
    <row r="73" spans="1:17" ht="15" customHeight="1" x14ac:dyDescent="0.2">
      <c r="A73" s="45">
        <v>45639</v>
      </c>
      <c r="B73" s="46">
        <v>465.69</v>
      </c>
      <c r="C73" s="46">
        <v>112.37</v>
      </c>
      <c r="D73" s="46">
        <v>718.58</v>
      </c>
      <c r="E73" s="46">
        <v>224.8</v>
      </c>
      <c r="F73" s="46">
        <v>92.01</v>
      </c>
      <c r="G73" s="46">
        <v>65.38</v>
      </c>
      <c r="H73" s="46">
        <v>102.5</v>
      </c>
      <c r="I73" s="46">
        <v>134.25</v>
      </c>
      <c r="J73" s="46">
        <v>111.13</v>
      </c>
      <c r="K73" s="46">
        <v>76.069999999999993</v>
      </c>
      <c r="L73" s="46">
        <v>200.99</v>
      </c>
      <c r="M73" s="46">
        <v>125.78</v>
      </c>
      <c r="N73" s="46">
        <v>463.73</v>
      </c>
      <c r="O73" s="46"/>
      <c r="P73" s="46"/>
      <c r="Q73" s="46"/>
    </row>
    <row r="74" spans="1:17" ht="15" customHeight="1" x14ac:dyDescent="0.2">
      <c r="A74" s="45">
        <v>45646</v>
      </c>
      <c r="B74" s="46">
        <v>447.17</v>
      </c>
      <c r="C74" s="46">
        <v>112.81</v>
      </c>
      <c r="D74" s="46">
        <v>705.68</v>
      </c>
      <c r="E74" s="46">
        <v>220.79</v>
      </c>
      <c r="F74" s="46">
        <v>90.57</v>
      </c>
      <c r="G74" s="46">
        <v>62.94</v>
      </c>
      <c r="H74" s="46">
        <v>90.12</v>
      </c>
      <c r="I74" s="46">
        <v>134.69999999999999</v>
      </c>
      <c r="J74" s="46">
        <v>103.32</v>
      </c>
      <c r="K74" s="46">
        <v>80.55</v>
      </c>
      <c r="L74" s="46">
        <v>197.21</v>
      </c>
      <c r="M74" s="46">
        <v>120.04</v>
      </c>
      <c r="N74" s="46">
        <v>397.27</v>
      </c>
      <c r="O74" s="46"/>
      <c r="P74" s="46"/>
      <c r="Q74" s="46"/>
    </row>
    <row r="75" spans="1:17" ht="15" customHeight="1" x14ac:dyDescent="0.2">
      <c r="A75" s="45">
        <v>45653</v>
      </c>
      <c r="B75" s="46">
        <v>446.48</v>
      </c>
      <c r="C75" s="46">
        <v>113.03</v>
      </c>
      <c r="D75" s="46">
        <v>713.59</v>
      </c>
      <c r="E75" s="46">
        <v>241.75</v>
      </c>
      <c r="F75" s="46">
        <v>88.75</v>
      </c>
      <c r="G75" s="46">
        <v>64.48</v>
      </c>
      <c r="H75" s="46">
        <v>88.63</v>
      </c>
      <c r="I75" s="46">
        <v>137.01</v>
      </c>
      <c r="J75" s="46">
        <v>105.24</v>
      </c>
      <c r="K75" s="46">
        <v>79.08</v>
      </c>
      <c r="L75" s="46">
        <v>201.63</v>
      </c>
      <c r="M75" s="46">
        <v>115.11</v>
      </c>
      <c r="N75" s="46">
        <v>408.76</v>
      </c>
      <c r="O75" s="46"/>
      <c r="P75" s="46"/>
      <c r="Q75" s="46"/>
    </row>
    <row r="76" spans="1:17" ht="15" customHeight="1" x14ac:dyDescent="0.2">
      <c r="A76" s="45">
        <v>45660</v>
      </c>
      <c r="B76" s="46">
        <v>430.57</v>
      </c>
      <c r="C76" s="46">
        <v>115.2</v>
      </c>
      <c r="D76" s="46">
        <v>714.36</v>
      </c>
      <c r="E76" s="46">
        <v>232.55</v>
      </c>
      <c r="F76" s="46">
        <v>89.76</v>
      </c>
      <c r="G76" s="46">
        <v>65.7</v>
      </c>
      <c r="H76" s="46">
        <v>89.87</v>
      </c>
      <c r="I76" s="46">
        <v>144.47</v>
      </c>
      <c r="J76" s="46">
        <v>105.63</v>
      </c>
      <c r="K76" s="46">
        <v>79.89</v>
      </c>
      <c r="L76" s="46">
        <v>208.61</v>
      </c>
      <c r="M76" s="46">
        <v>125.67</v>
      </c>
      <c r="N76" s="46">
        <v>407.11</v>
      </c>
      <c r="O76" s="46"/>
      <c r="P76" s="46"/>
      <c r="Q76" s="46"/>
    </row>
    <row r="77" spans="1:17" ht="15" customHeight="1" x14ac:dyDescent="0.2">
      <c r="A77" s="45">
        <v>45667</v>
      </c>
      <c r="B77" s="46">
        <v>405.92</v>
      </c>
      <c r="C77" s="46">
        <v>114.34</v>
      </c>
      <c r="D77" s="46">
        <v>739.01</v>
      </c>
      <c r="E77" s="46">
        <v>224.31</v>
      </c>
      <c r="F77" s="46">
        <v>87.21</v>
      </c>
      <c r="G77" s="46">
        <v>68.31</v>
      </c>
      <c r="H77" s="46">
        <v>99.34</v>
      </c>
      <c r="I77" s="46">
        <v>135.91</v>
      </c>
      <c r="J77" s="46">
        <v>103.59</v>
      </c>
      <c r="K77" s="46">
        <v>67.260000000000005</v>
      </c>
      <c r="L77" s="46">
        <v>208.37</v>
      </c>
      <c r="M77" s="46">
        <v>128.93</v>
      </c>
      <c r="N77" s="46">
        <v>409.56</v>
      </c>
      <c r="O77" s="46"/>
      <c r="P77" s="46"/>
      <c r="Q77" s="46"/>
    </row>
    <row r="78" spans="1:17" ht="15" customHeight="1" x14ac:dyDescent="0.2">
      <c r="A78" s="45">
        <v>45674</v>
      </c>
      <c r="B78" s="46">
        <v>429.99</v>
      </c>
      <c r="C78" s="46">
        <v>119.95</v>
      </c>
      <c r="D78" s="46">
        <v>756.33</v>
      </c>
      <c r="E78" s="46">
        <v>237.44</v>
      </c>
      <c r="F78" s="46">
        <v>89.25</v>
      </c>
      <c r="G78" s="46">
        <v>75.75</v>
      </c>
      <c r="H78" s="46">
        <v>105.75</v>
      </c>
      <c r="I78" s="46">
        <v>137.71</v>
      </c>
      <c r="J78" s="46">
        <v>109.48</v>
      </c>
      <c r="K78" s="46">
        <v>71.77</v>
      </c>
      <c r="L78" s="46">
        <v>211.5</v>
      </c>
      <c r="M78" s="46">
        <v>135.88</v>
      </c>
      <c r="N78" s="46">
        <v>422</v>
      </c>
      <c r="O78" s="46"/>
      <c r="P78" s="46"/>
      <c r="Q78" s="46"/>
    </row>
    <row r="79" spans="1:17" ht="15" customHeight="1" x14ac:dyDescent="0.2">
      <c r="A79" s="45">
        <v>45681</v>
      </c>
      <c r="B79" s="46">
        <v>435.38</v>
      </c>
      <c r="C79" s="46">
        <v>129.16999999999999</v>
      </c>
      <c r="D79" s="46">
        <v>732.25</v>
      </c>
      <c r="E79" s="46">
        <v>244.7</v>
      </c>
      <c r="F79" s="46">
        <v>93.73</v>
      </c>
      <c r="G79" s="46">
        <v>74.98</v>
      </c>
      <c r="H79" s="46">
        <v>103.19</v>
      </c>
      <c r="I79" s="46">
        <v>142.62</v>
      </c>
      <c r="J79" s="46">
        <v>118.93</v>
      </c>
      <c r="K79" s="46">
        <v>78.98</v>
      </c>
      <c r="L79" s="46">
        <v>221.88</v>
      </c>
      <c r="M79" s="46">
        <v>146.32</v>
      </c>
      <c r="N79" s="46">
        <v>439.62</v>
      </c>
      <c r="O79" s="46"/>
      <c r="P79" s="46"/>
      <c r="Q79" s="46"/>
    </row>
    <row r="80" spans="1:17" ht="15" customHeight="1" x14ac:dyDescent="0.2">
      <c r="A80" s="45">
        <v>45688</v>
      </c>
      <c r="B80" s="46">
        <v>437.45</v>
      </c>
      <c r="C80" s="46">
        <v>115.23</v>
      </c>
      <c r="D80" s="46">
        <v>739.31</v>
      </c>
      <c r="E80" s="46">
        <v>221.27</v>
      </c>
      <c r="F80" s="46">
        <v>99.52</v>
      </c>
      <c r="G80" s="46">
        <v>73.819999999999993</v>
      </c>
      <c r="H80" s="46">
        <v>91.24</v>
      </c>
      <c r="I80" s="46">
        <v>120.07</v>
      </c>
      <c r="J80" s="46">
        <v>119.25</v>
      </c>
      <c r="K80" s="46">
        <v>82.49</v>
      </c>
      <c r="L80" s="46">
        <v>209.32</v>
      </c>
      <c r="M80" s="46">
        <v>117.02</v>
      </c>
      <c r="N80" s="46">
        <v>461.68</v>
      </c>
      <c r="O80" s="46"/>
      <c r="P80" s="46"/>
      <c r="Q80" s="46"/>
    </row>
    <row r="81" spans="1:17" ht="15" customHeight="1" x14ac:dyDescent="0.2">
      <c r="A81" s="45">
        <v>45695</v>
      </c>
      <c r="B81" s="46">
        <v>433.07</v>
      </c>
      <c r="C81" s="46">
        <v>118.47</v>
      </c>
      <c r="D81" s="46">
        <v>727.7</v>
      </c>
      <c r="E81" s="46">
        <v>224.87</v>
      </c>
      <c r="F81" s="46">
        <v>105.4</v>
      </c>
      <c r="G81" s="46">
        <v>74.77</v>
      </c>
      <c r="H81" s="46">
        <v>92.3</v>
      </c>
      <c r="I81" s="46">
        <v>129.84</v>
      </c>
      <c r="J81" s="46">
        <v>117.35</v>
      </c>
      <c r="K81" s="46">
        <v>110.85</v>
      </c>
      <c r="L81" s="46">
        <v>206.12</v>
      </c>
      <c r="M81" s="46">
        <v>121.38</v>
      </c>
      <c r="N81" s="46">
        <v>469.32</v>
      </c>
      <c r="O81" s="46"/>
      <c r="P81" s="46"/>
      <c r="Q81" s="46"/>
    </row>
    <row r="82" spans="1:17" ht="15" customHeight="1" x14ac:dyDescent="0.2">
      <c r="A82" s="45">
        <v>45702</v>
      </c>
      <c r="B82" s="46">
        <v>460.16</v>
      </c>
      <c r="C82" s="46">
        <v>106.87</v>
      </c>
      <c r="D82" s="46">
        <v>751.55</v>
      </c>
      <c r="E82" s="46">
        <v>233.04</v>
      </c>
      <c r="F82" s="46">
        <v>112.94</v>
      </c>
      <c r="G82" s="46">
        <v>75.069999999999993</v>
      </c>
      <c r="H82" s="46">
        <v>99.52</v>
      </c>
      <c r="I82" s="46">
        <v>138.85</v>
      </c>
      <c r="J82" s="46">
        <v>120.85</v>
      </c>
      <c r="K82" s="46">
        <v>119.16</v>
      </c>
      <c r="L82" s="46">
        <v>203.9</v>
      </c>
      <c r="M82" s="46">
        <v>108.05</v>
      </c>
      <c r="N82" s="46">
        <v>459</v>
      </c>
      <c r="O82" s="46"/>
      <c r="P82" s="46"/>
      <c r="Q82" s="46"/>
    </row>
    <row r="83" spans="1:17" ht="15" customHeight="1" x14ac:dyDescent="0.2">
      <c r="A83" s="45">
        <v>45709</v>
      </c>
      <c r="B83" s="46">
        <v>444.32</v>
      </c>
      <c r="C83" s="46">
        <v>98.3</v>
      </c>
      <c r="D83" s="46">
        <v>737.21</v>
      </c>
      <c r="E83" s="46">
        <v>218.66</v>
      </c>
      <c r="F83" s="46">
        <v>101.67</v>
      </c>
      <c r="G83" s="46">
        <v>75.430000000000007</v>
      </c>
      <c r="H83" s="46">
        <v>98.84</v>
      </c>
      <c r="I83" s="46">
        <v>134.43</v>
      </c>
      <c r="J83" s="46">
        <v>120.97</v>
      </c>
      <c r="K83" s="46">
        <v>101.35</v>
      </c>
      <c r="L83" s="46">
        <v>198.24</v>
      </c>
      <c r="M83" s="46">
        <v>95.99</v>
      </c>
      <c r="N83" s="46">
        <v>484.24</v>
      </c>
      <c r="O83" s="46"/>
      <c r="P83" s="46"/>
      <c r="Q83" s="46"/>
    </row>
    <row r="84" spans="1:17" ht="15" customHeight="1" x14ac:dyDescent="0.2">
      <c r="A84" s="45">
        <v>45716</v>
      </c>
      <c r="B84" s="46">
        <v>438.56</v>
      </c>
      <c r="C84" s="46">
        <v>93.05</v>
      </c>
      <c r="D84" s="46">
        <v>709.08</v>
      </c>
      <c r="E84" s="46">
        <v>199.43</v>
      </c>
      <c r="F84" s="46">
        <v>97.42</v>
      </c>
      <c r="G84" s="46">
        <v>70.88</v>
      </c>
      <c r="H84" s="46">
        <v>93.63</v>
      </c>
      <c r="I84" s="46">
        <v>124.92</v>
      </c>
      <c r="J84" s="46">
        <v>123.92</v>
      </c>
      <c r="K84" s="46">
        <v>84.92</v>
      </c>
      <c r="L84" s="46">
        <v>180.53</v>
      </c>
      <c r="M84" s="46">
        <v>95.17</v>
      </c>
      <c r="N84" s="46">
        <v>479.79</v>
      </c>
      <c r="O84" s="46"/>
      <c r="P84" s="46"/>
      <c r="Q84" s="46"/>
    </row>
    <row r="85" spans="1:17" ht="15" customHeight="1" x14ac:dyDescent="0.2">
      <c r="A85" s="45">
        <v>45723</v>
      </c>
      <c r="B85" s="46">
        <v>449.4</v>
      </c>
      <c r="C85" s="46">
        <v>83.36</v>
      </c>
      <c r="D85" s="46">
        <v>732.22</v>
      </c>
      <c r="E85" s="46">
        <v>194.96</v>
      </c>
      <c r="F85" s="46">
        <v>83.38</v>
      </c>
      <c r="G85" s="46">
        <v>71.13</v>
      </c>
      <c r="H85" s="46">
        <v>92.96</v>
      </c>
      <c r="I85" s="46">
        <v>112.69</v>
      </c>
      <c r="J85" s="46">
        <v>119.91</v>
      </c>
      <c r="K85" s="46">
        <v>84.91</v>
      </c>
      <c r="L85" s="46">
        <v>177.1</v>
      </c>
      <c r="M85" s="46">
        <v>85.04</v>
      </c>
      <c r="N85" s="46">
        <v>488.29</v>
      </c>
      <c r="O85" s="46"/>
      <c r="P85" s="46"/>
      <c r="Q85" s="46"/>
    </row>
    <row r="86" spans="1:17" ht="15" customHeight="1" x14ac:dyDescent="0.2">
      <c r="A86" s="45">
        <v>45730</v>
      </c>
      <c r="B86" s="46">
        <v>394.74</v>
      </c>
      <c r="C86" s="46">
        <v>83.51</v>
      </c>
      <c r="D86" s="46">
        <v>714</v>
      </c>
      <c r="E86" s="46">
        <v>195.54</v>
      </c>
      <c r="F86" s="46">
        <v>88.43</v>
      </c>
      <c r="G86" s="46">
        <v>71.3</v>
      </c>
      <c r="H86" s="46">
        <v>100.79</v>
      </c>
      <c r="I86" s="46">
        <v>121.67</v>
      </c>
      <c r="J86" s="46">
        <v>111.89</v>
      </c>
      <c r="K86" s="46">
        <v>86.24</v>
      </c>
      <c r="L86" s="46">
        <v>174.09</v>
      </c>
      <c r="M86" s="46">
        <v>87.45</v>
      </c>
      <c r="N86" s="46">
        <v>504.77</v>
      </c>
      <c r="O86" s="46"/>
      <c r="P86" s="46"/>
      <c r="Q86" s="46"/>
    </row>
    <row r="87" spans="1:17" ht="15" customHeight="1" x14ac:dyDescent="0.2">
      <c r="A87" s="45">
        <v>45737</v>
      </c>
      <c r="B87" s="46">
        <v>387.26</v>
      </c>
      <c r="C87" s="46">
        <v>83.13</v>
      </c>
      <c r="D87" s="46">
        <v>716.22</v>
      </c>
      <c r="E87" s="46">
        <v>191.66</v>
      </c>
      <c r="F87" s="46">
        <v>90.56</v>
      </c>
      <c r="G87" s="46">
        <v>70.650000000000006</v>
      </c>
      <c r="H87" s="46">
        <v>94.72</v>
      </c>
      <c r="I87" s="46">
        <v>117.7</v>
      </c>
      <c r="J87" s="46">
        <v>108.42</v>
      </c>
      <c r="K87" s="46">
        <v>90.96</v>
      </c>
      <c r="L87" s="46">
        <v>176.73</v>
      </c>
      <c r="M87" s="46">
        <v>88.63</v>
      </c>
      <c r="N87" s="46">
        <v>503.2</v>
      </c>
      <c r="O87" s="46"/>
      <c r="P87" s="46"/>
      <c r="Q87" s="46"/>
    </row>
    <row r="88" spans="1:17" ht="15" customHeight="1" x14ac:dyDescent="0.2">
      <c r="A88" s="45">
        <v>45744</v>
      </c>
      <c r="B88" s="46">
        <v>385.71</v>
      </c>
      <c r="C88" s="46">
        <v>77.94</v>
      </c>
      <c r="D88" s="46">
        <v>674.58</v>
      </c>
      <c r="E88" s="46">
        <v>169.12</v>
      </c>
      <c r="F88" s="46">
        <v>89.28</v>
      </c>
      <c r="G88" s="46">
        <v>67.36</v>
      </c>
      <c r="H88" s="46">
        <v>88.44</v>
      </c>
      <c r="I88" s="46">
        <v>109.67</v>
      </c>
      <c r="J88" s="46">
        <v>110.45</v>
      </c>
      <c r="K88" s="46">
        <v>85.85</v>
      </c>
      <c r="L88" s="46">
        <v>165.25</v>
      </c>
      <c r="M88" s="46">
        <v>74.25</v>
      </c>
      <c r="N88" s="46">
        <v>492.69</v>
      </c>
      <c r="O88" s="46"/>
      <c r="P88" s="46"/>
      <c r="Q88" s="46"/>
    </row>
    <row r="89" spans="1:17" ht="15" customHeight="1" x14ac:dyDescent="0.2">
      <c r="A89" s="45">
        <v>45751</v>
      </c>
      <c r="B89" s="46">
        <v>349.07</v>
      </c>
      <c r="C89" s="46">
        <v>64.37</v>
      </c>
      <c r="D89" s="46">
        <v>605.54999999999995</v>
      </c>
      <c r="E89" s="46">
        <v>146.29</v>
      </c>
      <c r="F89" s="46">
        <v>80.41</v>
      </c>
      <c r="G89" s="46">
        <v>57.65</v>
      </c>
      <c r="H89" s="46">
        <v>64.72</v>
      </c>
      <c r="I89" s="46">
        <v>94.31</v>
      </c>
      <c r="J89" s="46">
        <v>98.23</v>
      </c>
      <c r="K89" s="46">
        <v>74.010000000000005</v>
      </c>
      <c r="L89" s="46">
        <v>146.80000000000001</v>
      </c>
      <c r="M89" s="46">
        <v>59.41</v>
      </c>
      <c r="N89" s="46">
        <v>474.62</v>
      </c>
      <c r="O89" s="46"/>
      <c r="P89" s="46"/>
      <c r="Q89" s="46"/>
    </row>
    <row r="90" spans="1:17" ht="15" customHeight="1" x14ac:dyDescent="0.2">
      <c r="A90" s="45">
        <v>45758</v>
      </c>
      <c r="B90" s="46">
        <v>352.47</v>
      </c>
      <c r="C90" s="46">
        <v>72.67</v>
      </c>
      <c r="D90" s="46">
        <v>668.81</v>
      </c>
      <c r="E90" s="46">
        <v>181.94</v>
      </c>
      <c r="F90" s="46">
        <v>94.48</v>
      </c>
      <c r="G90" s="46">
        <v>67.02</v>
      </c>
      <c r="H90" s="46">
        <v>69.55</v>
      </c>
      <c r="I90" s="46">
        <v>110.93</v>
      </c>
      <c r="J90" s="46">
        <v>96.23</v>
      </c>
      <c r="K90" s="46">
        <v>88.55</v>
      </c>
      <c r="L90" s="46">
        <v>157.08000000000001</v>
      </c>
      <c r="M90" s="46">
        <v>69.61</v>
      </c>
      <c r="N90" s="46">
        <v>484.22</v>
      </c>
      <c r="O90" s="46"/>
      <c r="P90" s="46"/>
      <c r="Q90" s="46"/>
    </row>
    <row r="91" spans="1:17" ht="15" customHeight="1" x14ac:dyDescent="0.2">
      <c r="A91" s="45">
        <v>45764</v>
      </c>
      <c r="B91" s="46">
        <v>348.8</v>
      </c>
      <c r="C91" s="46">
        <v>71.2</v>
      </c>
      <c r="D91" s="46">
        <v>640.16</v>
      </c>
      <c r="E91" s="46">
        <v>170.99</v>
      </c>
      <c r="F91" s="46">
        <v>93.91</v>
      </c>
      <c r="G91" s="46">
        <v>63.44</v>
      </c>
      <c r="H91" s="46">
        <v>68.8</v>
      </c>
      <c r="I91" s="46">
        <v>101.49</v>
      </c>
      <c r="J91" s="46">
        <v>102.1</v>
      </c>
      <c r="K91" s="46">
        <v>93.78</v>
      </c>
      <c r="L91" s="46">
        <v>151.74</v>
      </c>
      <c r="M91" s="46">
        <v>73.209999999999994</v>
      </c>
      <c r="N91" s="46">
        <v>489.1</v>
      </c>
      <c r="O91" s="46"/>
      <c r="P91" s="46"/>
      <c r="Q91" s="46"/>
    </row>
    <row r="92" spans="1:17" ht="15" customHeight="1" x14ac:dyDescent="0.2">
      <c r="A92" s="45">
        <v>45772</v>
      </c>
      <c r="B92" s="46">
        <v>367.72</v>
      </c>
      <c r="C92" s="46">
        <v>77.91</v>
      </c>
      <c r="D92" s="46">
        <v>677.27</v>
      </c>
      <c r="E92" s="46">
        <v>192.31</v>
      </c>
      <c r="F92" s="46">
        <v>106.22</v>
      </c>
      <c r="G92" s="46">
        <v>69.459999999999994</v>
      </c>
      <c r="H92" s="46">
        <v>79.78</v>
      </c>
      <c r="I92" s="46">
        <v>111.01</v>
      </c>
      <c r="J92" s="46">
        <v>102.24</v>
      </c>
      <c r="K92" s="46">
        <v>112.78</v>
      </c>
      <c r="L92" s="46">
        <v>165.1</v>
      </c>
      <c r="M92" s="46">
        <v>86.95</v>
      </c>
      <c r="N92" s="46">
        <v>493.84</v>
      </c>
      <c r="O92" s="46"/>
      <c r="P92" s="46"/>
      <c r="Q92" s="46"/>
    </row>
    <row r="93" spans="1:17" ht="15" customHeight="1" x14ac:dyDescent="0.2">
      <c r="A93" s="45">
        <v>45779</v>
      </c>
      <c r="B93" s="46">
        <v>380.87</v>
      </c>
      <c r="C93" s="46">
        <v>91.02</v>
      </c>
      <c r="D93" s="46">
        <v>690.33</v>
      </c>
      <c r="E93" s="46">
        <v>203.64</v>
      </c>
      <c r="F93" s="46">
        <v>110.15</v>
      </c>
      <c r="G93" s="46">
        <v>69.819999999999993</v>
      </c>
      <c r="H93" s="46">
        <v>80.72</v>
      </c>
      <c r="I93" s="46">
        <v>114.5</v>
      </c>
      <c r="J93" s="46">
        <v>105.41</v>
      </c>
      <c r="K93" s="46">
        <v>124.28</v>
      </c>
      <c r="L93" s="46">
        <v>179.28</v>
      </c>
      <c r="M93" s="46">
        <v>95</v>
      </c>
      <c r="N93" s="46">
        <v>501.15</v>
      </c>
      <c r="O93" s="46"/>
      <c r="P93" s="46"/>
      <c r="Q93" s="46"/>
    </row>
    <row r="94" spans="1:17" ht="15" customHeight="1" x14ac:dyDescent="0.2">
      <c r="A94" s="45">
        <v>45786</v>
      </c>
      <c r="B94" s="46">
        <v>383.28</v>
      </c>
      <c r="C94" s="46">
        <v>86.52</v>
      </c>
      <c r="D94" s="46">
        <v>706.21</v>
      </c>
      <c r="E94" s="46">
        <v>208.2</v>
      </c>
      <c r="F94" s="46">
        <v>102.64</v>
      </c>
      <c r="G94" s="46">
        <v>70.12</v>
      </c>
      <c r="H94" s="46">
        <v>85.86</v>
      </c>
      <c r="I94" s="46">
        <v>116.65</v>
      </c>
      <c r="J94" s="46">
        <v>106.91</v>
      </c>
      <c r="K94" s="46">
        <v>117.3</v>
      </c>
      <c r="L94" s="46">
        <v>176.52</v>
      </c>
      <c r="M94" s="46">
        <v>94.06</v>
      </c>
      <c r="N94" s="46">
        <v>424.99</v>
      </c>
      <c r="O94" s="46"/>
      <c r="P94" s="46"/>
      <c r="Q94" s="46"/>
    </row>
    <row r="95" spans="1:17" ht="15" customHeight="1" x14ac:dyDescent="0.2">
      <c r="A95" s="45">
        <v>45793</v>
      </c>
      <c r="B95" s="46">
        <v>417.13</v>
      </c>
      <c r="C95" s="46">
        <v>96.42</v>
      </c>
      <c r="D95" s="46">
        <v>748.1</v>
      </c>
      <c r="E95" s="46">
        <v>228.61</v>
      </c>
      <c r="F95" s="46">
        <v>109.82</v>
      </c>
      <c r="G95" s="46">
        <v>79.12</v>
      </c>
      <c r="H95" s="46">
        <v>98</v>
      </c>
      <c r="I95" s="46">
        <v>135.4</v>
      </c>
      <c r="J95" s="46">
        <v>110.55</v>
      </c>
      <c r="K95" s="46">
        <v>129.52000000000001</v>
      </c>
      <c r="L95" s="46">
        <v>194.22</v>
      </c>
      <c r="M95" s="46">
        <v>106.04</v>
      </c>
      <c r="N95" s="46">
        <v>438.65</v>
      </c>
      <c r="O95" s="46"/>
      <c r="P95" s="46"/>
      <c r="Q95" s="46"/>
    </row>
    <row r="96" spans="1:17" ht="15" customHeight="1" x14ac:dyDescent="0.2">
      <c r="A96" s="45">
        <v>45800</v>
      </c>
      <c r="B96" s="46">
        <v>407.69</v>
      </c>
      <c r="C96" s="46">
        <v>91.2</v>
      </c>
      <c r="D96" s="46">
        <v>732.49</v>
      </c>
      <c r="E96" s="46">
        <v>228.72</v>
      </c>
      <c r="F96" s="46">
        <v>113.9</v>
      </c>
      <c r="G96" s="46">
        <v>75.72</v>
      </c>
      <c r="H96" s="46">
        <v>93.37</v>
      </c>
      <c r="I96" s="46">
        <v>131.29</v>
      </c>
      <c r="J96" s="46">
        <v>104.04</v>
      </c>
      <c r="K96" s="46">
        <v>123.31</v>
      </c>
      <c r="L96" s="46">
        <v>191.98</v>
      </c>
      <c r="M96" s="46">
        <v>104.14</v>
      </c>
      <c r="N96" s="46">
        <v>436</v>
      </c>
      <c r="O96" s="46"/>
      <c r="P96" s="46"/>
      <c r="Q96" s="46"/>
    </row>
    <row r="97" spans="1:17" ht="15" customHeight="1" x14ac:dyDescent="0.2">
      <c r="A97" s="45">
        <v>45807</v>
      </c>
      <c r="B97" s="46">
        <v>415.09</v>
      </c>
      <c r="C97" s="46">
        <v>86.64</v>
      </c>
      <c r="D97" s="46">
        <v>736.77</v>
      </c>
      <c r="E97" s="46">
        <v>242.07</v>
      </c>
      <c r="F97" s="46">
        <v>117.84</v>
      </c>
      <c r="G97" s="46">
        <v>75.69</v>
      </c>
      <c r="H97" s="46">
        <v>94.46</v>
      </c>
      <c r="I97" s="46">
        <v>135.13</v>
      </c>
      <c r="J97" s="46">
        <v>108.6</v>
      </c>
      <c r="K97" s="46">
        <v>131.78</v>
      </c>
      <c r="L97" s="46">
        <v>193.32</v>
      </c>
      <c r="M97" s="46">
        <v>107.93</v>
      </c>
      <c r="N97" s="46">
        <v>442.05</v>
      </c>
      <c r="O97" s="46"/>
      <c r="P97" s="46"/>
      <c r="Q97" s="46"/>
    </row>
    <row r="98" spans="1:17" ht="15" customHeight="1" x14ac:dyDescent="0.2">
      <c r="A98" s="45">
        <v>45814</v>
      </c>
      <c r="B98" s="46">
        <v>416.92</v>
      </c>
      <c r="C98" s="46">
        <v>97.25</v>
      </c>
      <c r="D98" s="46">
        <v>753.02</v>
      </c>
      <c r="E98" s="46">
        <v>246.93</v>
      </c>
      <c r="F98" s="46">
        <v>117.1</v>
      </c>
      <c r="G98" s="46">
        <v>80.8</v>
      </c>
      <c r="H98" s="46">
        <v>108.56</v>
      </c>
      <c r="I98" s="46">
        <v>141.72</v>
      </c>
      <c r="J98" s="46">
        <v>108.79</v>
      </c>
      <c r="K98" s="46">
        <v>127.72</v>
      </c>
      <c r="L98" s="46">
        <v>205.18</v>
      </c>
      <c r="M98" s="46">
        <v>115.36</v>
      </c>
      <c r="N98" s="46">
        <v>450.5</v>
      </c>
      <c r="O98" s="46"/>
      <c r="P98" s="46"/>
      <c r="Q98" s="46"/>
    </row>
    <row r="99" spans="1:17" ht="15" customHeight="1" x14ac:dyDescent="0.2">
      <c r="A99" s="45">
        <v>45821</v>
      </c>
      <c r="B99" s="46">
        <v>391.68</v>
      </c>
      <c r="C99" s="46">
        <v>92.35</v>
      </c>
      <c r="D99" s="46">
        <v>761</v>
      </c>
      <c r="E99" s="46">
        <v>248.7</v>
      </c>
      <c r="F99" s="46">
        <v>120.16</v>
      </c>
      <c r="G99" s="46">
        <v>86.77</v>
      </c>
      <c r="H99" s="46">
        <v>115.6</v>
      </c>
      <c r="I99" s="46">
        <v>141.97</v>
      </c>
      <c r="J99" s="46">
        <v>107.28</v>
      </c>
      <c r="K99" s="46">
        <v>137.4</v>
      </c>
      <c r="L99" s="46">
        <v>211.1</v>
      </c>
      <c r="M99" s="46">
        <v>110.97</v>
      </c>
      <c r="N99" s="46">
        <v>455.45</v>
      </c>
      <c r="O99" s="46"/>
      <c r="P99" s="46"/>
      <c r="Q99" s="46"/>
    </row>
    <row r="100" spans="1:17" ht="15" customHeight="1" x14ac:dyDescent="0.2">
      <c r="A100" s="45">
        <v>45828</v>
      </c>
      <c r="B100" s="46">
        <v>376.92</v>
      </c>
      <c r="C100" s="46">
        <v>86.25</v>
      </c>
      <c r="D100" s="46">
        <v>756.53</v>
      </c>
      <c r="E100" s="46">
        <v>249.99</v>
      </c>
      <c r="F100" s="46">
        <v>119.08</v>
      </c>
      <c r="G100" s="46">
        <v>85</v>
      </c>
      <c r="H100" s="46">
        <v>123.6</v>
      </c>
      <c r="I100" s="46">
        <v>143.85</v>
      </c>
      <c r="J100" s="46">
        <v>105.69</v>
      </c>
      <c r="K100" s="46">
        <v>137.30000000000001</v>
      </c>
      <c r="L100" s="46">
        <v>209.51</v>
      </c>
      <c r="M100" s="46">
        <v>118.54</v>
      </c>
      <c r="N100" s="46">
        <v>440.87</v>
      </c>
      <c r="O100" s="46"/>
      <c r="P100" s="46"/>
      <c r="Q100" s="46"/>
    </row>
    <row r="101" spans="1:17" ht="15" customHeight="1" x14ac:dyDescent="0.2">
      <c r="A101" s="45">
        <v>45835</v>
      </c>
      <c r="B101" s="46">
        <v>385.83</v>
      </c>
      <c r="C101" s="46">
        <v>99.39</v>
      </c>
      <c r="D101" s="46">
        <v>795.95</v>
      </c>
      <c r="E101" s="46">
        <v>269.35000000000002</v>
      </c>
      <c r="F101" s="46">
        <v>124.83</v>
      </c>
      <c r="G101" s="46">
        <v>88.99</v>
      </c>
      <c r="H101" s="46">
        <v>124.76</v>
      </c>
      <c r="I101" s="46">
        <v>157.75</v>
      </c>
      <c r="J101" s="46">
        <v>105.62</v>
      </c>
      <c r="K101" s="46">
        <v>130.74</v>
      </c>
      <c r="L101" s="46">
        <v>228.57</v>
      </c>
      <c r="M101" s="46">
        <v>127.16</v>
      </c>
      <c r="N101" s="46">
        <v>441.3</v>
      </c>
      <c r="O101" s="46"/>
      <c r="P101" s="46"/>
      <c r="Q101" s="46"/>
    </row>
    <row r="102" spans="1:17" ht="15" customHeight="1" x14ac:dyDescent="0.2">
      <c r="A102" s="45">
        <v>45841</v>
      </c>
      <c r="B102" s="46">
        <v>379.31</v>
      </c>
      <c r="C102" s="46">
        <v>102.52</v>
      </c>
      <c r="D102" s="46">
        <v>794.5</v>
      </c>
      <c r="E102" s="46">
        <v>275.18</v>
      </c>
      <c r="F102" s="46">
        <v>128.53</v>
      </c>
      <c r="G102" s="46">
        <v>92.46</v>
      </c>
      <c r="H102" s="46">
        <v>122.29</v>
      </c>
      <c r="I102" s="46">
        <v>159.34</v>
      </c>
      <c r="J102" s="46">
        <v>108.02</v>
      </c>
      <c r="K102" s="46">
        <v>134.36000000000001</v>
      </c>
      <c r="L102" s="46">
        <v>234.8</v>
      </c>
      <c r="M102" s="46">
        <v>127.84</v>
      </c>
      <c r="N102" s="46">
        <v>459.62</v>
      </c>
      <c r="O102" s="46"/>
      <c r="P102" s="46"/>
      <c r="Q102" s="46"/>
    </row>
    <row r="103" spans="1:17" ht="15" customHeight="1" x14ac:dyDescent="0.2">
      <c r="A103" s="45">
        <v>45849</v>
      </c>
      <c r="B103" s="46">
        <v>363.35</v>
      </c>
      <c r="C103" s="46">
        <v>108.57</v>
      </c>
      <c r="D103" s="46">
        <v>801.93</v>
      </c>
      <c r="E103" s="46">
        <v>274.38</v>
      </c>
      <c r="F103" s="46">
        <v>119.61</v>
      </c>
      <c r="G103" s="46">
        <v>92.46</v>
      </c>
      <c r="H103" s="46">
        <v>124.53</v>
      </c>
      <c r="I103" s="46">
        <v>164.92</v>
      </c>
      <c r="J103" s="46">
        <v>109.17</v>
      </c>
      <c r="K103" s="46">
        <v>142.1</v>
      </c>
      <c r="L103" s="46">
        <v>230.4</v>
      </c>
      <c r="M103" s="46">
        <v>123.3</v>
      </c>
      <c r="N103" s="46">
        <v>468.85</v>
      </c>
      <c r="O103" s="46"/>
      <c r="P103" s="46"/>
      <c r="Q103" s="46"/>
    </row>
    <row r="104" spans="1:17" ht="15" customHeight="1" x14ac:dyDescent="0.2">
      <c r="A104" s="45">
        <v>45856</v>
      </c>
      <c r="B104" s="46">
        <v>365.79</v>
      </c>
      <c r="C104" s="46">
        <v>111.78</v>
      </c>
      <c r="D104" s="46">
        <v>734.58</v>
      </c>
      <c r="E104" s="46">
        <v>283.33999999999997</v>
      </c>
      <c r="F104" s="46">
        <v>118.99</v>
      </c>
      <c r="G104" s="46">
        <v>93.11</v>
      </c>
      <c r="H104" s="46">
        <v>114.39</v>
      </c>
      <c r="I104" s="46">
        <v>172.41</v>
      </c>
      <c r="J104" s="46">
        <v>106.78</v>
      </c>
      <c r="K104" s="46">
        <v>153.52000000000001</v>
      </c>
      <c r="L104" s="46">
        <v>240.4</v>
      </c>
      <c r="M104" s="46">
        <v>129.06</v>
      </c>
      <c r="N104" s="46">
        <v>459.81</v>
      </c>
      <c r="O104" s="46"/>
      <c r="P104" s="46"/>
      <c r="Q104" s="46"/>
    </row>
    <row r="105" spans="1:17" ht="15" customHeight="1" x14ac:dyDescent="0.2">
      <c r="A105" s="45">
        <v>45863</v>
      </c>
      <c r="B105" s="46">
        <v>370.74</v>
      </c>
      <c r="C105" s="46">
        <v>114.28</v>
      </c>
      <c r="D105" s="46">
        <v>711.25</v>
      </c>
      <c r="E105" s="46">
        <v>290.18</v>
      </c>
      <c r="F105" s="46">
        <v>116.98</v>
      </c>
      <c r="G105" s="46">
        <v>90.21</v>
      </c>
      <c r="H105" s="46">
        <v>111.26</v>
      </c>
      <c r="I105" s="46">
        <v>173.5</v>
      </c>
      <c r="J105" s="46">
        <v>110.29</v>
      </c>
      <c r="K105" s="46">
        <v>158.80000000000001</v>
      </c>
      <c r="L105" s="46">
        <v>245.6</v>
      </c>
      <c r="M105" s="46">
        <v>137.47</v>
      </c>
      <c r="N105" s="46">
        <v>469.65</v>
      </c>
      <c r="O105" s="46"/>
      <c r="P105" s="46"/>
      <c r="Q105" s="46"/>
    </row>
    <row r="106" spans="1:17" ht="15" customHeight="1" x14ac:dyDescent="0.2">
      <c r="A106" s="45">
        <v>45870</v>
      </c>
      <c r="B106" s="46">
        <v>347.8</v>
      </c>
      <c r="C106" s="46">
        <v>117.57</v>
      </c>
      <c r="D106" s="46">
        <v>689.82</v>
      </c>
      <c r="E106" s="46">
        <v>288.64</v>
      </c>
      <c r="F106" s="46">
        <v>111.67</v>
      </c>
      <c r="G106" s="46">
        <v>88.66</v>
      </c>
      <c r="H106" s="46">
        <v>104.88</v>
      </c>
      <c r="I106" s="46">
        <v>173.72</v>
      </c>
      <c r="J106" s="46">
        <v>104.91</v>
      </c>
      <c r="K106" s="46">
        <v>154.27000000000001</v>
      </c>
      <c r="L106" s="46">
        <v>235.21</v>
      </c>
      <c r="M106" s="46">
        <v>141.59</v>
      </c>
      <c r="N106" s="46">
        <v>462.13</v>
      </c>
      <c r="O106" s="46"/>
      <c r="P106" s="46"/>
      <c r="Q106" s="46"/>
    </row>
    <row r="107" spans="1:17" ht="15" customHeight="1" x14ac:dyDescent="0.2">
      <c r="A107" s="45">
        <v>45877</v>
      </c>
      <c r="B107" s="46">
        <v>341.05</v>
      </c>
      <c r="C107" s="46">
        <v>139.18</v>
      </c>
      <c r="D107" s="46">
        <v>722.32</v>
      </c>
      <c r="E107" s="46">
        <v>304.97000000000003</v>
      </c>
      <c r="F107" s="46">
        <v>106.12</v>
      </c>
      <c r="G107" s="46">
        <v>91.48</v>
      </c>
      <c r="H107" s="46">
        <v>118.89</v>
      </c>
      <c r="I107" s="46">
        <v>182.7</v>
      </c>
      <c r="J107" s="46">
        <v>105.68</v>
      </c>
      <c r="K107" s="46">
        <v>186.96</v>
      </c>
      <c r="L107" s="46">
        <v>241.83</v>
      </c>
      <c r="M107" s="46">
        <v>139.93</v>
      </c>
      <c r="N107" s="46">
        <v>366.54</v>
      </c>
      <c r="O107" s="46"/>
      <c r="P107" s="46"/>
      <c r="Q107" s="46"/>
    </row>
    <row r="108" spans="1:17" ht="15" customHeight="1" x14ac:dyDescent="0.2">
      <c r="A108" s="45">
        <v>45884</v>
      </c>
      <c r="B108" s="46">
        <v>354.85</v>
      </c>
      <c r="C108" s="46">
        <v>137.30000000000001</v>
      </c>
      <c r="D108" s="46">
        <v>742.16</v>
      </c>
      <c r="E108" s="46">
        <v>306.33999999999997</v>
      </c>
      <c r="F108" s="46">
        <v>106.98</v>
      </c>
      <c r="G108" s="46">
        <v>87.49</v>
      </c>
      <c r="H108" s="46">
        <v>120.87</v>
      </c>
      <c r="I108" s="46">
        <v>180.45</v>
      </c>
      <c r="J108" s="46">
        <v>106.59</v>
      </c>
      <c r="K108" s="46">
        <v>177.17</v>
      </c>
      <c r="L108" s="46">
        <v>238.88</v>
      </c>
      <c r="M108" s="46">
        <v>133.07</v>
      </c>
      <c r="N108" s="46">
        <v>392.79</v>
      </c>
      <c r="O108" s="46"/>
      <c r="P108" s="46"/>
      <c r="Q108" s="46"/>
    </row>
    <row r="109" spans="1:17" ht="15" customHeight="1" x14ac:dyDescent="0.2">
      <c r="A109" s="45">
        <v>45891</v>
      </c>
      <c r="B109" s="46">
        <v>362.09</v>
      </c>
      <c r="C109" s="46">
        <v>133.25</v>
      </c>
      <c r="D109" s="46">
        <v>754.89</v>
      </c>
      <c r="E109" s="46">
        <v>294</v>
      </c>
      <c r="F109" s="46">
        <v>105.14</v>
      </c>
      <c r="G109" s="46">
        <v>87.03</v>
      </c>
      <c r="H109" s="46">
        <v>117.68</v>
      </c>
      <c r="I109" s="46">
        <v>177.99</v>
      </c>
      <c r="J109" s="46">
        <v>112.28</v>
      </c>
      <c r="K109" s="46">
        <v>158.74</v>
      </c>
      <c r="L109" s="46">
        <v>232.99</v>
      </c>
      <c r="M109" s="46">
        <v>125.97</v>
      </c>
      <c r="N109" s="46">
        <v>395.12</v>
      </c>
      <c r="O109" s="46"/>
      <c r="P109" s="46"/>
      <c r="Q109" s="46"/>
    </row>
    <row r="110" spans="1:17" ht="15" customHeight="1" x14ac:dyDescent="0.2">
      <c r="A110" s="45">
        <v>45898</v>
      </c>
      <c r="B110" s="46">
        <v>356.7</v>
      </c>
      <c r="C110" s="46">
        <v>136.55000000000001</v>
      </c>
      <c r="D110" s="46">
        <v>742.62</v>
      </c>
      <c r="E110" s="46">
        <v>297.39</v>
      </c>
      <c r="F110" s="46">
        <v>105.93</v>
      </c>
      <c r="G110" s="46">
        <v>87.2</v>
      </c>
      <c r="H110" s="46">
        <v>119.01</v>
      </c>
      <c r="I110" s="46">
        <v>174.18</v>
      </c>
      <c r="J110" s="46">
        <v>113.78</v>
      </c>
      <c r="K110" s="46">
        <v>156.71</v>
      </c>
      <c r="L110" s="46">
        <v>230.87</v>
      </c>
      <c r="M110" s="46">
        <v>127.55</v>
      </c>
      <c r="N110" s="46">
        <v>391.02</v>
      </c>
      <c r="O110" s="46"/>
      <c r="P110" s="46"/>
      <c r="Q110" s="46"/>
    </row>
    <row r="111" spans="1:17" ht="15" customHeight="1" x14ac:dyDescent="0.2">
      <c r="A111" s="45">
        <v>45905</v>
      </c>
      <c r="B111" s="46">
        <v>348.97</v>
      </c>
      <c r="C111" s="46">
        <v>142.85</v>
      </c>
      <c r="D111" s="46">
        <v>781.7</v>
      </c>
      <c r="E111" s="46">
        <v>334.89</v>
      </c>
      <c r="F111" s="46">
        <v>104.41</v>
      </c>
      <c r="G111" s="46">
        <v>90.51</v>
      </c>
      <c r="H111" s="46">
        <v>131.37</v>
      </c>
      <c r="I111" s="46">
        <v>167.02</v>
      </c>
      <c r="J111" s="46">
        <v>113.65</v>
      </c>
      <c r="K111" s="46">
        <v>153.11000000000001</v>
      </c>
      <c r="L111" s="46">
        <v>243.41</v>
      </c>
      <c r="M111" s="46">
        <v>124</v>
      </c>
      <c r="N111" s="46">
        <v>396.12</v>
      </c>
      <c r="O111" s="46"/>
      <c r="P111" s="46"/>
      <c r="Q111" s="46"/>
    </row>
    <row r="112" spans="1:17" ht="15" customHeight="1" x14ac:dyDescent="0.2">
      <c r="A112" s="45">
        <v>45912</v>
      </c>
      <c r="B112" s="46">
        <v>349.36</v>
      </c>
      <c r="C112" s="46">
        <v>139.38999999999999</v>
      </c>
      <c r="D112" s="46">
        <v>813.87</v>
      </c>
      <c r="E112" s="46">
        <v>359.87</v>
      </c>
      <c r="F112" s="46">
        <v>109.03</v>
      </c>
      <c r="G112" s="46">
        <v>96.4</v>
      </c>
      <c r="H112" s="46">
        <v>157.22999999999999</v>
      </c>
      <c r="I112" s="46">
        <v>177.82</v>
      </c>
      <c r="J112" s="46">
        <v>115.35</v>
      </c>
      <c r="K112" s="46">
        <v>171.43</v>
      </c>
      <c r="L112" s="46">
        <v>259.33</v>
      </c>
      <c r="M112" s="46">
        <v>134.84</v>
      </c>
      <c r="N112" s="46">
        <v>394.53</v>
      </c>
      <c r="O112" s="46"/>
      <c r="P112" s="46"/>
      <c r="Q112" s="46"/>
    </row>
    <row r="113" spans="1:17" ht="15" customHeight="1" x14ac:dyDescent="0.2">
      <c r="A113" s="45">
        <v>45919</v>
      </c>
      <c r="B113" s="46">
        <v>365.9</v>
      </c>
      <c r="C113" s="46">
        <v>149.61000000000001</v>
      </c>
      <c r="D113" s="46">
        <v>932.15</v>
      </c>
      <c r="E113" s="46">
        <v>344.94</v>
      </c>
      <c r="F113" s="46">
        <v>125.64</v>
      </c>
      <c r="G113" s="46">
        <v>104.48</v>
      </c>
      <c r="H113" s="46">
        <v>162.72999999999999</v>
      </c>
      <c r="I113" s="46">
        <v>176.67</v>
      </c>
      <c r="J113" s="46">
        <v>113.51</v>
      </c>
      <c r="K113" s="46">
        <v>182.39</v>
      </c>
      <c r="L113" s="46">
        <v>264.87</v>
      </c>
      <c r="M113" s="46">
        <v>143.6</v>
      </c>
      <c r="N113" s="46">
        <v>383.12</v>
      </c>
      <c r="O113" s="46"/>
      <c r="P113" s="46"/>
      <c r="Q113" s="46"/>
    </row>
    <row r="114" spans="1:17" ht="15" customHeight="1" x14ac:dyDescent="0.2">
      <c r="A114" s="45">
        <v>45926</v>
      </c>
      <c r="B114" s="46">
        <v>360.37</v>
      </c>
      <c r="C114" s="46">
        <v>142.5</v>
      </c>
      <c r="D114" s="46">
        <v>951.52</v>
      </c>
      <c r="E114" s="46">
        <v>334.53</v>
      </c>
      <c r="F114" s="46">
        <v>120.36</v>
      </c>
      <c r="G114" s="46">
        <v>106.43</v>
      </c>
      <c r="H114" s="46">
        <v>157.27000000000001</v>
      </c>
      <c r="I114" s="46">
        <v>178.19</v>
      </c>
      <c r="J114" s="46">
        <v>114.19</v>
      </c>
      <c r="K114" s="46">
        <v>177.57</v>
      </c>
      <c r="L114" s="46">
        <v>273.36</v>
      </c>
      <c r="M114" s="46">
        <v>138.62</v>
      </c>
      <c r="N114" s="46">
        <v>385.74</v>
      </c>
      <c r="O114" s="46"/>
      <c r="P114" s="46"/>
      <c r="Q114" s="46"/>
    </row>
    <row r="115" spans="1:17" ht="15" customHeight="1" x14ac:dyDescent="0.2">
      <c r="A115" s="45">
        <v>45933</v>
      </c>
      <c r="B115" s="46">
        <v>346.74</v>
      </c>
      <c r="C115" s="46">
        <v>145.5</v>
      </c>
      <c r="D115" s="46">
        <v>1032.22</v>
      </c>
      <c r="E115" s="46">
        <v>338.37</v>
      </c>
      <c r="F115" s="46">
        <v>122.47</v>
      </c>
      <c r="G115" s="46">
        <v>110.16</v>
      </c>
      <c r="H115" s="46">
        <v>187.83</v>
      </c>
      <c r="I115" s="46">
        <v>187.62</v>
      </c>
      <c r="J115" s="46">
        <v>117.06</v>
      </c>
      <c r="K115" s="46">
        <v>173.07</v>
      </c>
      <c r="L115" s="46">
        <v>292.19</v>
      </c>
      <c r="M115" s="46">
        <v>160.19999999999999</v>
      </c>
      <c r="N115" s="46">
        <v>403.3</v>
      </c>
      <c r="O115" s="46"/>
      <c r="P115" s="46"/>
      <c r="Q115" s="46"/>
    </row>
    <row r="116" spans="1:17" ht="15" customHeight="1" x14ac:dyDescent="0.2">
      <c r="A116" s="45">
        <v>45940</v>
      </c>
      <c r="B116" s="46">
        <v>337.51</v>
      </c>
      <c r="C116" s="46">
        <v>154.1</v>
      </c>
      <c r="D116" s="46">
        <v>936.19</v>
      </c>
      <c r="E116" s="46">
        <v>324.63</v>
      </c>
      <c r="F116" s="46">
        <v>123.42</v>
      </c>
      <c r="G116" s="46">
        <v>98.28</v>
      </c>
      <c r="H116" s="46">
        <v>181.6</v>
      </c>
      <c r="I116" s="46">
        <v>183.16</v>
      </c>
      <c r="J116" s="46">
        <v>111.23</v>
      </c>
      <c r="K116" s="46">
        <v>175.44</v>
      </c>
      <c r="L116" s="46">
        <v>280.66000000000003</v>
      </c>
      <c r="M116" s="46">
        <v>169.01</v>
      </c>
      <c r="N116" s="46">
        <v>407.79</v>
      </c>
      <c r="O116" s="46"/>
      <c r="P116" s="46"/>
      <c r="Q116" s="46"/>
    </row>
    <row r="117" spans="1:17" ht="15" customHeight="1" x14ac:dyDescent="0.2">
      <c r="A117" s="45">
        <v>45947</v>
      </c>
      <c r="B117" s="46">
        <v>333.26</v>
      </c>
      <c r="C117" s="46">
        <v>143.1</v>
      </c>
      <c r="D117" s="46">
        <v>1029.27</v>
      </c>
      <c r="E117" s="46">
        <v>349.33</v>
      </c>
      <c r="F117" s="46">
        <v>121.16</v>
      </c>
      <c r="G117" s="46">
        <v>110.67</v>
      </c>
      <c r="H117" s="46">
        <v>202.38</v>
      </c>
      <c r="I117" s="46">
        <v>183.22</v>
      </c>
      <c r="J117" s="46">
        <v>124.08</v>
      </c>
      <c r="K117" s="46">
        <v>178.15</v>
      </c>
      <c r="L117" s="46">
        <v>295.08</v>
      </c>
      <c r="M117" s="46">
        <v>174</v>
      </c>
      <c r="N117" s="46">
        <v>416.81</v>
      </c>
      <c r="O117" s="46"/>
      <c r="P117" s="46"/>
      <c r="Q117" s="46"/>
    </row>
    <row r="118" spans="1:17" ht="15" customHeight="1" x14ac:dyDescent="0.2">
      <c r="A118" s="45">
        <v>45954</v>
      </c>
      <c r="B118" s="46">
        <v>353.52</v>
      </c>
      <c r="C118" s="46">
        <v>153.82</v>
      </c>
      <c r="D118" s="46">
        <v>1033.0999999999999</v>
      </c>
      <c r="E118" s="46">
        <v>354.13</v>
      </c>
      <c r="F118" s="46">
        <v>131.83000000000001</v>
      </c>
      <c r="G118" s="46">
        <v>118.28</v>
      </c>
      <c r="H118" s="46">
        <v>219.02</v>
      </c>
      <c r="I118" s="46">
        <v>186.26</v>
      </c>
      <c r="J118" s="46">
        <v>126.43</v>
      </c>
      <c r="K118" s="46">
        <v>184.63</v>
      </c>
      <c r="L118" s="46">
        <v>294.95999999999998</v>
      </c>
      <c r="M118" s="46">
        <v>186.06</v>
      </c>
      <c r="N118" s="46">
        <v>421.39</v>
      </c>
      <c r="O118" s="46"/>
      <c r="P118" s="46"/>
      <c r="Q118" s="46"/>
    </row>
    <row r="119" spans="1:17" ht="15" customHeight="1" x14ac:dyDescent="0.2">
      <c r="A119" s="45">
        <v>45961</v>
      </c>
      <c r="B119" s="46">
        <v>340.31</v>
      </c>
      <c r="C119" s="46">
        <v>157.69</v>
      </c>
      <c r="D119" s="46">
        <v>1059.23</v>
      </c>
      <c r="E119" s="46">
        <v>369.63</v>
      </c>
      <c r="F119" s="46">
        <v>135.75</v>
      </c>
      <c r="G119" s="46">
        <v>120.87</v>
      </c>
      <c r="H119" s="46">
        <v>223.77</v>
      </c>
      <c r="I119" s="46">
        <v>202.49</v>
      </c>
      <c r="J119" s="46">
        <v>124.09</v>
      </c>
      <c r="K119" s="46">
        <v>200.47</v>
      </c>
      <c r="L119" s="46">
        <v>300.43</v>
      </c>
      <c r="M119" s="46">
        <v>192.86</v>
      </c>
      <c r="N119" s="46">
        <v>425.57</v>
      </c>
      <c r="O119" s="46"/>
      <c r="P119" s="46"/>
      <c r="Q119" s="46"/>
    </row>
    <row r="120" spans="1:17" ht="15" customHeight="1" x14ac:dyDescent="0.2">
      <c r="A120" s="45">
        <v>45968</v>
      </c>
      <c r="B120" s="46">
        <v>326.95</v>
      </c>
      <c r="C120" s="46">
        <v>134.65</v>
      </c>
      <c r="D120" s="46">
        <v>1016.96</v>
      </c>
      <c r="E120" s="46">
        <v>349.43</v>
      </c>
      <c r="F120" s="46">
        <v>134.94999999999999</v>
      </c>
      <c r="G120" s="46">
        <v>119.34</v>
      </c>
      <c r="H120" s="46">
        <v>237.92</v>
      </c>
      <c r="I120" s="46">
        <v>188.15</v>
      </c>
      <c r="J120" s="46">
        <v>125.6</v>
      </c>
      <c r="K120" s="46">
        <v>177.93</v>
      </c>
      <c r="L120" s="46">
        <v>286.5</v>
      </c>
      <c r="M120" s="46">
        <v>179.8</v>
      </c>
      <c r="N120" s="46">
        <v>409.47</v>
      </c>
      <c r="O120" s="46"/>
      <c r="P120" s="46"/>
      <c r="Q120" s="46"/>
    </row>
    <row r="121" spans="1:17" ht="15" customHeight="1" x14ac:dyDescent="0.2">
      <c r="A121" s="45">
        <v>45975</v>
      </c>
      <c r="B121" s="46">
        <v>331.11</v>
      </c>
      <c r="C121" s="46">
        <v>131.37</v>
      </c>
      <c r="D121" s="46">
        <v>1006.98</v>
      </c>
      <c r="E121" s="46">
        <v>342.46</v>
      </c>
      <c r="F121" s="46">
        <v>134.38999999999999</v>
      </c>
      <c r="G121" s="46">
        <v>113.43</v>
      </c>
      <c r="H121" s="46">
        <v>246.83</v>
      </c>
      <c r="I121" s="46">
        <v>190.17</v>
      </c>
      <c r="J121" s="46">
        <v>122.83</v>
      </c>
      <c r="K121" s="46">
        <v>174.01</v>
      </c>
      <c r="L121" s="46">
        <v>284.82</v>
      </c>
      <c r="M121" s="46">
        <v>170.97</v>
      </c>
      <c r="N121" s="46">
        <v>437.15</v>
      </c>
      <c r="O121" s="46"/>
      <c r="P121" s="46"/>
      <c r="Q121" s="46"/>
    </row>
    <row r="122" spans="1:17" ht="15" customHeight="1" x14ac:dyDescent="0.2">
      <c r="A122" s="45">
        <v>45982</v>
      </c>
      <c r="B122" s="46">
        <v>324.19</v>
      </c>
      <c r="C122" s="46">
        <v>117.43</v>
      </c>
      <c r="D122" s="46">
        <v>966.57</v>
      </c>
      <c r="E122" s="46">
        <v>340.2</v>
      </c>
      <c r="F122" s="46">
        <v>122.67</v>
      </c>
      <c r="G122" s="46">
        <v>109.71</v>
      </c>
      <c r="H122" s="46">
        <v>207.37</v>
      </c>
      <c r="I122" s="46">
        <v>178.88</v>
      </c>
      <c r="J122" s="46">
        <v>125.79</v>
      </c>
      <c r="K122" s="46">
        <v>154.85</v>
      </c>
      <c r="L122" s="46">
        <v>275.06</v>
      </c>
      <c r="M122" s="46">
        <v>159.83000000000001</v>
      </c>
      <c r="N122" s="46">
        <v>426.76</v>
      </c>
      <c r="O122" s="46"/>
      <c r="P122" s="46"/>
      <c r="Q122" s="46"/>
    </row>
    <row r="123" spans="1:17" ht="15" customHeight="1" x14ac:dyDescent="0.2">
      <c r="A123" s="45">
        <v>45989</v>
      </c>
      <c r="B123" s="46">
        <v>320.13</v>
      </c>
      <c r="C123" s="46">
        <v>130.68</v>
      </c>
      <c r="D123" s="46">
        <v>1060</v>
      </c>
      <c r="E123" s="46">
        <v>402.96</v>
      </c>
      <c r="F123" s="46">
        <v>127.29</v>
      </c>
      <c r="G123" s="46">
        <v>117.55</v>
      </c>
      <c r="H123" s="46">
        <v>236.48</v>
      </c>
      <c r="I123" s="46">
        <v>177</v>
      </c>
      <c r="J123" s="46">
        <v>128.53</v>
      </c>
      <c r="K123" s="46">
        <v>168.45</v>
      </c>
      <c r="L123" s="46">
        <v>291.51</v>
      </c>
      <c r="M123" s="46">
        <v>179.73</v>
      </c>
      <c r="N123" s="46">
        <v>433.61</v>
      </c>
      <c r="O123" s="46"/>
      <c r="P123" s="46"/>
      <c r="Q123" s="46"/>
    </row>
    <row r="124" spans="1:17" ht="15" customHeight="1" x14ac:dyDescent="0.2">
      <c r="A124" s="45">
        <v>45996</v>
      </c>
      <c r="B124" s="46">
        <v>346.26</v>
      </c>
      <c r="C124" s="46">
        <v>128.59</v>
      </c>
      <c r="D124" s="46">
        <v>1099.47</v>
      </c>
      <c r="E124" s="46">
        <v>390.24</v>
      </c>
      <c r="F124" s="46">
        <v>128.01</v>
      </c>
      <c r="G124" s="46">
        <v>121.45</v>
      </c>
      <c r="H124" s="46">
        <v>237.22</v>
      </c>
      <c r="I124" s="46">
        <v>182.41</v>
      </c>
      <c r="J124" s="46">
        <v>127.98</v>
      </c>
      <c r="K124" s="46">
        <v>181.76</v>
      </c>
      <c r="L124" s="46">
        <v>294.72000000000003</v>
      </c>
      <c r="M124" s="46">
        <v>189.02</v>
      </c>
      <c r="N124" s="46">
        <v>455.48</v>
      </c>
      <c r="O124" s="46"/>
      <c r="P124" s="46"/>
      <c r="Q124" s="46"/>
    </row>
    <row r="125" spans="1:17" ht="15" customHeight="1" x14ac:dyDescent="0.2">
      <c r="A125" s="45">
        <v>46003</v>
      </c>
      <c r="B125" s="46">
        <v>356.43</v>
      </c>
      <c r="C125" s="46">
        <v>124.76</v>
      </c>
      <c r="D125" s="46">
        <v>1080.8499999999999</v>
      </c>
      <c r="E125" s="46">
        <v>359.93</v>
      </c>
      <c r="F125" s="46">
        <v>126.2</v>
      </c>
      <c r="G125" s="46">
        <v>119.39</v>
      </c>
      <c r="H125" s="46">
        <v>241.14</v>
      </c>
      <c r="I125" s="46">
        <v>175.02</v>
      </c>
      <c r="J125" s="46">
        <v>130.18</v>
      </c>
      <c r="K125" s="46">
        <v>183.57</v>
      </c>
      <c r="L125" s="46">
        <v>292.04000000000002</v>
      </c>
      <c r="M125" s="46">
        <v>161.27000000000001</v>
      </c>
      <c r="N125" s="46">
        <v>452.04</v>
      </c>
      <c r="O125" s="46"/>
      <c r="P125" s="46"/>
      <c r="Q125" s="46"/>
    </row>
    <row r="126" spans="1:17" ht="15" customHeight="1" x14ac:dyDescent="0.2">
      <c r="A126" s="45">
        <v>46010</v>
      </c>
      <c r="B126" s="46">
        <v>355.86</v>
      </c>
      <c r="C126" s="46">
        <v>131.12</v>
      </c>
      <c r="D126" s="46">
        <v>1056.02</v>
      </c>
      <c r="E126" s="46">
        <v>340.36</v>
      </c>
      <c r="F126" s="46">
        <v>120.32</v>
      </c>
      <c r="G126" s="46">
        <v>124.57</v>
      </c>
      <c r="H126" s="46">
        <v>265.92</v>
      </c>
      <c r="I126" s="46">
        <v>180.99</v>
      </c>
      <c r="J126" s="46">
        <v>127.23</v>
      </c>
      <c r="K126" s="46">
        <v>193.38</v>
      </c>
      <c r="L126" s="46">
        <v>288.95</v>
      </c>
      <c r="M126" s="46">
        <v>159.82</v>
      </c>
      <c r="N126" s="46">
        <v>456.2</v>
      </c>
      <c r="O126" s="46"/>
      <c r="P126" s="46"/>
      <c r="Q126" s="46"/>
    </row>
    <row r="127" spans="1:17" ht="15" customHeight="1" x14ac:dyDescent="0.2">
      <c r="A127" s="45">
        <v>46017</v>
      </c>
      <c r="B127" s="46">
        <v>353.8</v>
      </c>
      <c r="C127" s="46">
        <v>131.84</v>
      </c>
      <c r="D127" s="46">
        <v>1072.75</v>
      </c>
      <c r="E127" s="46">
        <v>352.13</v>
      </c>
      <c r="F127" s="46">
        <v>120.3</v>
      </c>
      <c r="G127" s="46">
        <v>127.96</v>
      </c>
      <c r="H127" s="46">
        <v>284.79000000000002</v>
      </c>
      <c r="I127" s="46">
        <v>190.53</v>
      </c>
      <c r="J127" s="46">
        <v>128.71</v>
      </c>
      <c r="K127" s="46">
        <v>188.71</v>
      </c>
      <c r="L127" s="46">
        <v>302.83999999999997</v>
      </c>
      <c r="M127" s="46">
        <v>167.58</v>
      </c>
      <c r="N127" s="46">
        <v>462.9</v>
      </c>
      <c r="O127" s="46"/>
      <c r="P127" s="46"/>
      <c r="Q127" s="46"/>
    </row>
    <row r="128" spans="1:17" ht="15" customHeight="1" x14ac:dyDescent="0.2">
      <c r="A128" s="45">
        <v>46024</v>
      </c>
      <c r="B128" s="46">
        <v>333.3</v>
      </c>
      <c r="C128" s="46">
        <v>133.6</v>
      </c>
      <c r="D128" s="46">
        <v>1163.78</v>
      </c>
      <c r="E128" s="46">
        <v>347.62</v>
      </c>
      <c r="F128" s="46">
        <v>113.4</v>
      </c>
      <c r="G128" s="46">
        <v>127.45</v>
      </c>
      <c r="H128" s="46">
        <v>315.42</v>
      </c>
      <c r="I128" s="46">
        <v>188.85</v>
      </c>
      <c r="J128" s="46">
        <v>129.05000000000001</v>
      </c>
      <c r="K128" s="46">
        <v>167.86</v>
      </c>
      <c r="L128" s="46">
        <v>319.61</v>
      </c>
      <c r="M128" s="46">
        <v>175.61</v>
      </c>
      <c r="N128" s="46">
        <v>452.13</v>
      </c>
      <c r="O128" s="46"/>
      <c r="P128" s="46"/>
      <c r="Q128" s="46"/>
    </row>
    <row r="129" spans="1:17" ht="15" customHeight="1" x14ac:dyDescent="0.2">
      <c r="A129" s="45">
        <v>46031</v>
      </c>
      <c r="B129" s="46">
        <v>333.95</v>
      </c>
      <c r="C129" s="46">
        <v>122.89</v>
      </c>
      <c r="D129" s="46">
        <v>1273.8800000000001</v>
      </c>
      <c r="E129" s="46">
        <v>344.97</v>
      </c>
      <c r="F129" s="46">
        <v>117.65</v>
      </c>
      <c r="G129" s="46">
        <v>140</v>
      </c>
      <c r="H129" s="46">
        <v>345.09</v>
      </c>
      <c r="I129" s="46">
        <v>184.86</v>
      </c>
      <c r="J129" s="46">
        <v>129.4</v>
      </c>
      <c r="K129" s="46">
        <v>177.49</v>
      </c>
      <c r="L129" s="46">
        <v>323.63</v>
      </c>
      <c r="M129" s="46">
        <v>163.58000000000001</v>
      </c>
      <c r="N129" s="46">
        <v>463.86</v>
      </c>
      <c r="O129" s="46"/>
      <c r="P129" s="46"/>
      <c r="Q129" s="46"/>
    </row>
    <row r="130" spans="1:17" ht="15" customHeight="1" x14ac:dyDescent="0.2">
      <c r="A130" s="45">
        <v>46038</v>
      </c>
      <c r="B130" s="46">
        <v>296.12</v>
      </c>
      <c r="C130" s="46">
        <v>129.83000000000001</v>
      </c>
      <c r="D130" s="46">
        <v>1358.57</v>
      </c>
      <c r="E130" s="46">
        <v>351.71</v>
      </c>
      <c r="F130" s="46">
        <v>113.47</v>
      </c>
      <c r="G130" s="46">
        <v>156.78</v>
      </c>
      <c r="H130" s="46">
        <v>362.75</v>
      </c>
      <c r="I130" s="46">
        <v>186.23</v>
      </c>
      <c r="J130" s="46">
        <v>133.21</v>
      </c>
      <c r="K130" s="46">
        <v>170.96</v>
      </c>
      <c r="L130" s="46">
        <v>342.4</v>
      </c>
      <c r="M130" s="46">
        <v>176.93</v>
      </c>
      <c r="N130" s="46">
        <v>441.36</v>
      </c>
      <c r="O130" s="46"/>
      <c r="P130" s="46"/>
      <c r="Q130" s="46"/>
    </row>
    <row r="131" spans="1:17" ht="15" customHeight="1" x14ac:dyDescent="0.2">
      <c r="A131" s="45">
        <v>46045</v>
      </c>
      <c r="B131" s="46">
        <v>301.07</v>
      </c>
      <c r="C131" s="46">
        <v>136.34</v>
      </c>
      <c r="D131" s="46">
        <v>1389.04</v>
      </c>
      <c r="E131" s="46">
        <v>320.05</v>
      </c>
      <c r="F131" s="46">
        <v>113.12</v>
      </c>
      <c r="G131" s="46">
        <v>151.28</v>
      </c>
      <c r="H131" s="46">
        <v>399.65</v>
      </c>
      <c r="I131" s="46">
        <v>187.67</v>
      </c>
      <c r="J131" s="46">
        <v>127.15</v>
      </c>
      <c r="K131" s="46">
        <v>169.6</v>
      </c>
      <c r="L131" s="46">
        <v>334.87</v>
      </c>
      <c r="M131" s="46">
        <v>182.49</v>
      </c>
      <c r="N131" s="46">
        <v>468.41</v>
      </c>
      <c r="O131" s="46"/>
      <c r="P131" s="46"/>
      <c r="Q131" s="46"/>
    </row>
    <row r="132" spans="1:17" ht="15" customHeight="1" x14ac:dyDescent="0.2">
      <c r="A132" s="45">
        <v>46052</v>
      </c>
      <c r="B132" s="46">
        <v>293.25</v>
      </c>
      <c r="C132" s="46">
        <v>141.74</v>
      </c>
      <c r="D132" s="46">
        <v>1423</v>
      </c>
      <c r="E132" s="46">
        <v>331.3</v>
      </c>
      <c r="F132" s="46">
        <v>110.35</v>
      </c>
      <c r="G132" s="46">
        <v>142.79</v>
      </c>
      <c r="H132" s="46">
        <v>414.88</v>
      </c>
      <c r="I132" s="46">
        <v>191.13</v>
      </c>
      <c r="J132" s="46">
        <v>130.56</v>
      </c>
      <c r="K132" s="46">
        <v>146.59</v>
      </c>
      <c r="L132" s="46">
        <v>330.56</v>
      </c>
      <c r="M132" s="46">
        <v>186.18</v>
      </c>
      <c r="N132" s="46">
        <v>469.9</v>
      </c>
      <c r="O132" s="46"/>
      <c r="P132" s="46"/>
      <c r="Q132" s="46"/>
    </row>
    <row r="133" spans="1:17" ht="15" customHeight="1" x14ac:dyDescent="0.2">
      <c r="A133" s="45">
        <v>46059</v>
      </c>
      <c r="B133" s="46">
        <v>268.38</v>
      </c>
      <c r="C133" s="46">
        <v>137.49</v>
      </c>
      <c r="D133" s="46">
        <v>1413.01</v>
      </c>
      <c r="E133" s="46">
        <v>332.92</v>
      </c>
      <c r="F133" s="46">
        <v>98.88</v>
      </c>
      <c r="G133" s="46">
        <v>144.29</v>
      </c>
      <c r="H133" s="46">
        <v>394.69</v>
      </c>
      <c r="I133" s="46">
        <v>185.41</v>
      </c>
      <c r="J133" s="46">
        <v>136.94999999999999</v>
      </c>
      <c r="K133" s="46">
        <v>135.9</v>
      </c>
      <c r="L133" s="46">
        <v>348.85</v>
      </c>
      <c r="M133" s="46">
        <v>195.58</v>
      </c>
      <c r="N133" s="46">
        <v>477.92</v>
      </c>
      <c r="O133" s="46"/>
      <c r="P133" s="46"/>
      <c r="Q133" s="46"/>
    </row>
    <row r="134" spans="1:17" ht="15" customHeight="1" x14ac:dyDescent="0.2">
      <c r="A134" s="45">
        <v>46066</v>
      </c>
      <c r="B134" s="46">
        <v>263.97000000000003</v>
      </c>
      <c r="C134" s="46">
        <v>141.59</v>
      </c>
      <c r="D134" s="46">
        <v>1406.61</v>
      </c>
      <c r="E134" s="46">
        <v>325.17</v>
      </c>
      <c r="F134" s="46">
        <v>107.41</v>
      </c>
      <c r="G134" s="46">
        <v>146.41</v>
      </c>
      <c r="H134" s="46">
        <v>411.66</v>
      </c>
      <c r="I134" s="46">
        <v>182.81</v>
      </c>
      <c r="J134" s="46">
        <v>138.97</v>
      </c>
      <c r="K134" s="46">
        <v>131.41</v>
      </c>
      <c r="L134" s="46">
        <v>366.36</v>
      </c>
      <c r="M134" s="46">
        <v>234.53</v>
      </c>
      <c r="N134" s="46">
        <v>491.47</v>
      </c>
      <c r="O134" s="46"/>
      <c r="P134" s="46"/>
      <c r="Q134" s="46"/>
    </row>
    <row r="135" spans="1:17" ht="15" customHeight="1" x14ac:dyDescent="0.2">
      <c r="A135" s="45">
        <v>46073</v>
      </c>
      <c r="B135" s="46">
        <v>258.61</v>
      </c>
      <c r="C135" s="46">
        <v>132.79</v>
      </c>
      <c r="D135" s="46">
        <v>1469.59</v>
      </c>
      <c r="E135" s="46">
        <v>332.65</v>
      </c>
      <c r="F135" s="46">
        <v>97.15</v>
      </c>
      <c r="G135" s="46">
        <v>149.6</v>
      </c>
      <c r="H135" s="46">
        <v>428.17</v>
      </c>
      <c r="I135" s="46">
        <v>189.82</v>
      </c>
      <c r="J135" s="46">
        <v>141.51</v>
      </c>
      <c r="K135" s="46">
        <v>135.24</v>
      </c>
      <c r="L135" s="46">
        <v>370.54</v>
      </c>
      <c r="M135" s="46">
        <v>243.75</v>
      </c>
      <c r="N135" s="46">
        <v>476.9</v>
      </c>
      <c r="O135" s="46"/>
      <c r="P135" s="46"/>
      <c r="Q135" s="46"/>
    </row>
    <row r="136" spans="1:17" ht="15" customHeight="1" x14ac:dyDescent="0.2">
      <c r="A136" s="45">
        <v>46080</v>
      </c>
      <c r="B136" s="46">
        <v>262.41000000000003</v>
      </c>
      <c r="C136" s="46">
        <v>133.5</v>
      </c>
      <c r="D136" s="46">
        <v>1450.56</v>
      </c>
      <c r="E136" s="46">
        <v>319.55</v>
      </c>
      <c r="F136" s="46">
        <v>93</v>
      </c>
      <c r="G136" s="46">
        <v>152.46</v>
      </c>
      <c r="H136" s="46">
        <v>412.37</v>
      </c>
      <c r="I136" s="46">
        <v>177.19</v>
      </c>
      <c r="J136" s="46">
        <v>142.57</v>
      </c>
      <c r="K136" s="46">
        <v>137.19</v>
      </c>
      <c r="L136" s="46">
        <v>374.58</v>
      </c>
      <c r="M136" s="46">
        <v>254.89</v>
      </c>
      <c r="N136" s="46">
        <v>496.83</v>
      </c>
      <c r="O136" s="46"/>
      <c r="P136" s="46"/>
      <c r="Q136" s="46"/>
    </row>
    <row r="137" spans="1:17" ht="15" customHeight="1" x14ac:dyDescent="0.2">
      <c r="A137" s="45">
        <v>46087</v>
      </c>
      <c r="B137" s="46">
        <v>283.62</v>
      </c>
      <c r="C137" s="46">
        <v>132.88999999999999</v>
      </c>
      <c r="D137" s="46">
        <v>1292.8</v>
      </c>
      <c r="E137" s="46">
        <v>330.48</v>
      </c>
      <c r="F137" s="46">
        <v>107.25</v>
      </c>
      <c r="G137" s="46">
        <v>134.46</v>
      </c>
      <c r="H137" s="46">
        <v>370.3</v>
      </c>
      <c r="I137" s="46">
        <v>177.82</v>
      </c>
      <c r="J137" s="46">
        <v>134.54</v>
      </c>
      <c r="K137" s="46">
        <v>157.16</v>
      </c>
      <c r="L137" s="46">
        <v>338.89</v>
      </c>
      <c r="M137" s="46">
        <v>241.78</v>
      </c>
      <c r="N137" s="46">
        <v>456.69</v>
      </c>
      <c r="O137" s="46"/>
      <c r="P137" s="46"/>
      <c r="Q137" s="46"/>
    </row>
    <row r="138" spans="1:17" ht="15" customHeight="1" x14ac:dyDescent="0.2">
      <c r="A138" s="45">
        <v>46094</v>
      </c>
      <c r="B138" s="46">
        <v>249.32</v>
      </c>
      <c r="C138" s="46">
        <v>133.57</v>
      </c>
      <c r="D138" s="46">
        <v>1345.69</v>
      </c>
      <c r="E138" s="46">
        <v>322.16000000000003</v>
      </c>
      <c r="F138" s="46">
        <v>110.45</v>
      </c>
      <c r="G138" s="46">
        <v>141.86000000000001</v>
      </c>
      <c r="H138" s="46">
        <v>426.13</v>
      </c>
      <c r="I138" s="46">
        <v>180.25</v>
      </c>
      <c r="J138" s="46">
        <v>131.75</v>
      </c>
      <c r="K138" s="46">
        <v>150.94999999999999</v>
      </c>
      <c r="L138" s="46">
        <v>338.31</v>
      </c>
      <c r="M138" s="46">
        <v>258.88</v>
      </c>
      <c r="N138" s="46">
        <v>469.34</v>
      </c>
      <c r="O138" s="46"/>
      <c r="P138" s="46"/>
      <c r="Q138" s="46"/>
    </row>
    <row r="139" spans="1:17" ht="15" customHeight="1" x14ac:dyDescent="0.2">
      <c r="A139" s="45">
        <v>46101</v>
      </c>
      <c r="B139" s="46">
        <v>248.15</v>
      </c>
      <c r="C139" s="46">
        <v>131.22</v>
      </c>
      <c r="D139" s="46">
        <v>1317.25</v>
      </c>
      <c r="E139" s="46">
        <v>310.51</v>
      </c>
      <c r="F139" s="46">
        <v>102.25</v>
      </c>
      <c r="G139" s="46">
        <v>149.87</v>
      </c>
      <c r="H139" s="46">
        <v>422.9</v>
      </c>
      <c r="I139" s="46">
        <v>172.7</v>
      </c>
      <c r="J139" s="46">
        <v>128.01</v>
      </c>
      <c r="K139" s="46">
        <v>150.68</v>
      </c>
      <c r="L139" s="46">
        <v>329.24</v>
      </c>
      <c r="M139" s="46">
        <v>255.88</v>
      </c>
      <c r="N139" s="46">
        <v>454</v>
      </c>
      <c r="O139" s="46"/>
      <c r="P139" s="46"/>
      <c r="Q139" s="46"/>
    </row>
    <row r="140" spans="1:17" ht="15" customHeight="1" x14ac:dyDescent="0.2">
      <c r="A140" s="45">
        <v>46108</v>
      </c>
      <c r="B140" s="46">
        <v>234.84</v>
      </c>
      <c r="C140" s="46">
        <v>120.77</v>
      </c>
      <c r="D140" s="46">
        <v>1302.47</v>
      </c>
      <c r="E140" s="46">
        <v>300.68</v>
      </c>
      <c r="F140" s="46">
        <v>92.4</v>
      </c>
      <c r="G140" s="46">
        <v>144.32</v>
      </c>
      <c r="H140" s="46">
        <v>357.22</v>
      </c>
      <c r="I140" s="46">
        <v>167.52</v>
      </c>
      <c r="J140" s="46">
        <v>128.9</v>
      </c>
      <c r="K140" s="46">
        <v>143.06</v>
      </c>
      <c r="L140" s="46">
        <v>326.74</v>
      </c>
      <c r="M140" s="46">
        <v>251.07</v>
      </c>
      <c r="N140" s="46">
        <v>433.07</v>
      </c>
      <c r="O140" s="46"/>
      <c r="P140" s="46"/>
      <c r="Q140" s="46"/>
    </row>
    <row r="141" spans="1:17" ht="15" customHeight="1" x14ac:dyDescent="0.2">
      <c r="A141" s="45">
        <v>46114</v>
      </c>
      <c r="B141" s="46">
        <v>242.92</v>
      </c>
      <c r="C141" s="46">
        <v>126.68</v>
      </c>
      <c r="D141" s="46">
        <v>1317.23</v>
      </c>
      <c r="E141" s="46">
        <v>314.55</v>
      </c>
      <c r="F141" s="46">
        <v>99.78</v>
      </c>
      <c r="G141" s="46">
        <v>151.68</v>
      </c>
      <c r="H141" s="46">
        <v>366.24</v>
      </c>
      <c r="I141" s="46">
        <v>177.39</v>
      </c>
      <c r="J141" s="46">
        <v>133.77000000000001</v>
      </c>
      <c r="K141" s="46">
        <v>148.46</v>
      </c>
      <c r="L141" s="46">
        <v>339.04</v>
      </c>
      <c r="M141" s="46">
        <v>261.29000000000002</v>
      </c>
      <c r="N141" s="46">
        <v>438.71</v>
      </c>
      <c r="O141" s="46"/>
      <c r="P141" s="46"/>
      <c r="Q141" s="46"/>
    </row>
    <row r="142" spans="1:17" ht="15" customHeight="1" x14ac:dyDescent="0.2">
      <c r="A142" s="45">
        <v>46122</v>
      </c>
      <c r="B142" s="46">
        <v>225.35</v>
      </c>
      <c r="C142" s="46">
        <v>147.35</v>
      </c>
      <c r="D142" s="46">
        <v>1478.28</v>
      </c>
      <c r="E142" s="46">
        <v>371.55</v>
      </c>
      <c r="F142" s="46">
        <v>94.76</v>
      </c>
      <c r="G142" s="46">
        <v>173.73</v>
      </c>
      <c r="H142" s="46">
        <v>420.59</v>
      </c>
      <c r="I142" s="46">
        <v>188.63</v>
      </c>
      <c r="J142" s="46">
        <v>137.19</v>
      </c>
      <c r="K142" s="46">
        <v>128.06</v>
      </c>
      <c r="L142" s="46">
        <v>370.6</v>
      </c>
      <c r="M142" s="46">
        <v>295.11</v>
      </c>
      <c r="N142" s="46">
        <v>436.27</v>
      </c>
      <c r="O142" s="46"/>
      <c r="P142" s="46"/>
      <c r="Q142" s="46"/>
    </row>
    <row r="143" spans="1:17" ht="15" customHeight="1" x14ac:dyDescent="0.2">
      <c r="A143" s="45">
        <v>46129</v>
      </c>
      <c r="B143" s="46">
        <v>244.45</v>
      </c>
      <c r="C143" s="46">
        <v>164.23</v>
      </c>
      <c r="D143" s="46">
        <v>1459.8</v>
      </c>
      <c r="E143" s="46">
        <v>406.54</v>
      </c>
      <c r="F143" s="46">
        <v>105.99</v>
      </c>
      <c r="G143" s="46">
        <v>179.14</v>
      </c>
      <c r="H143" s="46">
        <v>455.07</v>
      </c>
      <c r="I143" s="46">
        <v>201.68</v>
      </c>
      <c r="J143" s="46">
        <v>145.1</v>
      </c>
      <c r="K143" s="46">
        <v>146.38999999999999</v>
      </c>
      <c r="L143" s="46">
        <v>370.5</v>
      </c>
      <c r="M143" s="46">
        <v>307.33999999999997</v>
      </c>
      <c r="N143" s="46">
        <v>441.2</v>
      </c>
      <c r="O143" s="46"/>
      <c r="P143" s="46"/>
      <c r="Q143" s="46"/>
    </row>
    <row r="144" spans="1:17" ht="15" customHeight="1" x14ac:dyDescent="0.2">
      <c r="A144" s="45">
        <v>46136</v>
      </c>
      <c r="B144" s="46">
        <v>245.44</v>
      </c>
      <c r="C144" s="46">
        <v>176.91</v>
      </c>
      <c r="D144" s="46">
        <v>1457.7</v>
      </c>
      <c r="E144" s="46">
        <v>422.76</v>
      </c>
      <c r="F144" s="46">
        <v>112.03</v>
      </c>
      <c r="G144" s="46">
        <v>193.5</v>
      </c>
      <c r="H144" s="46">
        <v>496.72</v>
      </c>
      <c r="I144" s="46">
        <v>208.27</v>
      </c>
      <c r="J144" s="46">
        <v>142.1</v>
      </c>
      <c r="K144" s="46">
        <v>143.09</v>
      </c>
      <c r="L144" s="46">
        <v>402.46</v>
      </c>
      <c r="M144" s="46">
        <v>323.45999999999998</v>
      </c>
      <c r="N144" s="46">
        <v>430.29</v>
      </c>
      <c r="O144" s="46"/>
      <c r="P144" s="46"/>
      <c r="Q144" s="46"/>
    </row>
    <row r="145" spans="1:17" ht="15" customHeight="1" x14ac:dyDescent="0.2">
      <c r="A145" s="45">
        <v>46143</v>
      </c>
      <c r="B145" s="46">
        <v>250.71</v>
      </c>
      <c r="C145" s="46">
        <v>172.7</v>
      </c>
      <c r="D145" s="46">
        <v>1427.02</v>
      </c>
      <c r="E145" s="46">
        <v>421.28</v>
      </c>
      <c r="F145" s="46">
        <v>113.91</v>
      </c>
      <c r="G145" s="46">
        <v>172.63</v>
      </c>
      <c r="H145" s="46">
        <v>542.21</v>
      </c>
      <c r="I145" s="46">
        <v>198.45</v>
      </c>
      <c r="J145" s="46">
        <v>141.41</v>
      </c>
      <c r="K145" s="46">
        <v>144.07</v>
      </c>
      <c r="L145" s="46">
        <v>397.67</v>
      </c>
      <c r="M145" s="46">
        <v>328.31</v>
      </c>
      <c r="N145" s="46">
        <v>423.92</v>
      </c>
      <c r="O145" s="46"/>
      <c r="P145" s="46"/>
      <c r="Q145" s="46"/>
    </row>
    <row r="146" spans="1:17" ht="15" customHeight="1" x14ac:dyDescent="0.2">
      <c r="A146" s="45">
        <v>46150</v>
      </c>
      <c r="B146" s="46">
        <v>253.04</v>
      </c>
      <c r="C146" s="46">
        <v>141.77000000000001</v>
      </c>
      <c r="D146" s="46">
        <v>1592.02</v>
      </c>
      <c r="E146" s="46">
        <v>430</v>
      </c>
      <c r="F146" s="46">
        <v>131.94</v>
      </c>
      <c r="G146" s="46">
        <v>186.92</v>
      </c>
      <c r="H146" s="46">
        <v>746.81</v>
      </c>
      <c r="I146" s="46">
        <v>215.2</v>
      </c>
      <c r="J146" s="46">
        <v>144.09</v>
      </c>
      <c r="K146" s="46">
        <v>137.80000000000001</v>
      </c>
      <c r="L146" s="46">
        <v>411.68</v>
      </c>
      <c r="M146" s="46">
        <v>339.97</v>
      </c>
      <c r="N146" s="46">
        <v>429.82</v>
      </c>
      <c r="O146" s="46"/>
      <c r="P146" s="46"/>
      <c r="Q146" s="46"/>
    </row>
    <row r="147" spans="1:17" ht="15" customHeight="1" x14ac:dyDescent="0.2">
      <c r="A147" s="45">
        <v>46157</v>
      </c>
      <c r="B147" s="46">
        <v>247.6</v>
      </c>
      <c r="C147" s="46">
        <v>141.97</v>
      </c>
      <c r="D147" s="46">
        <v>1501.81</v>
      </c>
      <c r="E147" s="46">
        <v>425.19</v>
      </c>
      <c r="F147" s="46">
        <v>148.52000000000001</v>
      </c>
      <c r="G147" s="46">
        <v>180.43</v>
      </c>
      <c r="H147" s="46">
        <v>724.66</v>
      </c>
      <c r="I147" s="46">
        <v>225.32</v>
      </c>
      <c r="J147" s="46">
        <v>140.53</v>
      </c>
      <c r="K147" s="46">
        <v>133.99</v>
      </c>
      <c r="L147" s="46">
        <v>404.35</v>
      </c>
      <c r="M147" s="46">
        <v>370.94</v>
      </c>
      <c r="N147" s="46">
        <v>436.95</v>
      </c>
      <c r="O147" s="46"/>
      <c r="P147" s="46"/>
      <c r="Q147" s="46"/>
    </row>
    <row r="148" spans="1:17" ht="15" customHeight="1" x14ac:dyDescent="0.2">
      <c r="A148" s="45">
        <v>46164</v>
      </c>
      <c r="B148" s="46">
        <v>244.76</v>
      </c>
      <c r="C148" s="46">
        <v>154.03</v>
      </c>
      <c r="D148" s="46">
        <v>1632.9</v>
      </c>
      <c r="E148" s="46">
        <v>414.14</v>
      </c>
      <c r="F148" s="46">
        <v>165.87</v>
      </c>
      <c r="G148" s="46">
        <v>188.84</v>
      </c>
      <c r="H148" s="46">
        <v>751</v>
      </c>
      <c r="I148" s="46">
        <v>215.33</v>
      </c>
      <c r="J148" s="46">
        <v>145.9</v>
      </c>
      <c r="K148" s="46">
        <v>136.88</v>
      </c>
      <c r="L148" s="46">
        <v>404.52</v>
      </c>
      <c r="M148" s="46">
        <v>327.45999999999998</v>
      </c>
      <c r="N148" s="46">
        <v>434.52</v>
      </c>
      <c r="O148" s="46"/>
      <c r="P148" s="46"/>
      <c r="Q148" s="46"/>
    </row>
    <row r="149" spans="1:17" ht="15" customHeight="1" x14ac:dyDescent="0.2">
      <c r="A149" s="45">
        <v>46171</v>
      </c>
      <c r="B149" s="46">
        <v>259.20999999999998</v>
      </c>
      <c r="C149" s="46">
        <v>159.47</v>
      </c>
      <c r="D149" s="46">
        <v>1612.76</v>
      </c>
      <c r="E149" s="46">
        <v>446.77</v>
      </c>
      <c r="F149" s="46">
        <v>182.75</v>
      </c>
      <c r="G149" s="46">
        <v>192.17</v>
      </c>
      <c r="H149" s="46">
        <v>971</v>
      </c>
      <c r="I149" s="46">
        <v>211.14</v>
      </c>
      <c r="J149" s="46">
        <v>143.47</v>
      </c>
      <c r="K149" s="46">
        <v>156.54</v>
      </c>
      <c r="L149" s="46">
        <v>418.45</v>
      </c>
      <c r="M149" s="46">
        <v>315.70999999999998</v>
      </c>
      <c r="N149" s="46">
        <v>447.54</v>
      </c>
      <c r="O149" s="46"/>
      <c r="P149" s="46"/>
      <c r="Q149" s="46"/>
    </row>
    <row r="150" spans="1:17" ht="15" customHeight="1" x14ac:dyDescent="0.2">
      <c r="A150" s="45">
        <v>46178</v>
      </c>
      <c r="B150" s="46">
        <v>251.44</v>
      </c>
      <c r="C150" s="46">
        <v>154.27000000000001</v>
      </c>
      <c r="D150" s="46">
        <v>1641.74</v>
      </c>
      <c r="E150" s="46">
        <v>385.73</v>
      </c>
      <c r="F150" s="46">
        <v>167.76</v>
      </c>
      <c r="G150" s="46">
        <v>192.92</v>
      </c>
      <c r="H150" s="46">
        <v>864.01</v>
      </c>
      <c r="I150" s="46">
        <v>205.1</v>
      </c>
      <c r="J150" s="46">
        <v>144.54</v>
      </c>
      <c r="K150" s="46">
        <v>135.53</v>
      </c>
      <c r="L150" s="46">
        <v>415.17</v>
      </c>
      <c r="M150" s="46">
        <v>300.51</v>
      </c>
      <c r="N150" s="46">
        <v>446.83</v>
      </c>
      <c r="O150" s="46"/>
      <c r="P150" s="46"/>
      <c r="Q150" s="46"/>
    </row>
    <row r="151" spans="1:17" ht="15" customHeight="1" x14ac:dyDescent="0.2">
      <c r="A151" s="45">
        <v>46185</v>
      </c>
      <c r="B151" s="46">
        <v>204.02</v>
      </c>
      <c r="C151" s="46">
        <v>163.24</v>
      </c>
      <c r="D151" s="46">
        <v>1863.55</v>
      </c>
      <c r="E151" s="46">
        <v>382.07</v>
      </c>
      <c r="F151" s="46">
        <v>170.7</v>
      </c>
      <c r="G151" s="46">
        <v>254.54</v>
      </c>
      <c r="H151" s="46">
        <v>981.61</v>
      </c>
      <c r="I151" s="46">
        <v>205.19</v>
      </c>
      <c r="J151" s="46">
        <v>148.74</v>
      </c>
      <c r="K151" s="46">
        <v>127.99</v>
      </c>
      <c r="L151" s="46">
        <v>423.93</v>
      </c>
      <c r="M151" s="46">
        <v>302.87</v>
      </c>
      <c r="N151" s="46">
        <v>444.93</v>
      </c>
      <c r="O151" s="46"/>
      <c r="P151" s="46"/>
      <c r="Q151" s="46"/>
    </row>
    <row r="152" spans="1:17" ht="15" customHeight="1" x14ac:dyDescent="0.2">
      <c r="A152" s="45">
        <v>46191</v>
      </c>
      <c r="B152" s="46">
        <v>195.16</v>
      </c>
      <c r="C152" s="46">
        <v>169.67</v>
      </c>
      <c r="D152" s="46">
        <v>1929.68</v>
      </c>
      <c r="E152" s="46">
        <v>411.35</v>
      </c>
      <c r="F152" s="46">
        <v>171.22</v>
      </c>
      <c r="G152" s="46">
        <v>259.56</v>
      </c>
      <c r="H152" s="46">
        <v>1133.99</v>
      </c>
      <c r="I152" s="46">
        <v>210.69</v>
      </c>
      <c r="J152" s="46">
        <v>140.54</v>
      </c>
      <c r="K152" s="46">
        <v>128.47</v>
      </c>
      <c r="L152" s="46">
        <v>462.12</v>
      </c>
      <c r="M152" s="46">
        <v>333.05</v>
      </c>
      <c r="N152" s="46">
        <v>451.63</v>
      </c>
      <c r="O152" s="46"/>
      <c r="P152" s="46"/>
      <c r="Q152" s="46"/>
    </row>
    <row r="153" spans="1:17" ht="15" customHeight="1" x14ac:dyDescent="0.2">
      <c r="A153" s="45">
        <v>46199</v>
      </c>
      <c r="B153" s="46">
        <v>202.73</v>
      </c>
      <c r="C153" s="46">
        <v>157.6</v>
      </c>
      <c r="D153" s="46">
        <v>1794.62</v>
      </c>
      <c r="E153" s="46">
        <v>365.02</v>
      </c>
      <c r="F153" s="46">
        <v>175.27</v>
      </c>
      <c r="G153" s="46">
        <v>248.64</v>
      </c>
      <c r="H153" s="46">
        <v>1132.33</v>
      </c>
      <c r="I153" s="46">
        <v>192.53</v>
      </c>
      <c r="J153" s="46">
        <v>139.97</v>
      </c>
      <c r="K153" s="46">
        <v>112.93</v>
      </c>
      <c r="L153" s="46">
        <v>432.35</v>
      </c>
      <c r="M153" s="46">
        <v>303.95</v>
      </c>
      <c r="N153" s="46">
        <v>491.34</v>
      </c>
      <c r="O153" s="46"/>
      <c r="P153" s="46"/>
      <c r="Q153" s="46"/>
    </row>
    <row r="154" spans="1:17" ht="15" customHeight="1" x14ac:dyDescent="0.2">
      <c r="A154" s="45">
        <v>46205</v>
      </c>
      <c r="B154" s="46">
        <v>219.72</v>
      </c>
      <c r="C154" s="46">
        <v>159.99</v>
      </c>
      <c r="D154" s="46">
        <v>1769.32</v>
      </c>
      <c r="E154" s="46">
        <v>360.45</v>
      </c>
      <c r="F154" s="46">
        <v>193.98</v>
      </c>
      <c r="G154" s="46">
        <v>235.55</v>
      </c>
      <c r="H154" s="46">
        <v>975.56</v>
      </c>
      <c r="I154" s="46">
        <v>194.83</v>
      </c>
      <c r="J154" s="46">
        <v>139.43</v>
      </c>
      <c r="K154" s="46">
        <v>129.30000000000001</v>
      </c>
      <c r="L154" s="46">
        <v>434.16</v>
      </c>
      <c r="M154" s="46">
        <v>300.52999999999997</v>
      </c>
      <c r="N154" s="46">
        <v>528.04</v>
      </c>
      <c r="O154" s="46"/>
      <c r="P154" s="46"/>
      <c r="Q154" s="46"/>
    </row>
    <row r="155" spans="1:17" ht="15" customHeight="1" x14ac:dyDescent="0.2">
      <c r="A155" s="45">
        <v>46213</v>
      </c>
      <c r="B155" s="46">
        <v>223.64</v>
      </c>
      <c r="C155" s="46">
        <v>186.96</v>
      </c>
      <c r="D155" s="46">
        <v>1797.32</v>
      </c>
      <c r="E155" s="46">
        <v>399.97</v>
      </c>
      <c r="F155" s="46">
        <v>187.18</v>
      </c>
      <c r="G155" s="46">
        <v>231.52</v>
      </c>
      <c r="H155" s="46">
        <v>979.3</v>
      </c>
      <c r="I155" s="46">
        <v>210.96</v>
      </c>
      <c r="J155" s="46">
        <v>140.87</v>
      </c>
      <c r="K155" s="46">
        <v>126.79</v>
      </c>
      <c r="L155" s="46">
        <v>434.11</v>
      </c>
      <c r="M155" s="46">
        <v>318.86</v>
      </c>
      <c r="N155" s="46">
        <v>485.39</v>
      </c>
      <c r="O155" s="46"/>
      <c r="P155" s="46"/>
      <c r="Q155" s="46"/>
    </row>
    <row r="156" spans="1:17" ht="15" customHeight="1" x14ac:dyDescent="0.2">
      <c r="A156" s="45">
        <v>46220</v>
      </c>
      <c r="B156" s="46">
        <v>237.25</v>
      </c>
      <c r="C156" s="46">
        <v>168.61</v>
      </c>
      <c r="D156" s="46">
        <v>1747.58</v>
      </c>
      <c r="E156" s="46">
        <v>370.83</v>
      </c>
      <c r="F156" s="46">
        <v>203.08</v>
      </c>
      <c r="G156" s="46">
        <v>212.75</v>
      </c>
      <c r="H156" s="46">
        <v>848.95</v>
      </c>
      <c r="I156" s="46">
        <v>202.81</v>
      </c>
      <c r="J156" s="46">
        <v>149.79</v>
      </c>
      <c r="K156" s="46">
        <v>132.38</v>
      </c>
      <c r="L156" s="46">
        <v>398.37</v>
      </c>
      <c r="M156" s="46">
        <v>289.56</v>
      </c>
      <c r="N156" s="46">
        <v>485.65</v>
      </c>
      <c r="O156" s="46"/>
      <c r="P156" s="46"/>
      <c r="Q156" s="46"/>
    </row>
    <row r="157" spans="1:17" ht="15" customHeight="1" x14ac:dyDescent="0.2">
      <c r="A157" s="45">
        <v>46227</v>
      </c>
      <c r="B157" s="46">
        <v>225.11</v>
      </c>
      <c r="C157" s="46">
        <v>173.99</v>
      </c>
      <c r="D157" s="46">
        <v>1757.09</v>
      </c>
      <c r="E157" s="46">
        <v>381.92</v>
      </c>
      <c r="F157" s="46">
        <v>183.28</v>
      </c>
      <c r="G157" s="46">
        <v>210.52</v>
      </c>
      <c r="H157" s="46">
        <v>920.95</v>
      </c>
      <c r="I157" s="46">
        <v>206.84</v>
      </c>
      <c r="J157" s="46">
        <v>147.63</v>
      </c>
      <c r="K157" s="46">
        <v>122.92</v>
      </c>
      <c r="L157" s="46">
        <v>403.41</v>
      </c>
      <c r="M157" s="46">
        <v>290.36</v>
      </c>
      <c r="N157" s="46">
        <v>477.36</v>
      </c>
      <c r="O157" s="46"/>
      <c r="P157" s="46"/>
      <c r="Q157" s="46"/>
    </row>
    <row r="158" spans="1:17" ht="15" customHeight="1" x14ac:dyDescent="0.2">
      <c r="A158" s="45">
        <v>46234</v>
      </c>
      <c r="B158" s="46">
        <v>250.41</v>
      </c>
      <c r="C158" s="46">
        <v>180.35</v>
      </c>
      <c r="D158" s="46">
        <v>1629</v>
      </c>
      <c r="E158" s="46">
        <v>389.28</v>
      </c>
      <c r="F158" s="46">
        <v>190.86</v>
      </c>
      <c r="G158" s="46">
        <v>182.82</v>
      </c>
      <c r="H158" s="46">
        <v>823.03</v>
      </c>
      <c r="I158" s="46">
        <v>200.75</v>
      </c>
      <c r="J158" s="46">
        <v>144.61000000000001</v>
      </c>
      <c r="K158" s="46">
        <v>123.06</v>
      </c>
      <c r="L158" s="46">
        <v>404.25</v>
      </c>
      <c r="M158" s="46">
        <v>241.57</v>
      </c>
      <c r="N158" s="46">
        <v>477.1</v>
      </c>
      <c r="O158" s="46"/>
      <c r="P158" s="46"/>
      <c r="Q158" s="46"/>
    </row>
    <row r="159" spans="1:17" ht="15" customHeight="1" x14ac:dyDescent="0.2">
      <c r="A159" s="45"/>
      <c r="B159" s="46"/>
      <c r="C159" s="46"/>
      <c r="D159" s="46"/>
      <c r="E159" s="46"/>
      <c r="F159" s="46"/>
      <c r="G159" s="46"/>
      <c r="H159" s="46"/>
      <c r="I159" s="46"/>
      <c r="J159" s="46"/>
      <c r="K159" s="46"/>
      <c r="L159" s="46"/>
      <c r="M159" s="46"/>
      <c r="N159" s="46"/>
      <c r="O159" s="46"/>
      <c r="P159" s="46"/>
      <c r="Q159" s="46"/>
    </row>
    <row r="160" spans="1:17" ht="15" customHeight="1" x14ac:dyDescent="0.2">
      <c r="A160" s="45"/>
      <c r="B160" s="46"/>
      <c r="C160" s="46"/>
      <c r="D160" s="46"/>
      <c r="E160" s="46"/>
      <c r="F160" s="46"/>
      <c r="G160" s="46"/>
      <c r="H160" s="46"/>
      <c r="I160" s="46"/>
      <c r="J160" s="46"/>
      <c r="K160" s="46"/>
      <c r="L160" s="46"/>
      <c r="M160" s="46"/>
      <c r="N160" s="46"/>
      <c r="O160" s="46"/>
      <c r="P160" s="46"/>
      <c r="Q160" s="46"/>
    </row>
    <row r="161" spans="1:17" ht="15" customHeight="1" x14ac:dyDescent="0.2">
      <c r="A161" s="45"/>
      <c r="B161" s="46"/>
      <c r="C161" s="46"/>
      <c r="D161" s="46"/>
      <c r="E161" s="46"/>
      <c r="F161" s="46"/>
      <c r="G161" s="46"/>
      <c r="H161" s="46"/>
      <c r="I161" s="46"/>
      <c r="J161" s="46"/>
      <c r="K161" s="46"/>
      <c r="L161" s="46"/>
      <c r="M161" s="46"/>
      <c r="N161" s="46"/>
      <c r="O161" s="46"/>
      <c r="P161" s="46"/>
      <c r="Q161" s="46"/>
    </row>
    <row r="162" spans="1:17" ht="15" customHeight="1" x14ac:dyDescent="0.2">
      <c r="A162" s="45"/>
      <c r="B162" s="46"/>
      <c r="C162" s="46"/>
      <c r="D162" s="46"/>
      <c r="E162" s="46"/>
      <c r="F162" s="46"/>
      <c r="G162" s="46"/>
      <c r="H162" s="46"/>
      <c r="I162" s="46"/>
      <c r="J162" s="46"/>
      <c r="K162" s="46"/>
      <c r="L162" s="46"/>
      <c r="M162" s="46"/>
      <c r="N162" s="46"/>
      <c r="O162" s="46"/>
      <c r="P162" s="46"/>
      <c r="Q162" s="46"/>
    </row>
  </sheetData>
  <mergeCells count="1">
    <mergeCell ref="A1:Q1"/>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8"/>
  <sheetViews>
    <sheetView showGridLines="0" zoomScaleNormal="100" workbookViewId="0">
      <pane ySplit="1" topLeftCell="A2" activePane="bottomLeft" state="frozen"/>
      <selection pane="bottomLeft"/>
    </sheetView>
  </sheetViews>
  <sheetFormatPr baseColWidth="10" defaultColWidth="8.6640625" defaultRowHeight="15" x14ac:dyDescent="0.2"/>
  <cols>
    <col min="1" max="1" width="10" customWidth="1"/>
    <col min="2" max="2" width="18" customWidth="1"/>
    <col min="3" max="4" width="12" customWidth="1"/>
    <col min="5" max="6" width="13" customWidth="1"/>
    <col min="7" max="8" width="9" customWidth="1"/>
    <col min="9" max="9" width="11" customWidth="1"/>
    <col min="10" max="10" width="12" customWidth="1"/>
  </cols>
  <sheetData>
    <row r="1" spans="1:10" ht="25.5" customHeight="1" x14ac:dyDescent="0.2">
      <c r="A1" s="44" t="s">
        <v>57</v>
      </c>
      <c r="B1" s="44" t="s">
        <v>166</v>
      </c>
      <c r="C1" s="44" t="s">
        <v>167</v>
      </c>
      <c r="D1" s="44" t="s">
        <v>168</v>
      </c>
      <c r="E1" s="44" t="s">
        <v>169</v>
      </c>
      <c r="F1" s="44" t="s">
        <v>170</v>
      </c>
      <c r="G1" s="44" t="s">
        <v>171</v>
      </c>
      <c r="H1" s="44" t="s">
        <v>172</v>
      </c>
      <c r="I1" s="44" t="s">
        <v>173</v>
      </c>
      <c r="J1" s="44" t="s">
        <v>174</v>
      </c>
    </row>
    <row r="2" spans="1:10" ht="15" customHeight="1" x14ac:dyDescent="0.2">
      <c r="A2" s="47" t="str">
        <f>IF(Scoring!A3="","",Scoring!A3)</f>
        <v>MU</v>
      </c>
      <c r="B2" s="48" t="str">
        <f>IF(Scoring!B3="","",Scoring!B3)</f>
        <v>Micron Technology</v>
      </c>
      <c r="C2" s="49">
        <f>IF(Scoring!C3="","",Scoring!C3)</f>
        <v>46240</v>
      </c>
      <c r="D2" s="50">
        <f>IF(Scoring!N3="","",Scoring!N3)</f>
        <v>3.6428571428571428</v>
      </c>
      <c r="E2" s="51">
        <f>IF(Scoring!AF3="","",Scoring!AF3)</f>
        <v>71.8</v>
      </c>
      <c r="F2" s="47" t="str">
        <f>IF(Scoring!AG3="","",Scoring!AG3)</f>
        <v>BUY</v>
      </c>
      <c r="G2" s="47" t="str">
        <f>IF(Scoring!AH3="","",Scoring!AH3)</f>
        <v>OK</v>
      </c>
      <c r="H2" s="47" t="str">
        <f>IF(Scoring!AI3="","",Scoring!AI3)</f>
        <v>OK</v>
      </c>
      <c r="I2" s="47" t="str">
        <f>IF(Scoring!AJ3="","",Scoring!AJ3)</f>
        <v>OK</v>
      </c>
      <c r="J2" s="47" t="str">
        <f>IF(Scoring!AK3="","",Scoring!AK3)</f>
        <v>OK</v>
      </c>
    </row>
    <row r="3" spans="1:10" ht="15" customHeight="1" x14ac:dyDescent="0.2">
      <c r="A3" s="47" t="str">
        <f>IF(Scoring!A4="","",Scoring!A4)</f>
        <v>AVGO</v>
      </c>
      <c r="B3" s="48" t="str">
        <f>IF(Scoring!B4="","",Scoring!B4)</f>
        <v>Broadcom Inc.</v>
      </c>
      <c r="C3" s="49">
        <f>IF(Scoring!C4="","",Scoring!C4)</f>
        <v>46240</v>
      </c>
      <c r="D3" s="50">
        <f>IF(Scoring!N4="","",Scoring!N4)</f>
        <v>4.0714285714285721</v>
      </c>
      <c r="E3" s="51">
        <f>IF(Scoring!AF4="","",Scoring!AF4)</f>
        <v>80.8</v>
      </c>
      <c r="F3" s="47" t="str">
        <f>IF(Scoring!AG4="","",Scoring!AG4)</f>
        <v>STRONG BUY</v>
      </c>
      <c r="G3" s="47" t="str">
        <f>IF(Scoring!AH4="","",Scoring!AH4)</f>
        <v>OK</v>
      </c>
      <c r="H3" s="47" t="str">
        <f>IF(Scoring!AI4="","",Scoring!AI4)</f>
        <v>OK</v>
      </c>
      <c r="I3" s="47" t="str">
        <f>IF(Scoring!AJ4="","",Scoring!AJ4)</f>
        <v>OK</v>
      </c>
      <c r="J3" s="47" t="str">
        <f>IF(Scoring!AK4="","",Scoring!AK4)</f>
        <v>OK</v>
      </c>
    </row>
    <row r="4" spans="1:10" ht="15" customHeight="1" x14ac:dyDescent="0.2">
      <c r="A4" s="47" t="str">
        <f>IF(Scoring!A5="","",Scoring!A5)</f>
        <v>PLTR</v>
      </c>
      <c r="B4" s="48" t="str">
        <f>IF(Scoring!B5="","",Scoring!B5)</f>
        <v>Palantir Technologies</v>
      </c>
      <c r="C4" s="49">
        <f>IF(Scoring!C5="","",Scoring!C5)</f>
        <v>46240</v>
      </c>
      <c r="D4" s="50">
        <f>IF(Scoring!N5="","",Scoring!N5)</f>
        <v>4</v>
      </c>
      <c r="E4" s="51">
        <f>IF(Scoring!AF5="","",Scoring!AF5)</f>
        <v>75.199999999999989</v>
      </c>
      <c r="F4" s="47" t="str">
        <f>IF(Scoring!AG5="","",Scoring!AG5)</f>
        <v>BUY</v>
      </c>
      <c r="G4" s="47" t="str">
        <f>IF(Scoring!AH5="","",Scoring!AH5)</f>
        <v>OK</v>
      </c>
      <c r="H4" s="47" t="str">
        <f>IF(Scoring!AI5="","",Scoring!AI5)</f>
        <v>OK</v>
      </c>
      <c r="I4" s="47" t="str">
        <f>IF(Scoring!AJ5="","",Scoring!AJ5)</f>
        <v>OK</v>
      </c>
      <c r="J4" s="47" t="str">
        <f>IF(Scoring!AK5="","",Scoring!AK5)</f>
        <v>OK</v>
      </c>
    </row>
    <row r="5" spans="1:10" ht="15" customHeight="1" x14ac:dyDescent="0.2">
      <c r="A5" s="47" t="str">
        <f>IF(Scoring!A6="","",Scoring!A6)</f>
        <v>NVDA</v>
      </c>
      <c r="B5" s="48" t="str">
        <f>IF(Scoring!B6="","",Scoring!B6)</f>
        <v>NVIDIA Corporation</v>
      </c>
      <c r="C5" s="49">
        <f>IF(Scoring!C6="","",Scoring!C6)</f>
        <v>46240</v>
      </c>
      <c r="D5" s="50">
        <f>IF(Scoring!N6="","",Scoring!N6)</f>
        <v>4.5714285714285712</v>
      </c>
      <c r="E5" s="51">
        <f>IF(Scoring!AF6="","",Scoring!AF6)</f>
        <v>93.199999999999989</v>
      </c>
      <c r="F5" s="47" t="str">
        <f>IF(Scoring!AG6="","",Scoring!AG6)</f>
        <v>STRONG BUY</v>
      </c>
      <c r="G5" s="47" t="str">
        <f>IF(Scoring!AH6="","",Scoring!AH6)</f>
        <v>OK</v>
      </c>
      <c r="H5" s="47" t="str">
        <f>IF(Scoring!AI6="","",Scoring!AI6)</f>
        <v>OK</v>
      </c>
      <c r="I5" s="47" t="str">
        <f>IF(Scoring!AJ6="","",Scoring!AJ6)</f>
        <v>OK</v>
      </c>
      <c r="J5" s="47" t="str">
        <f>IF(Scoring!AK6="","",Scoring!AK6)</f>
        <v>OK</v>
      </c>
    </row>
    <row r="6" spans="1:10" ht="15" customHeight="1" x14ac:dyDescent="0.2">
      <c r="A6" s="47" t="str">
        <f>IF(Scoring!A7="","",Scoring!A7)</f>
        <v>VRTX</v>
      </c>
      <c r="B6" s="48" t="str">
        <f>IF(Scoring!B7="","",Scoring!B7)</f>
        <v>Vertex Pharmaceuticals</v>
      </c>
      <c r="C6" s="49">
        <f>IF(Scoring!C7="","",Scoring!C7)</f>
        <v>46241</v>
      </c>
      <c r="D6" s="50">
        <f>IF(Scoring!N7="","",Scoring!N7)</f>
        <v>3.785714285714286</v>
      </c>
      <c r="E6" s="51">
        <f>IF(Scoring!AF7="","",Scoring!AF7)</f>
        <v>75.599999999999994</v>
      </c>
      <c r="F6" s="47" t="str">
        <f>IF(Scoring!AG7="","",Scoring!AG7)</f>
        <v>BUY</v>
      </c>
      <c r="G6" s="47" t="str">
        <f>IF(Scoring!AH7="","",Scoring!AH7)</f>
        <v>OK</v>
      </c>
      <c r="H6" s="47" t="str">
        <f>IF(Scoring!AI7="","",Scoring!AI7)</f>
        <v>OK</v>
      </c>
      <c r="I6" s="47" t="str">
        <f>IF(Scoring!AJ7="","",Scoring!AJ7)</f>
        <v>OK</v>
      </c>
      <c r="J6" s="47" t="str">
        <f>IF(Scoring!AK7="","",Scoring!AK7)</f>
        <v>OK</v>
      </c>
    </row>
    <row r="7" spans="1:10" ht="15" customHeight="1" x14ac:dyDescent="0.2">
      <c r="A7" s="47" t="str">
        <f>IF(Scoring!A8="","",Scoring!A8)</f>
        <v>PLD</v>
      </c>
      <c r="B7" s="48" t="str">
        <f>IF(Scoring!B8="","",Scoring!B8)</f>
        <v>Prologis Inc. (REIT-adapted)</v>
      </c>
      <c r="C7" s="49">
        <f>IF(Scoring!C8="","",Scoring!C8)</f>
        <v>46240</v>
      </c>
      <c r="D7" s="50">
        <f>IF(Scoring!N8="","",Scoring!N8)</f>
        <v>4.3571428571428568</v>
      </c>
      <c r="E7" s="51">
        <f>IF(Scoring!AF8="","",Scoring!AF8)</f>
        <v>82.000000000000014</v>
      </c>
      <c r="F7" s="47" t="str">
        <f>IF(Scoring!AG8="","",Scoring!AG8)</f>
        <v>STRONG BUY</v>
      </c>
      <c r="G7" s="47" t="str">
        <f>IF(Scoring!AH8="","",Scoring!AH8)</f>
        <v>OK</v>
      </c>
      <c r="H7" s="47" t="str">
        <f>IF(Scoring!AI8="","",Scoring!AI8)</f>
        <v>OK</v>
      </c>
      <c r="I7" s="47" t="str">
        <f>IF(Scoring!AJ8="","",Scoring!AJ8)</f>
        <v>OK</v>
      </c>
      <c r="J7" s="47" t="str">
        <f>IF(Scoring!AK8="","",Scoring!AK8)</f>
        <v>OK</v>
      </c>
    </row>
    <row r="8" spans="1:10" ht="15" customHeight="1" x14ac:dyDescent="0.2">
      <c r="A8" s="47" t="str">
        <f>IF(Scoring!A9="","",Scoring!A9)</f>
        <v>SFM</v>
      </c>
      <c r="B8" s="48" t="str">
        <f>IF(Scoring!B9="","",Scoring!B9)</f>
        <v>Sprouts Farmers Market</v>
      </c>
      <c r="C8" s="49">
        <f>IF(Scoring!C9="","",Scoring!C9)</f>
        <v>46240</v>
      </c>
      <c r="D8" s="50">
        <f>IF(Scoring!N9="","",Scoring!N9)</f>
        <v>1.8571428571428574</v>
      </c>
      <c r="E8" s="51" t="str">
        <f>IF(Scoring!AF9="","",Scoring!AF9)</f>
        <v/>
      </c>
      <c r="F8" s="47" t="str">
        <f>IF(Scoring!AG9="","",Scoring!AG9)</f>
        <v/>
      </c>
      <c r="G8" s="47" t="str">
        <f>IF(Scoring!AH9="","",Scoring!AH9)</f>
        <v>FAIL</v>
      </c>
      <c r="H8" s="47" t="str">
        <f>IF(Scoring!AI9="","",Scoring!AI9)</f>
        <v>REVIEW</v>
      </c>
      <c r="I8" s="47" t="str">
        <f>IF(Scoring!AJ9="","",Scoring!AJ9)</f>
        <v>AVOID</v>
      </c>
      <c r="J8" s="47" t="str">
        <f>IF(Scoring!AK9="","",Scoring!AK9)</f>
        <v>OK</v>
      </c>
    </row>
    <row r="9" spans="1:10" ht="15" customHeight="1" x14ac:dyDescent="0.2">
      <c r="A9" s="47" t="str">
        <f>IF(Scoring!A10="","",Scoring!A10)</f>
        <v>ONON</v>
      </c>
      <c r="B9" s="48" t="str">
        <f>IF(Scoring!B10="","",Scoring!B10)</f>
        <v>On Holding AG</v>
      </c>
      <c r="C9" s="49">
        <f>IF(Scoring!C10="","",Scoring!C10)</f>
        <v>46240</v>
      </c>
      <c r="D9" s="50">
        <f>IF(Scoring!N10="","",Scoring!N10)</f>
        <v>2.6428571428571428</v>
      </c>
      <c r="E9" s="51" t="str">
        <f>IF(Scoring!AF10="","",Scoring!AF10)</f>
        <v/>
      </c>
      <c r="F9" s="47" t="str">
        <f>IF(Scoring!AG10="","",Scoring!AG10)</f>
        <v/>
      </c>
      <c r="G9" s="47" t="str">
        <f>IF(Scoring!AH10="","",Scoring!AH10)</f>
        <v>FAIL</v>
      </c>
      <c r="H9" s="47" t="str">
        <f>IF(Scoring!AI10="","",Scoring!AI10)</f>
        <v>OK</v>
      </c>
      <c r="I9" s="47" t="str">
        <f>IF(Scoring!AJ10="","",Scoring!AJ10)</f>
        <v>AVOID</v>
      </c>
      <c r="J9" s="47" t="str">
        <f>IF(Scoring!AK10="","",Scoring!AK10)</f>
        <v>OK</v>
      </c>
    </row>
    <row r="10" spans="1:10" ht="15" customHeight="1" x14ac:dyDescent="0.2">
      <c r="A10" s="47" t="str">
        <f>IF(Scoring!A11="","",Scoring!A11)</f>
        <v>TSLA</v>
      </c>
      <c r="B10" s="48" t="str">
        <f>IF(Scoring!B11="","",Scoring!B11)</f>
        <v>Tesla Inc.</v>
      </c>
      <c r="C10" s="49">
        <f>IF(Scoring!C11="","",Scoring!C11)</f>
        <v>46240</v>
      </c>
      <c r="D10" s="50">
        <f>IF(Scoring!N11="","",Scoring!N11)</f>
        <v>1.9285714285714288</v>
      </c>
      <c r="E10" s="51" t="str">
        <f>IF(Scoring!AF11="","",Scoring!AF11)</f>
        <v/>
      </c>
      <c r="F10" s="47" t="str">
        <f>IF(Scoring!AG11="","",Scoring!AG11)</f>
        <v/>
      </c>
      <c r="G10" s="47" t="str">
        <f>IF(Scoring!AH11="","",Scoring!AH11)</f>
        <v>FAIL</v>
      </c>
      <c r="H10" s="47" t="str">
        <f>IF(Scoring!AI11="","",Scoring!AI11)</f>
        <v>REVIEW</v>
      </c>
      <c r="I10" s="47" t="str">
        <f>IF(Scoring!AJ11="","",Scoring!AJ11)</f>
        <v>AVOID</v>
      </c>
      <c r="J10" s="47" t="str">
        <f>IF(Scoring!AK11="","",Scoring!AK11)</f>
        <v>OK</v>
      </c>
    </row>
    <row r="11" spans="1:10" ht="15" customHeight="1" x14ac:dyDescent="0.2">
      <c r="A11" s="47" t="str">
        <f>IF(Scoring!A12="","",Scoring!A12)</f>
        <v>ADBE</v>
      </c>
      <c r="B11" s="48" t="str">
        <f>IF(Scoring!B12="","",Scoring!B12)</f>
        <v>Adobe Inc.</v>
      </c>
      <c r="C11" s="49">
        <f>IF(Scoring!C12="","",Scoring!C12)</f>
        <v>46240</v>
      </c>
      <c r="D11" s="50">
        <f>IF(Scoring!N12="","",Scoring!N12)</f>
        <v>4.5714285714285721</v>
      </c>
      <c r="E11" s="51">
        <f>IF(Scoring!AF12="","",Scoring!AF12)</f>
        <v>85.8</v>
      </c>
      <c r="F11" s="47" t="str">
        <f>IF(Scoring!AG12="","",Scoring!AG12)</f>
        <v>STRONG BUY</v>
      </c>
      <c r="G11" s="47" t="str">
        <f>IF(Scoring!AH12="","",Scoring!AH12)</f>
        <v>OK</v>
      </c>
      <c r="H11" s="47" t="str">
        <f>IF(Scoring!AI12="","",Scoring!AI12)</f>
        <v>OK</v>
      </c>
      <c r="I11" s="47" t="str">
        <f>IF(Scoring!AJ12="","",Scoring!AJ12)</f>
        <v>OK</v>
      </c>
      <c r="J11" s="47" t="str">
        <f>IF(Scoring!AK12="","",Scoring!AK12)</f>
        <v>OK</v>
      </c>
    </row>
    <row r="12" spans="1:10" ht="15" customHeight="1" x14ac:dyDescent="0.2">
      <c r="A12" s="47" t="str">
        <f>IF(Scoring!A13="","",Scoring!A13)</f>
        <v>ANET</v>
      </c>
      <c r="B12" s="48" t="str">
        <f>IF(Scoring!B13="","",Scoring!B13)</f>
        <v>Arista Networks</v>
      </c>
      <c r="C12" s="49">
        <f>IF(Scoring!C13="","",Scoring!C13)</f>
        <v>46240</v>
      </c>
      <c r="D12" s="50">
        <f>IF(Scoring!N13="","",Scoring!N13)</f>
        <v>4.5714285714285712</v>
      </c>
      <c r="E12" s="51">
        <f>IF(Scoring!AF13="","",Scoring!AF13)</f>
        <v>85</v>
      </c>
      <c r="F12" s="47" t="str">
        <f>IF(Scoring!AG13="","",Scoring!AG13)</f>
        <v>STRONG BUY</v>
      </c>
      <c r="G12" s="47" t="str">
        <f>IF(Scoring!AH13="","",Scoring!AH13)</f>
        <v>OK</v>
      </c>
      <c r="H12" s="47" t="str">
        <f>IF(Scoring!AI13="","",Scoring!AI13)</f>
        <v>OK</v>
      </c>
      <c r="I12" s="47" t="str">
        <f>IF(Scoring!AJ13="","",Scoring!AJ13)</f>
        <v>OK</v>
      </c>
      <c r="J12" s="47" t="str">
        <f>IF(Scoring!AK13="","",Scoring!AK13)</f>
        <v>OK</v>
      </c>
    </row>
    <row r="13" spans="1:10" ht="15" customHeight="1" x14ac:dyDescent="0.2">
      <c r="A13" s="47" t="str">
        <f>IF(Scoring!A14="","",Scoring!A14)</f>
        <v>ASML</v>
      </c>
      <c r="B13" s="48" t="str">
        <f>IF(Scoring!B14="","",Scoring!B14)</f>
        <v>ASML Holding</v>
      </c>
      <c r="C13" s="49">
        <f>IF(Scoring!C14="","",Scoring!C14)</f>
        <v>46240</v>
      </c>
      <c r="D13" s="50">
        <f>IF(Scoring!N14="","",Scoring!N14)</f>
        <v>3.5714285714285716</v>
      </c>
      <c r="E13" s="51">
        <f>IF(Scoring!AF14="","",Scoring!AF14)</f>
        <v>73.2</v>
      </c>
      <c r="F13" s="47" t="str">
        <f>IF(Scoring!AG14="","",Scoring!AG14)</f>
        <v>BUY</v>
      </c>
      <c r="G13" s="47" t="str">
        <f>IF(Scoring!AH14="","",Scoring!AH14)</f>
        <v>OK</v>
      </c>
      <c r="H13" s="47" t="str">
        <f>IF(Scoring!AI14="","",Scoring!AI14)</f>
        <v>OK</v>
      </c>
      <c r="I13" s="47" t="str">
        <f>IF(Scoring!AJ14="","",Scoring!AJ14)</f>
        <v>OK</v>
      </c>
      <c r="J13" s="47" t="str">
        <f>IF(Scoring!AK14="","",Scoring!AK14)</f>
        <v>OK</v>
      </c>
    </row>
    <row r="14" spans="1:10" ht="15" customHeight="1" x14ac:dyDescent="0.2">
      <c r="A14" s="47" t="str">
        <f>IF(Scoring!A15="","",Scoring!A15)</f>
        <v>CRWD</v>
      </c>
      <c r="B14" s="48" t="str">
        <f>IF(Scoring!B15="","",Scoring!B15)</f>
        <v>CrowdStrike Holdings</v>
      </c>
      <c r="C14" s="49">
        <f>IF(Scoring!C15="","",Scoring!C15)</f>
        <v>46240</v>
      </c>
      <c r="D14" s="50">
        <f>IF(Scoring!N15="","",Scoring!N15)</f>
        <v>4.0000000000000009</v>
      </c>
      <c r="E14" s="51">
        <f>IF(Scoring!AF15="","",Scoring!AF15)</f>
        <v>70.400000000000006</v>
      </c>
      <c r="F14" s="47" t="str">
        <f>IF(Scoring!AG15="","",Scoring!AG15)</f>
        <v>BUY</v>
      </c>
      <c r="G14" s="47" t="str">
        <f>IF(Scoring!AH15="","",Scoring!AH15)</f>
        <v>OK</v>
      </c>
      <c r="H14" s="47" t="str">
        <f>IF(Scoring!AI15="","",Scoring!AI15)</f>
        <v>OK</v>
      </c>
      <c r="I14" s="47" t="str">
        <f>IF(Scoring!AJ15="","",Scoring!AJ15)</f>
        <v>OK</v>
      </c>
      <c r="J14" s="47" t="str">
        <f>IF(Scoring!AK15="","",Scoring!AK15)</f>
        <v>OK</v>
      </c>
    </row>
    <row r="15" spans="1:10" ht="15" customHeight="1" x14ac:dyDescent="0.2">
      <c r="A15" s="47" t="str">
        <f>IF(Scoring!A16="","",Scoring!A16)</f>
        <v>KLAC</v>
      </c>
      <c r="B15" s="48" t="str">
        <f>IF(Scoring!B16="","",Scoring!B16)</f>
        <v>KLA Corporation</v>
      </c>
      <c r="C15" s="49">
        <f>IF(Scoring!C16="","",Scoring!C16)</f>
        <v>46240</v>
      </c>
      <c r="D15" s="50">
        <f>IF(Scoring!N16="","",Scoring!N16)</f>
        <v>3.4285714285714293</v>
      </c>
      <c r="E15" s="51">
        <f>IF(Scoring!AF16="","",Scoring!AF16)</f>
        <v>68.600000000000009</v>
      </c>
      <c r="F15" s="47" t="str">
        <f>IF(Scoring!AG16="","",Scoring!AG16)</f>
        <v>BUY</v>
      </c>
      <c r="G15" s="47" t="str">
        <f>IF(Scoring!AH16="","",Scoring!AH16)</f>
        <v>OK</v>
      </c>
      <c r="H15" s="47" t="str">
        <f>IF(Scoring!AI16="","",Scoring!AI16)</f>
        <v>OK</v>
      </c>
      <c r="I15" s="47" t="str">
        <f>IF(Scoring!AJ16="","",Scoring!AJ16)</f>
        <v>OK</v>
      </c>
      <c r="J15" s="47" t="str">
        <f>IF(Scoring!AK16="","",Scoring!AK16)</f>
        <v>OK</v>
      </c>
    </row>
    <row r="16" spans="1:10" ht="15" customHeight="1" x14ac:dyDescent="0.2">
      <c r="A16" s="47" t="str">
        <f>IF(Scoring!A17="","",Scoring!A17)</f>
        <v>TSM</v>
      </c>
      <c r="B16" s="48" t="str">
        <f>IF(Scoring!B17="","",Scoring!B17)</f>
        <v>Taiwan Semiconductor Mfg.</v>
      </c>
      <c r="C16" s="49">
        <f>IF(Scoring!C17="","",Scoring!C17)</f>
        <v>46240</v>
      </c>
      <c r="D16" s="50">
        <f>IF(Scoring!N17="","",Scoring!N17)</f>
        <v>4</v>
      </c>
      <c r="E16" s="51">
        <f>IF(Scoring!AF17="","",Scoring!AF17)</f>
        <v>81</v>
      </c>
      <c r="F16" s="47" t="str">
        <f>IF(Scoring!AG17="","",Scoring!AG17)</f>
        <v>STRONG BUY</v>
      </c>
      <c r="G16" s="47" t="str">
        <f>IF(Scoring!AH17="","",Scoring!AH17)</f>
        <v>OK</v>
      </c>
      <c r="H16" s="47" t="str">
        <f>IF(Scoring!AI17="","",Scoring!AI17)</f>
        <v>OK</v>
      </c>
      <c r="I16" s="47" t="str">
        <f>IF(Scoring!AJ17="","",Scoring!AJ17)</f>
        <v>OK</v>
      </c>
      <c r="J16" s="47" t="str">
        <f>IF(Scoring!AK17="","",Scoring!AK17)</f>
        <v>OK</v>
      </c>
    </row>
    <row r="17" spans="1:10" ht="15" customHeight="1" x14ac:dyDescent="0.2">
      <c r="A17" s="47" t="str">
        <f>IF(Scoring!A18="","",Scoring!A18)</f>
        <v>VRT</v>
      </c>
      <c r="B17" s="48" t="str">
        <f>IF(Scoring!B18="","",Scoring!B18)</f>
        <v>Vertiv Holdings</v>
      </c>
      <c r="C17" s="49">
        <f>IF(Scoring!C18="","",Scoring!C18)</f>
        <v>46240</v>
      </c>
      <c r="D17" s="50">
        <f>IF(Scoring!N18="","",Scoring!N18)</f>
        <v>4.3571428571428568</v>
      </c>
      <c r="E17" s="51">
        <f>IF(Scoring!AF18="","",Scoring!AF18)</f>
        <v>82.8</v>
      </c>
      <c r="F17" s="47" t="str">
        <f>IF(Scoring!AG18="","",Scoring!AG18)</f>
        <v>STRONG BUY</v>
      </c>
      <c r="G17" s="47" t="str">
        <f>IF(Scoring!AH18="","",Scoring!AH18)</f>
        <v>OK</v>
      </c>
      <c r="H17" s="47" t="str">
        <f>IF(Scoring!AI18="","",Scoring!AI18)</f>
        <v>OK</v>
      </c>
      <c r="I17" s="47" t="str">
        <f>IF(Scoring!AJ18="","",Scoring!AJ18)</f>
        <v>OK</v>
      </c>
      <c r="J17" s="47" t="str">
        <f>IF(Scoring!AK18="","",Scoring!AK18)</f>
        <v>OK</v>
      </c>
    </row>
    <row r="18" spans="1:10" ht="15" customHeight="1" x14ac:dyDescent="0.2">
      <c r="A18" s="47" t="str">
        <f>IF(Scoring!A19="","",Scoring!A19)</f>
        <v/>
      </c>
      <c r="B18" s="48" t="str">
        <f>IF(Scoring!B19="","",Scoring!B19)</f>
        <v/>
      </c>
      <c r="C18" s="49" t="str">
        <f>IF(Scoring!C19="","",Scoring!C19)</f>
        <v/>
      </c>
      <c r="D18" s="50" t="str">
        <f>IF(Scoring!N19="","",Scoring!N19)</f>
        <v/>
      </c>
      <c r="E18" s="51" t="str">
        <f>IF(Scoring!AF19="","",Scoring!AF19)</f>
        <v/>
      </c>
      <c r="F18" s="47" t="str">
        <f>IF(Scoring!AG19="","",Scoring!AG19)</f>
        <v/>
      </c>
      <c r="G18" s="47" t="str">
        <f>IF(Scoring!AH19="","",Scoring!AH19)</f>
        <v/>
      </c>
      <c r="H18" s="47" t="str">
        <f>IF(Scoring!AI19="","",Scoring!AI19)</f>
        <v/>
      </c>
      <c r="I18" s="47" t="str">
        <f>IF(Scoring!AJ19="","",Scoring!AJ19)</f>
        <v/>
      </c>
      <c r="J18" s="47" t="str">
        <f>IF(Scoring!AK19="","",Scoring!AK19)</f>
        <v/>
      </c>
    </row>
    <row r="19" spans="1:10" ht="15" customHeight="1" x14ac:dyDescent="0.2">
      <c r="A19" s="47" t="str">
        <f>IF(Scoring!A20="","",Scoring!A20)</f>
        <v/>
      </c>
      <c r="B19" s="48" t="str">
        <f>IF(Scoring!B20="","",Scoring!B20)</f>
        <v/>
      </c>
      <c r="C19" s="49" t="str">
        <f>IF(Scoring!C20="","",Scoring!C20)</f>
        <v/>
      </c>
      <c r="D19" s="50" t="str">
        <f>IF(Scoring!N20="","",Scoring!N20)</f>
        <v/>
      </c>
      <c r="E19" s="51" t="str">
        <f>IF(Scoring!AF20="","",Scoring!AF20)</f>
        <v/>
      </c>
      <c r="F19" s="47" t="str">
        <f>IF(Scoring!AG20="","",Scoring!AG20)</f>
        <v/>
      </c>
      <c r="G19" s="47" t="str">
        <f>IF(Scoring!AH20="","",Scoring!AH20)</f>
        <v/>
      </c>
      <c r="H19" s="47" t="str">
        <f>IF(Scoring!AI20="","",Scoring!AI20)</f>
        <v/>
      </c>
      <c r="I19" s="47" t="str">
        <f>IF(Scoring!AJ20="","",Scoring!AJ20)</f>
        <v/>
      </c>
      <c r="J19" s="47" t="str">
        <f>IF(Scoring!AK20="","",Scoring!AK20)</f>
        <v/>
      </c>
    </row>
    <row r="20" spans="1:10" ht="15" customHeight="1" x14ac:dyDescent="0.2">
      <c r="A20" s="47" t="str">
        <f>IF(Scoring!A21="","",Scoring!A21)</f>
        <v/>
      </c>
      <c r="B20" s="48" t="str">
        <f>IF(Scoring!B21="","",Scoring!B21)</f>
        <v/>
      </c>
      <c r="C20" s="49" t="str">
        <f>IF(Scoring!C21="","",Scoring!C21)</f>
        <v/>
      </c>
      <c r="D20" s="50" t="str">
        <f>IF(Scoring!N21="","",Scoring!N21)</f>
        <v/>
      </c>
      <c r="E20" s="51" t="str">
        <f>IF(Scoring!AF21="","",Scoring!AF21)</f>
        <v/>
      </c>
      <c r="F20" s="47" t="str">
        <f>IF(Scoring!AG21="","",Scoring!AG21)</f>
        <v/>
      </c>
      <c r="G20" s="47" t="str">
        <f>IF(Scoring!AH21="","",Scoring!AH21)</f>
        <v/>
      </c>
      <c r="H20" s="47" t="str">
        <f>IF(Scoring!AI21="","",Scoring!AI21)</f>
        <v/>
      </c>
      <c r="I20" s="47" t="str">
        <f>IF(Scoring!AJ21="","",Scoring!AJ21)</f>
        <v/>
      </c>
      <c r="J20" s="47" t="str">
        <f>IF(Scoring!AK21="","",Scoring!AK21)</f>
        <v/>
      </c>
    </row>
    <row r="21" spans="1:10" ht="15" customHeight="1" x14ac:dyDescent="0.2">
      <c r="A21" s="47" t="str">
        <f>IF(Scoring!A22="","",Scoring!A22)</f>
        <v/>
      </c>
      <c r="B21" s="48" t="str">
        <f>IF(Scoring!B22="","",Scoring!B22)</f>
        <v/>
      </c>
      <c r="C21" s="49" t="str">
        <f>IF(Scoring!C22="","",Scoring!C22)</f>
        <v/>
      </c>
      <c r="D21" s="50" t="str">
        <f>IF(Scoring!N22="","",Scoring!N22)</f>
        <v/>
      </c>
      <c r="E21" s="51" t="str">
        <f>IF(Scoring!AF22="","",Scoring!AF22)</f>
        <v/>
      </c>
      <c r="F21" s="47" t="str">
        <f>IF(Scoring!AG22="","",Scoring!AG22)</f>
        <v/>
      </c>
      <c r="G21" s="47" t="str">
        <f>IF(Scoring!AH22="","",Scoring!AH22)</f>
        <v/>
      </c>
      <c r="H21" s="47" t="str">
        <f>IF(Scoring!AI22="","",Scoring!AI22)</f>
        <v/>
      </c>
      <c r="I21" s="47" t="str">
        <f>IF(Scoring!AJ22="","",Scoring!AJ22)</f>
        <v/>
      </c>
      <c r="J21" s="47" t="str">
        <f>IF(Scoring!AK22="","",Scoring!AK22)</f>
        <v/>
      </c>
    </row>
    <row r="22" spans="1:10" ht="15" customHeight="1" x14ac:dyDescent="0.2">
      <c r="A22" s="47" t="str">
        <f>IF(Scoring!A23="","",Scoring!A23)</f>
        <v/>
      </c>
      <c r="B22" s="48" t="str">
        <f>IF(Scoring!B23="","",Scoring!B23)</f>
        <v/>
      </c>
      <c r="C22" s="49" t="str">
        <f>IF(Scoring!C23="","",Scoring!C23)</f>
        <v/>
      </c>
      <c r="D22" s="50" t="str">
        <f>IF(Scoring!N23="","",Scoring!N23)</f>
        <v/>
      </c>
      <c r="E22" s="51" t="str">
        <f>IF(Scoring!AF23="","",Scoring!AF23)</f>
        <v/>
      </c>
      <c r="F22" s="47" t="str">
        <f>IF(Scoring!AG23="","",Scoring!AG23)</f>
        <v/>
      </c>
      <c r="G22" s="47" t="str">
        <f>IF(Scoring!AH23="","",Scoring!AH23)</f>
        <v/>
      </c>
      <c r="H22" s="47" t="str">
        <f>IF(Scoring!AI23="","",Scoring!AI23)</f>
        <v/>
      </c>
      <c r="I22" s="47" t="str">
        <f>IF(Scoring!AJ23="","",Scoring!AJ23)</f>
        <v/>
      </c>
      <c r="J22" s="47" t="str">
        <f>IF(Scoring!AK23="","",Scoring!AK23)</f>
        <v/>
      </c>
    </row>
    <row r="23" spans="1:10" ht="15" customHeight="1" x14ac:dyDescent="0.2">
      <c r="A23" s="47" t="str">
        <f>IF(Scoring!A24="","",Scoring!A24)</f>
        <v/>
      </c>
      <c r="B23" s="48" t="str">
        <f>IF(Scoring!B24="","",Scoring!B24)</f>
        <v/>
      </c>
      <c r="C23" s="49" t="str">
        <f>IF(Scoring!C24="","",Scoring!C24)</f>
        <v/>
      </c>
      <c r="D23" s="50" t="str">
        <f>IF(Scoring!N24="","",Scoring!N24)</f>
        <v/>
      </c>
      <c r="E23" s="51" t="str">
        <f>IF(Scoring!AF24="","",Scoring!AF24)</f>
        <v/>
      </c>
      <c r="F23" s="47" t="str">
        <f>IF(Scoring!AG24="","",Scoring!AG24)</f>
        <v/>
      </c>
      <c r="G23" s="47" t="str">
        <f>IF(Scoring!AH24="","",Scoring!AH24)</f>
        <v/>
      </c>
      <c r="H23" s="47" t="str">
        <f>IF(Scoring!AI24="","",Scoring!AI24)</f>
        <v/>
      </c>
      <c r="I23" s="47" t="str">
        <f>IF(Scoring!AJ24="","",Scoring!AJ24)</f>
        <v/>
      </c>
      <c r="J23" s="47" t="str">
        <f>IF(Scoring!AK24="","",Scoring!AK24)</f>
        <v/>
      </c>
    </row>
    <row r="24" spans="1:10" ht="15" customHeight="1" x14ac:dyDescent="0.2">
      <c r="A24" s="47" t="str">
        <f>IF(Scoring!A25="","",Scoring!A25)</f>
        <v/>
      </c>
      <c r="B24" s="48" t="str">
        <f>IF(Scoring!B25="","",Scoring!B25)</f>
        <v/>
      </c>
      <c r="C24" s="49" t="str">
        <f>IF(Scoring!C25="","",Scoring!C25)</f>
        <v/>
      </c>
      <c r="D24" s="50" t="str">
        <f>IF(Scoring!N25="","",Scoring!N25)</f>
        <v/>
      </c>
      <c r="E24" s="51" t="str">
        <f>IF(Scoring!AF25="","",Scoring!AF25)</f>
        <v/>
      </c>
      <c r="F24" s="47" t="str">
        <f>IF(Scoring!AG25="","",Scoring!AG25)</f>
        <v/>
      </c>
      <c r="G24" s="47" t="str">
        <f>IF(Scoring!AH25="","",Scoring!AH25)</f>
        <v/>
      </c>
      <c r="H24" s="47" t="str">
        <f>IF(Scoring!AI25="","",Scoring!AI25)</f>
        <v/>
      </c>
      <c r="I24" s="47" t="str">
        <f>IF(Scoring!AJ25="","",Scoring!AJ25)</f>
        <v/>
      </c>
      <c r="J24" s="47" t="str">
        <f>IF(Scoring!AK25="","",Scoring!AK25)</f>
        <v/>
      </c>
    </row>
    <row r="25" spans="1:10" ht="15" customHeight="1" x14ac:dyDescent="0.2">
      <c r="A25" s="47" t="str">
        <f>IF(Scoring!A26="","",Scoring!A26)</f>
        <v/>
      </c>
      <c r="B25" s="48" t="str">
        <f>IF(Scoring!B26="","",Scoring!B26)</f>
        <v/>
      </c>
      <c r="C25" s="49" t="str">
        <f>IF(Scoring!C26="","",Scoring!C26)</f>
        <v/>
      </c>
      <c r="D25" s="50" t="str">
        <f>IF(Scoring!N26="","",Scoring!N26)</f>
        <v/>
      </c>
      <c r="E25" s="51" t="str">
        <f>IF(Scoring!AF26="","",Scoring!AF26)</f>
        <v/>
      </c>
      <c r="F25" s="47" t="str">
        <f>IF(Scoring!AG26="","",Scoring!AG26)</f>
        <v/>
      </c>
      <c r="G25" s="47" t="str">
        <f>IF(Scoring!AH26="","",Scoring!AH26)</f>
        <v/>
      </c>
      <c r="H25" s="47" t="str">
        <f>IF(Scoring!AI26="","",Scoring!AI26)</f>
        <v/>
      </c>
      <c r="I25" s="47" t="str">
        <f>IF(Scoring!AJ26="","",Scoring!AJ26)</f>
        <v/>
      </c>
      <c r="J25" s="47" t="str">
        <f>IF(Scoring!AK26="","",Scoring!AK26)</f>
        <v/>
      </c>
    </row>
    <row r="26" spans="1:10" ht="15" customHeight="1" x14ac:dyDescent="0.2">
      <c r="A26" s="47" t="str">
        <f>IF(Scoring!A27="","",Scoring!A27)</f>
        <v/>
      </c>
      <c r="B26" s="48" t="str">
        <f>IF(Scoring!B27="","",Scoring!B27)</f>
        <v/>
      </c>
      <c r="C26" s="49" t="str">
        <f>IF(Scoring!C27="","",Scoring!C27)</f>
        <v/>
      </c>
      <c r="D26" s="50" t="str">
        <f>IF(Scoring!N27="","",Scoring!N27)</f>
        <v/>
      </c>
      <c r="E26" s="51" t="str">
        <f>IF(Scoring!AF27="","",Scoring!AF27)</f>
        <v/>
      </c>
      <c r="F26" s="47" t="str">
        <f>IF(Scoring!AG27="","",Scoring!AG27)</f>
        <v/>
      </c>
      <c r="G26" s="47" t="str">
        <f>IF(Scoring!AH27="","",Scoring!AH27)</f>
        <v/>
      </c>
      <c r="H26" s="47" t="str">
        <f>IF(Scoring!AI27="","",Scoring!AI27)</f>
        <v/>
      </c>
      <c r="I26" s="47" t="str">
        <f>IF(Scoring!AJ27="","",Scoring!AJ27)</f>
        <v/>
      </c>
      <c r="J26" s="47" t="str">
        <f>IF(Scoring!AK27="","",Scoring!AK27)</f>
        <v/>
      </c>
    </row>
    <row r="28" spans="1:10" ht="15" customHeight="1" x14ac:dyDescent="0.2">
      <c r="A28" s="4" t="s">
        <v>175</v>
      </c>
      <c r="B28" s="4"/>
      <c r="C28" s="4"/>
      <c r="D28" s="4"/>
      <c r="E28" s="4"/>
      <c r="F28" s="4"/>
    </row>
  </sheetData>
  <mergeCells count="1">
    <mergeCell ref="A28:F28"/>
  </mergeCells>
  <conditionalFormatting sqref="F2:F26">
    <cfRule type="cellIs" dxfId="69" priority="2" operator="equal">
      <formula>"STRONG BUY"</formula>
    </cfRule>
    <cfRule type="cellIs" dxfId="68" priority="3" operator="equal">
      <formula>"BUY"</formula>
    </cfRule>
    <cfRule type="cellIs" dxfId="67" priority="4" operator="equal">
      <formula>"WATCH LIST"</formula>
    </cfRule>
    <cfRule type="cellIs" dxfId="66" priority="5" operator="equal">
      <formula>"AVOID"</formula>
    </cfRule>
    <cfRule type="cellIs" dxfId="65" priority="6" operator="equal">
      <formula>"PASS"</formula>
    </cfRule>
  </conditionalFormatting>
  <conditionalFormatting sqref="G2:G26">
    <cfRule type="cellIs" dxfId="64" priority="7" operator="equal">
      <formula>"FAIL"</formula>
    </cfRule>
  </conditionalFormatting>
  <conditionalFormatting sqref="H2:H26">
    <cfRule type="cellIs" dxfId="63" priority="9" operator="equal">
      <formula>"REVIEW"</formula>
    </cfRule>
  </conditionalFormatting>
  <conditionalFormatting sqref="I2:I26">
    <cfRule type="cellIs" dxfId="62" priority="8" operator="equal">
      <formula>"AVOID"</formula>
    </cfRule>
  </conditionalFormatting>
  <conditionalFormatting sqref="J2:J26">
    <cfRule type="cellIs" dxfId="61" priority="10" operator="equal">
      <formula>"CAP AT BUY"</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27"/>
  <sheetViews>
    <sheetView showGridLines="0" zoomScaleNormal="100" workbookViewId="0">
      <pane xSplit="3" ySplit="2" topLeftCell="D3" activePane="bottomRight" state="frozen"/>
      <selection pane="topRight" activeCell="D1" sqref="D1"/>
      <selection pane="bottomLeft" activeCell="A3" sqref="A3"/>
      <selection pane="bottomRight"/>
    </sheetView>
  </sheetViews>
  <sheetFormatPr baseColWidth="10" defaultColWidth="8.6640625" defaultRowHeight="15" x14ac:dyDescent="0.2"/>
  <cols>
    <col min="1" max="1" width="8" customWidth="1"/>
    <col min="2" max="2" width="14" customWidth="1"/>
    <col min="3" max="3" width="10" customWidth="1"/>
    <col min="4" max="32" width="7.5" customWidth="1"/>
    <col min="33" max="33" width="12" customWidth="1"/>
    <col min="34" max="37" width="7.5" customWidth="1"/>
  </cols>
  <sheetData>
    <row r="1" spans="1:37" ht="15.75" customHeight="1" x14ac:dyDescent="0.2">
      <c r="D1" s="3" t="s">
        <v>176</v>
      </c>
      <c r="E1" s="3"/>
      <c r="F1" s="3"/>
      <c r="G1" s="3"/>
      <c r="H1" s="3"/>
      <c r="I1" s="3"/>
      <c r="J1" s="3"/>
      <c r="K1" s="3"/>
      <c r="L1" s="3"/>
      <c r="M1" s="3"/>
      <c r="N1" s="3"/>
      <c r="O1" s="3"/>
      <c r="P1" s="3" t="s">
        <v>177</v>
      </c>
      <c r="Q1" s="3"/>
      <c r="R1" s="3"/>
      <c r="S1" s="3"/>
      <c r="T1" s="3"/>
      <c r="U1" s="3"/>
      <c r="V1" s="3"/>
      <c r="W1" s="3"/>
      <c r="X1" s="3"/>
      <c r="Y1" s="3" t="s">
        <v>178</v>
      </c>
      <c r="Z1" s="3"/>
      <c r="AA1" s="3"/>
      <c r="AB1" s="3"/>
      <c r="AC1" s="3"/>
      <c r="AD1" s="3"/>
      <c r="AE1" s="3"/>
      <c r="AH1" s="2" t="s">
        <v>179</v>
      </c>
      <c r="AI1" s="2"/>
      <c r="AJ1" s="2"/>
      <c r="AK1" s="2"/>
    </row>
    <row r="2" spans="1:37" ht="30" customHeight="1" x14ac:dyDescent="0.2">
      <c r="A2" s="22" t="s">
        <v>57</v>
      </c>
      <c r="B2" s="22" t="s">
        <v>166</v>
      </c>
      <c r="C2" s="22" t="s">
        <v>180</v>
      </c>
      <c r="D2" s="22" t="s">
        <v>181</v>
      </c>
      <c r="E2" s="22" t="s">
        <v>182</v>
      </c>
      <c r="F2" s="22" t="s">
        <v>183</v>
      </c>
      <c r="G2" s="22" t="s">
        <v>182</v>
      </c>
      <c r="H2" s="22" t="s">
        <v>184</v>
      </c>
      <c r="I2" s="22" t="s">
        <v>182</v>
      </c>
      <c r="J2" s="22" t="s">
        <v>185</v>
      </c>
      <c r="K2" s="22" t="s">
        <v>182</v>
      </c>
      <c r="L2" s="22" t="s">
        <v>186</v>
      </c>
      <c r="M2" s="22" t="s">
        <v>182</v>
      </c>
      <c r="N2" s="22" t="s">
        <v>187</v>
      </c>
      <c r="O2" s="22" t="s">
        <v>188</v>
      </c>
      <c r="P2" s="22" t="s">
        <v>189</v>
      </c>
      <c r="Q2" s="22" t="s">
        <v>182</v>
      </c>
      <c r="R2" s="22" t="s">
        <v>190</v>
      </c>
      <c r="S2" s="22" t="s">
        <v>182</v>
      </c>
      <c r="T2" s="22" t="s">
        <v>191</v>
      </c>
      <c r="U2" s="22" t="s">
        <v>182</v>
      </c>
      <c r="V2" s="22" t="s">
        <v>192</v>
      </c>
      <c r="W2" s="22" t="s">
        <v>182</v>
      </c>
      <c r="X2" s="22" t="s">
        <v>193</v>
      </c>
      <c r="Y2" s="22" t="s">
        <v>194</v>
      </c>
      <c r="Z2" s="22" t="s">
        <v>182</v>
      </c>
      <c r="AA2" s="22" t="s">
        <v>195</v>
      </c>
      <c r="AB2" s="22" t="s">
        <v>182</v>
      </c>
      <c r="AC2" s="22" t="s">
        <v>196</v>
      </c>
      <c r="AD2" s="22" t="s">
        <v>182</v>
      </c>
      <c r="AE2" s="22" t="s">
        <v>197</v>
      </c>
      <c r="AF2" s="22" t="s">
        <v>198</v>
      </c>
      <c r="AG2" s="22" t="s">
        <v>170</v>
      </c>
      <c r="AH2" s="52" t="s">
        <v>199</v>
      </c>
      <c r="AI2" s="52" t="s">
        <v>200</v>
      </c>
      <c r="AJ2" s="52" t="s">
        <v>201</v>
      </c>
      <c r="AK2" s="52" t="s">
        <v>202</v>
      </c>
    </row>
    <row r="3" spans="1:37" ht="15" customHeight="1" x14ac:dyDescent="0.2">
      <c r="A3" s="37" t="s">
        <v>83</v>
      </c>
      <c r="B3" s="37" t="s">
        <v>84</v>
      </c>
      <c r="C3" s="41">
        <v>46240</v>
      </c>
      <c r="D3" s="37">
        <v>3</v>
      </c>
      <c r="E3" s="37" t="s">
        <v>203</v>
      </c>
      <c r="F3" s="37">
        <v>3</v>
      </c>
      <c r="G3" s="37" t="s">
        <v>203</v>
      </c>
      <c r="H3" s="37">
        <v>4</v>
      </c>
      <c r="I3" s="37" t="s">
        <v>204</v>
      </c>
      <c r="J3" s="37">
        <v>5</v>
      </c>
      <c r="K3" s="37" t="s">
        <v>204</v>
      </c>
      <c r="L3" s="37">
        <v>4</v>
      </c>
      <c r="M3" s="37" t="s">
        <v>203</v>
      </c>
      <c r="N3" s="53">
        <f t="shared" ref="N3:N27" si="0">IF(COUNT(D3,F3,H3,J3,L3)=0,"",(D3*0.2+F3*0.15+H3*0.15+J3*0.1+L3*0.1)/0.7)</f>
        <v>3.6428571428571428</v>
      </c>
      <c r="O3" s="54">
        <f t="shared" ref="O3:O27" si="1">IF(COUNT(D3,F3,H3,J3,L3)=0,"",D3*0.2+F3*0.15+H3*0.15+J3*0.1+L3*0.1)</f>
        <v>2.5499999999999998</v>
      </c>
      <c r="P3" s="37">
        <v>4</v>
      </c>
      <c r="Q3" s="37" t="s">
        <v>203</v>
      </c>
      <c r="R3" s="37">
        <v>5</v>
      </c>
      <c r="S3" s="37" t="s">
        <v>203</v>
      </c>
      <c r="T3" s="37">
        <v>5</v>
      </c>
      <c r="U3" s="37" t="s">
        <v>204</v>
      </c>
      <c r="V3" s="37">
        <v>1</v>
      </c>
      <c r="W3" s="37" t="s">
        <v>204</v>
      </c>
      <c r="X3" s="54">
        <f t="shared" ref="X3:X27" si="2">IF(COUNT(P3,R3,T3,V3)=0,"",P3*0.08+R3*0.06+T3*0.03+V3*0.08)</f>
        <v>0.85</v>
      </c>
      <c r="Y3" s="37">
        <v>5</v>
      </c>
      <c r="Z3" s="37" t="s">
        <v>204</v>
      </c>
      <c r="AA3" s="37">
        <v>3</v>
      </c>
      <c r="AB3" s="37" t="s">
        <v>203</v>
      </c>
      <c r="AC3" s="37">
        <v>3</v>
      </c>
      <c r="AD3" s="37" t="s">
        <v>205</v>
      </c>
      <c r="AE3" s="54">
        <f t="shared" ref="AE3:AE27" si="3">IF(COUNT(Y3,AA3,AC3)=0,"",Y3*0.02+AA3*0.02+AC3*0.01)</f>
        <v>0.19</v>
      </c>
      <c r="AF3" s="55">
        <f t="shared" ref="AF3:AF27" si="4">IF(OR(O3="",X3="",AE3=""),"",(O3+X3+AE3)*20)</f>
        <v>71.8</v>
      </c>
      <c r="AG3" s="43" t="str">
        <f t="shared" ref="AG3:AG27" si="5">IF(AF3="","",IF(AF3&gt;=80,"STRONG BUY",IF(AF3&gt;=65,"BUY",IF(AF3&gt;=50,"WATCH LIST",IF(AF3&gt;=35,"AVOID","PASS")))))</f>
        <v>BUY</v>
      </c>
      <c r="AH3" s="43" t="str">
        <f t="shared" ref="AH3:AH27" si="6">IF(N3="","",IF(N3&lt;3,"FAIL","OK"))</f>
        <v>OK</v>
      </c>
      <c r="AI3" s="43" t="str">
        <f t="shared" ref="AI3:AI27" si="7">IF(COUNT(D3:L3)=0,"",IF(COUNTIF(D3:L3,1)&gt;0,"REVIEW","OK"))</f>
        <v>OK</v>
      </c>
      <c r="AJ3" s="43" t="str">
        <f t="shared" ref="AJ3:AJ27" si="8">IF(COUNT(D3:L3)=0,"",IF(COUNTIF(D3:L3,"&lt;=2")&gt;=2,"AVOID","OK"))</f>
        <v>OK</v>
      </c>
      <c r="AK3" s="43" t="str">
        <f t="shared" ref="AK3:AK27" si="9">IF(COUNTA(E3:M3)=0,"",IF(COUNTIF(E3:M3,"L")&gt;=2,"CAP AT BUY","OK"))</f>
        <v>OK</v>
      </c>
    </row>
    <row r="4" spans="1:37" ht="15" customHeight="1" x14ac:dyDescent="0.2">
      <c r="A4" s="37" t="s">
        <v>111</v>
      </c>
      <c r="B4" s="37" t="s">
        <v>112</v>
      </c>
      <c r="C4" s="41">
        <v>46240</v>
      </c>
      <c r="D4" s="37">
        <v>3</v>
      </c>
      <c r="E4" s="37" t="s">
        <v>203</v>
      </c>
      <c r="F4" s="37">
        <v>4</v>
      </c>
      <c r="G4" s="37" t="s">
        <v>204</v>
      </c>
      <c r="H4" s="37">
        <v>5</v>
      </c>
      <c r="I4" s="37" t="s">
        <v>204</v>
      </c>
      <c r="J4" s="37">
        <v>4</v>
      </c>
      <c r="K4" s="37" t="s">
        <v>203</v>
      </c>
      <c r="L4" s="37">
        <v>5</v>
      </c>
      <c r="M4" s="37" t="s">
        <v>204</v>
      </c>
      <c r="N4" s="53">
        <f t="shared" si="0"/>
        <v>4.0714285714285721</v>
      </c>
      <c r="O4" s="54">
        <f t="shared" si="1"/>
        <v>2.85</v>
      </c>
      <c r="P4" s="37">
        <v>4</v>
      </c>
      <c r="Q4" s="37" t="s">
        <v>204</v>
      </c>
      <c r="R4" s="37">
        <v>4</v>
      </c>
      <c r="S4" s="37" t="s">
        <v>205</v>
      </c>
      <c r="T4" s="37">
        <v>4</v>
      </c>
      <c r="U4" s="37" t="s">
        <v>203</v>
      </c>
      <c r="V4" s="37">
        <v>4</v>
      </c>
      <c r="W4" s="37" t="s">
        <v>203</v>
      </c>
      <c r="X4" s="54">
        <f t="shared" si="2"/>
        <v>1</v>
      </c>
      <c r="Y4" s="37">
        <v>3</v>
      </c>
      <c r="Z4" s="37" t="s">
        <v>203</v>
      </c>
      <c r="AA4" s="37">
        <v>5</v>
      </c>
      <c r="AB4" s="37" t="s">
        <v>204</v>
      </c>
      <c r="AC4" s="37">
        <v>3</v>
      </c>
      <c r="AD4" s="37" t="s">
        <v>203</v>
      </c>
      <c r="AE4" s="54">
        <f t="shared" si="3"/>
        <v>0.19</v>
      </c>
      <c r="AF4" s="55">
        <f t="shared" si="4"/>
        <v>80.8</v>
      </c>
      <c r="AG4" s="43" t="str">
        <f t="shared" si="5"/>
        <v>STRONG BUY</v>
      </c>
      <c r="AH4" s="43" t="str">
        <f t="shared" si="6"/>
        <v>OK</v>
      </c>
      <c r="AI4" s="43" t="str">
        <f t="shared" si="7"/>
        <v>OK</v>
      </c>
      <c r="AJ4" s="43" t="str">
        <f t="shared" si="8"/>
        <v>OK</v>
      </c>
      <c r="AK4" s="43" t="str">
        <f t="shared" si="9"/>
        <v>OK</v>
      </c>
    </row>
    <row r="5" spans="1:37" ht="15" customHeight="1" x14ac:dyDescent="0.2">
      <c r="A5" s="37" t="s">
        <v>87</v>
      </c>
      <c r="B5" s="37" t="s">
        <v>88</v>
      </c>
      <c r="C5" s="41">
        <v>46240</v>
      </c>
      <c r="D5" s="37">
        <v>2</v>
      </c>
      <c r="E5" s="37" t="s">
        <v>204</v>
      </c>
      <c r="F5" s="37">
        <v>5</v>
      </c>
      <c r="G5" s="37" t="s">
        <v>204</v>
      </c>
      <c r="H5" s="37">
        <v>5</v>
      </c>
      <c r="I5" s="37" t="s">
        <v>203</v>
      </c>
      <c r="J5" s="37">
        <v>4</v>
      </c>
      <c r="K5" s="37" t="s">
        <v>203</v>
      </c>
      <c r="L5" s="37">
        <v>5</v>
      </c>
      <c r="M5" s="37" t="s">
        <v>204</v>
      </c>
      <c r="N5" s="53">
        <f t="shared" si="0"/>
        <v>4</v>
      </c>
      <c r="O5" s="54">
        <f t="shared" si="1"/>
        <v>2.8</v>
      </c>
      <c r="P5" s="37">
        <v>3</v>
      </c>
      <c r="Q5" s="37" t="s">
        <v>203</v>
      </c>
      <c r="R5" s="37">
        <v>5</v>
      </c>
      <c r="S5" s="37" t="s">
        <v>204</v>
      </c>
      <c r="T5" s="37">
        <v>3</v>
      </c>
      <c r="U5" s="37" t="s">
        <v>203</v>
      </c>
      <c r="V5" s="37">
        <v>2</v>
      </c>
      <c r="W5" s="37" t="s">
        <v>203</v>
      </c>
      <c r="X5" s="54">
        <f t="shared" si="2"/>
        <v>0.79</v>
      </c>
      <c r="Y5" s="37">
        <v>3</v>
      </c>
      <c r="Z5" s="37" t="s">
        <v>205</v>
      </c>
      <c r="AA5" s="37">
        <v>4</v>
      </c>
      <c r="AB5" s="37" t="s">
        <v>203</v>
      </c>
      <c r="AC5" s="37">
        <v>3</v>
      </c>
      <c r="AD5" s="37" t="s">
        <v>205</v>
      </c>
      <c r="AE5" s="54">
        <f t="shared" si="3"/>
        <v>0.17</v>
      </c>
      <c r="AF5" s="55">
        <f t="shared" si="4"/>
        <v>75.199999999999989</v>
      </c>
      <c r="AG5" s="43" t="str">
        <f t="shared" si="5"/>
        <v>BUY</v>
      </c>
      <c r="AH5" s="43" t="str">
        <f t="shared" si="6"/>
        <v>OK</v>
      </c>
      <c r="AI5" s="43" t="str">
        <f t="shared" si="7"/>
        <v>OK</v>
      </c>
      <c r="AJ5" s="43" t="str">
        <f t="shared" si="8"/>
        <v>OK</v>
      </c>
      <c r="AK5" s="43" t="str">
        <f t="shared" si="9"/>
        <v>OK</v>
      </c>
    </row>
    <row r="6" spans="1:37" ht="15" customHeight="1" x14ac:dyDescent="0.2">
      <c r="A6" s="37" t="s">
        <v>85</v>
      </c>
      <c r="B6" s="37" t="s">
        <v>86</v>
      </c>
      <c r="C6" s="41">
        <v>46240</v>
      </c>
      <c r="D6" s="37">
        <v>4</v>
      </c>
      <c r="E6" s="37" t="s">
        <v>204</v>
      </c>
      <c r="F6" s="37">
        <v>5</v>
      </c>
      <c r="G6" s="37" t="s">
        <v>204</v>
      </c>
      <c r="H6" s="37">
        <v>5</v>
      </c>
      <c r="I6" s="37" t="s">
        <v>204</v>
      </c>
      <c r="J6" s="37">
        <v>4</v>
      </c>
      <c r="K6" s="37" t="s">
        <v>204</v>
      </c>
      <c r="L6" s="37">
        <v>5</v>
      </c>
      <c r="M6" s="37" t="s">
        <v>204</v>
      </c>
      <c r="N6" s="53">
        <f t="shared" si="0"/>
        <v>4.5714285714285712</v>
      </c>
      <c r="O6" s="54">
        <f t="shared" si="1"/>
        <v>3.1999999999999997</v>
      </c>
      <c r="P6" s="37">
        <v>5</v>
      </c>
      <c r="Q6" s="37" t="s">
        <v>204</v>
      </c>
      <c r="R6" s="37">
        <v>5</v>
      </c>
      <c r="S6" s="37" t="s">
        <v>204</v>
      </c>
      <c r="T6" s="37">
        <v>5</v>
      </c>
      <c r="U6" s="37" t="s">
        <v>204</v>
      </c>
      <c r="V6" s="37">
        <v>5</v>
      </c>
      <c r="W6" s="37" t="s">
        <v>203</v>
      </c>
      <c r="X6" s="54">
        <f t="shared" si="2"/>
        <v>1.25</v>
      </c>
      <c r="Y6" s="37">
        <v>4</v>
      </c>
      <c r="Z6" s="37" t="s">
        <v>203</v>
      </c>
      <c r="AA6" s="37">
        <v>5</v>
      </c>
      <c r="AB6" s="37" t="s">
        <v>203</v>
      </c>
      <c r="AC6" s="37">
        <v>3</v>
      </c>
      <c r="AD6" s="37" t="s">
        <v>205</v>
      </c>
      <c r="AE6" s="54">
        <f t="shared" si="3"/>
        <v>0.21</v>
      </c>
      <c r="AF6" s="55">
        <f t="shared" si="4"/>
        <v>93.199999999999989</v>
      </c>
      <c r="AG6" s="43" t="str">
        <f t="shared" si="5"/>
        <v>STRONG BUY</v>
      </c>
      <c r="AH6" s="43" t="str">
        <f t="shared" si="6"/>
        <v>OK</v>
      </c>
      <c r="AI6" s="43" t="str">
        <f t="shared" si="7"/>
        <v>OK</v>
      </c>
      <c r="AJ6" s="43" t="str">
        <f t="shared" si="8"/>
        <v>OK</v>
      </c>
      <c r="AK6" s="43" t="str">
        <f t="shared" si="9"/>
        <v>OK</v>
      </c>
    </row>
    <row r="7" spans="1:37" ht="15" customHeight="1" x14ac:dyDescent="0.2">
      <c r="A7" s="37" t="s">
        <v>113</v>
      </c>
      <c r="B7" s="37" t="s">
        <v>114</v>
      </c>
      <c r="C7" s="41">
        <v>46241</v>
      </c>
      <c r="D7" s="37">
        <v>4</v>
      </c>
      <c r="E7" s="37" t="s">
        <v>204</v>
      </c>
      <c r="F7" s="37">
        <v>3</v>
      </c>
      <c r="G7" s="37" t="s">
        <v>203</v>
      </c>
      <c r="H7" s="37">
        <v>4</v>
      </c>
      <c r="I7" s="37" t="s">
        <v>203</v>
      </c>
      <c r="J7" s="37">
        <v>4</v>
      </c>
      <c r="K7" s="37" t="s">
        <v>203</v>
      </c>
      <c r="L7" s="37">
        <v>4</v>
      </c>
      <c r="M7" s="37" t="s">
        <v>204</v>
      </c>
      <c r="N7" s="53">
        <f t="shared" si="0"/>
        <v>3.785714285714286</v>
      </c>
      <c r="O7" s="54">
        <f t="shared" si="1"/>
        <v>2.65</v>
      </c>
      <c r="P7" s="37">
        <v>3</v>
      </c>
      <c r="Q7" s="37" t="s">
        <v>203</v>
      </c>
      <c r="R7" s="37">
        <v>4</v>
      </c>
      <c r="S7" s="37" t="s">
        <v>203</v>
      </c>
      <c r="T7" s="37">
        <v>4</v>
      </c>
      <c r="U7" s="37" t="s">
        <v>203</v>
      </c>
      <c r="V7" s="37">
        <v>4</v>
      </c>
      <c r="W7" s="37" t="s">
        <v>203</v>
      </c>
      <c r="X7" s="54">
        <f t="shared" si="2"/>
        <v>0.91999999999999993</v>
      </c>
      <c r="Y7" s="37">
        <v>4</v>
      </c>
      <c r="Z7" s="37" t="s">
        <v>203</v>
      </c>
      <c r="AA7" s="37">
        <v>5</v>
      </c>
      <c r="AB7" s="37" t="s">
        <v>204</v>
      </c>
      <c r="AC7" s="37">
        <v>3</v>
      </c>
      <c r="AD7" s="37" t="s">
        <v>205</v>
      </c>
      <c r="AE7" s="54">
        <f t="shared" si="3"/>
        <v>0.21</v>
      </c>
      <c r="AF7" s="55">
        <f t="shared" si="4"/>
        <v>75.599999999999994</v>
      </c>
      <c r="AG7" s="43" t="str">
        <f t="shared" si="5"/>
        <v>BUY</v>
      </c>
      <c r="AH7" s="43" t="str">
        <f t="shared" si="6"/>
        <v>OK</v>
      </c>
      <c r="AI7" s="43" t="str">
        <f t="shared" si="7"/>
        <v>OK</v>
      </c>
      <c r="AJ7" s="43" t="str">
        <f t="shared" si="8"/>
        <v>OK</v>
      </c>
      <c r="AK7" s="43" t="str">
        <f t="shared" si="9"/>
        <v>OK</v>
      </c>
    </row>
    <row r="8" spans="1:37" ht="15" customHeight="1" x14ac:dyDescent="0.2">
      <c r="A8" s="37" t="s">
        <v>120</v>
      </c>
      <c r="B8" s="37" t="s">
        <v>206</v>
      </c>
      <c r="C8" s="41">
        <v>46240</v>
      </c>
      <c r="D8" s="37">
        <v>4</v>
      </c>
      <c r="E8" s="37" t="s">
        <v>203</v>
      </c>
      <c r="F8" s="37">
        <v>4</v>
      </c>
      <c r="G8" s="37" t="s">
        <v>203</v>
      </c>
      <c r="H8" s="37">
        <v>5</v>
      </c>
      <c r="I8" s="37" t="s">
        <v>204</v>
      </c>
      <c r="J8" s="37">
        <v>4</v>
      </c>
      <c r="K8" s="37" t="s">
        <v>203</v>
      </c>
      <c r="L8" s="37">
        <v>5</v>
      </c>
      <c r="M8" s="37" t="s">
        <v>204</v>
      </c>
      <c r="N8" s="53">
        <f t="shared" si="0"/>
        <v>4.3571428571428568</v>
      </c>
      <c r="O8" s="54">
        <f t="shared" si="1"/>
        <v>3.05</v>
      </c>
      <c r="P8" s="37">
        <v>5</v>
      </c>
      <c r="Q8" s="37" t="s">
        <v>204</v>
      </c>
      <c r="R8" s="37">
        <v>3</v>
      </c>
      <c r="S8" s="37" t="s">
        <v>205</v>
      </c>
      <c r="T8" s="37">
        <v>4</v>
      </c>
      <c r="U8" s="37" t="s">
        <v>205</v>
      </c>
      <c r="V8" s="37">
        <v>2</v>
      </c>
      <c r="W8" s="37" t="s">
        <v>204</v>
      </c>
      <c r="X8" s="54">
        <f t="shared" si="2"/>
        <v>0.8600000000000001</v>
      </c>
      <c r="Y8" s="37">
        <v>4</v>
      </c>
      <c r="Z8" s="37" t="s">
        <v>205</v>
      </c>
      <c r="AA8" s="37">
        <v>4</v>
      </c>
      <c r="AB8" s="37" t="s">
        <v>203</v>
      </c>
      <c r="AC8" s="37">
        <v>3</v>
      </c>
      <c r="AD8" s="37" t="s">
        <v>205</v>
      </c>
      <c r="AE8" s="54">
        <f t="shared" si="3"/>
        <v>0.19</v>
      </c>
      <c r="AF8" s="55">
        <f t="shared" si="4"/>
        <v>82.000000000000014</v>
      </c>
      <c r="AG8" s="43" t="str">
        <f t="shared" si="5"/>
        <v>STRONG BUY</v>
      </c>
      <c r="AH8" s="43" t="str">
        <f t="shared" si="6"/>
        <v>OK</v>
      </c>
      <c r="AI8" s="43" t="str">
        <f t="shared" si="7"/>
        <v>OK</v>
      </c>
      <c r="AJ8" s="43" t="str">
        <f t="shared" si="8"/>
        <v>OK</v>
      </c>
      <c r="AK8" s="43" t="str">
        <f t="shared" si="9"/>
        <v>OK</v>
      </c>
    </row>
    <row r="9" spans="1:37" ht="15" customHeight="1" x14ac:dyDescent="0.2">
      <c r="A9" s="37" t="s">
        <v>122</v>
      </c>
      <c r="B9" s="37" t="s">
        <v>123</v>
      </c>
      <c r="C9" s="41">
        <v>46240</v>
      </c>
      <c r="D9" s="37">
        <v>2</v>
      </c>
      <c r="E9" s="37" t="s">
        <v>203</v>
      </c>
      <c r="F9" s="37">
        <v>2</v>
      </c>
      <c r="G9" s="37" t="s">
        <v>203</v>
      </c>
      <c r="H9" s="37">
        <v>2</v>
      </c>
      <c r="I9" s="37" t="s">
        <v>203</v>
      </c>
      <c r="J9" s="37">
        <v>2</v>
      </c>
      <c r="K9" s="37" t="s">
        <v>203</v>
      </c>
      <c r="L9" s="37">
        <v>1</v>
      </c>
      <c r="M9" s="37" t="s">
        <v>204</v>
      </c>
      <c r="N9" s="53">
        <f t="shared" si="0"/>
        <v>1.8571428571428574</v>
      </c>
      <c r="O9" s="54">
        <f t="shared" si="1"/>
        <v>1.3</v>
      </c>
      <c r="P9" s="37"/>
      <c r="Q9" s="37"/>
      <c r="R9" s="37"/>
      <c r="S9" s="37"/>
      <c r="T9" s="37"/>
      <c r="U9" s="37"/>
      <c r="V9" s="37"/>
      <c r="W9" s="37"/>
      <c r="X9" s="54" t="str">
        <f t="shared" si="2"/>
        <v/>
      </c>
      <c r="Y9" s="37"/>
      <c r="Z9" s="37"/>
      <c r="AA9" s="37"/>
      <c r="AB9" s="37"/>
      <c r="AC9" s="37"/>
      <c r="AD9" s="37"/>
      <c r="AE9" s="54" t="str">
        <f t="shared" si="3"/>
        <v/>
      </c>
      <c r="AF9" s="55" t="str">
        <f t="shared" si="4"/>
        <v/>
      </c>
      <c r="AG9" s="43" t="str">
        <f t="shared" si="5"/>
        <v/>
      </c>
      <c r="AH9" s="43" t="str">
        <f t="shared" si="6"/>
        <v>FAIL</v>
      </c>
      <c r="AI9" s="43" t="str">
        <f t="shared" si="7"/>
        <v>REVIEW</v>
      </c>
      <c r="AJ9" s="43" t="str">
        <f t="shared" si="8"/>
        <v>AVOID</v>
      </c>
      <c r="AK9" s="43" t="str">
        <f t="shared" si="9"/>
        <v>OK</v>
      </c>
    </row>
    <row r="10" spans="1:37" ht="15" customHeight="1" x14ac:dyDescent="0.2">
      <c r="A10" s="37" t="s">
        <v>132</v>
      </c>
      <c r="B10" s="37" t="s">
        <v>133</v>
      </c>
      <c r="C10" s="41">
        <v>46240</v>
      </c>
      <c r="D10" s="37">
        <v>2</v>
      </c>
      <c r="E10" s="37" t="s">
        <v>203</v>
      </c>
      <c r="F10" s="37">
        <v>4</v>
      </c>
      <c r="G10" s="37" t="s">
        <v>204</v>
      </c>
      <c r="H10" s="37">
        <v>3</v>
      </c>
      <c r="I10" s="37" t="s">
        <v>203</v>
      </c>
      <c r="J10" s="37">
        <v>2</v>
      </c>
      <c r="K10" s="37" t="s">
        <v>203</v>
      </c>
      <c r="L10" s="37">
        <v>2</v>
      </c>
      <c r="M10" s="37" t="s">
        <v>204</v>
      </c>
      <c r="N10" s="53">
        <f t="shared" si="0"/>
        <v>2.6428571428571428</v>
      </c>
      <c r="O10" s="54">
        <f t="shared" si="1"/>
        <v>1.8499999999999999</v>
      </c>
      <c r="P10" s="37"/>
      <c r="Q10" s="37"/>
      <c r="R10" s="37"/>
      <c r="S10" s="37"/>
      <c r="T10" s="37"/>
      <c r="U10" s="37"/>
      <c r="V10" s="37"/>
      <c r="W10" s="37"/>
      <c r="X10" s="54" t="str">
        <f t="shared" si="2"/>
        <v/>
      </c>
      <c r="Y10" s="37"/>
      <c r="Z10" s="37"/>
      <c r="AA10" s="37"/>
      <c r="AB10" s="37"/>
      <c r="AC10" s="37"/>
      <c r="AD10" s="37"/>
      <c r="AE10" s="54" t="str">
        <f t="shared" si="3"/>
        <v/>
      </c>
      <c r="AF10" s="55" t="str">
        <f t="shared" si="4"/>
        <v/>
      </c>
      <c r="AG10" s="43" t="str">
        <f t="shared" si="5"/>
        <v/>
      </c>
      <c r="AH10" s="43" t="str">
        <f t="shared" si="6"/>
        <v>FAIL</v>
      </c>
      <c r="AI10" s="43" t="str">
        <f t="shared" si="7"/>
        <v>OK</v>
      </c>
      <c r="AJ10" s="43" t="str">
        <f t="shared" si="8"/>
        <v>AVOID</v>
      </c>
      <c r="AK10" s="43" t="str">
        <f t="shared" si="9"/>
        <v>OK</v>
      </c>
    </row>
    <row r="11" spans="1:37" ht="15" customHeight="1" x14ac:dyDescent="0.2">
      <c r="A11" s="37" t="s">
        <v>125</v>
      </c>
      <c r="B11" s="37" t="s">
        <v>126</v>
      </c>
      <c r="C11" s="41">
        <v>46240</v>
      </c>
      <c r="D11" s="37">
        <v>1</v>
      </c>
      <c r="E11" s="37" t="s">
        <v>204</v>
      </c>
      <c r="F11" s="37">
        <v>2</v>
      </c>
      <c r="G11" s="37" t="s">
        <v>203</v>
      </c>
      <c r="H11" s="37">
        <v>3</v>
      </c>
      <c r="I11" s="37" t="s">
        <v>203</v>
      </c>
      <c r="J11" s="37">
        <v>3</v>
      </c>
      <c r="K11" s="37" t="s">
        <v>203</v>
      </c>
      <c r="L11" s="37">
        <v>1</v>
      </c>
      <c r="M11" s="37" t="s">
        <v>204</v>
      </c>
      <c r="N11" s="53">
        <f t="shared" si="0"/>
        <v>1.9285714285714288</v>
      </c>
      <c r="O11" s="54">
        <f t="shared" si="1"/>
        <v>1.35</v>
      </c>
      <c r="P11" s="37"/>
      <c r="Q11" s="37"/>
      <c r="R11" s="37"/>
      <c r="S11" s="37"/>
      <c r="T11" s="37"/>
      <c r="U11" s="37"/>
      <c r="V11" s="37"/>
      <c r="W11" s="37"/>
      <c r="X11" s="54" t="str">
        <f t="shared" si="2"/>
        <v/>
      </c>
      <c r="Y11" s="37"/>
      <c r="Z11" s="37"/>
      <c r="AA11" s="37"/>
      <c r="AB11" s="37"/>
      <c r="AC11" s="37"/>
      <c r="AD11" s="37"/>
      <c r="AE11" s="54" t="str">
        <f t="shared" si="3"/>
        <v/>
      </c>
      <c r="AF11" s="55" t="str">
        <f t="shared" si="4"/>
        <v/>
      </c>
      <c r="AG11" s="43" t="str">
        <f t="shared" si="5"/>
        <v/>
      </c>
      <c r="AH11" s="43" t="str">
        <f t="shared" si="6"/>
        <v>FAIL</v>
      </c>
      <c r="AI11" s="43" t="str">
        <f t="shared" si="7"/>
        <v>REVIEW</v>
      </c>
      <c r="AJ11" s="43" t="str">
        <f t="shared" si="8"/>
        <v>AVOID</v>
      </c>
      <c r="AK11" s="43" t="str">
        <f t="shared" si="9"/>
        <v>OK</v>
      </c>
    </row>
    <row r="12" spans="1:37" ht="15" customHeight="1" x14ac:dyDescent="0.2">
      <c r="A12" s="37" t="s">
        <v>71</v>
      </c>
      <c r="B12" s="37" t="s">
        <v>72</v>
      </c>
      <c r="C12" s="41">
        <v>46240</v>
      </c>
      <c r="D12" s="37">
        <v>5</v>
      </c>
      <c r="E12" s="37" t="s">
        <v>204</v>
      </c>
      <c r="F12" s="37">
        <v>4</v>
      </c>
      <c r="G12" s="37" t="s">
        <v>204</v>
      </c>
      <c r="H12" s="37">
        <v>4</v>
      </c>
      <c r="I12" s="37" t="s">
        <v>203</v>
      </c>
      <c r="J12" s="37">
        <v>5</v>
      </c>
      <c r="K12" s="37" t="s">
        <v>204</v>
      </c>
      <c r="L12" s="37">
        <v>5</v>
      </c>
      <c r="M12" s="37" t="s">
        <v>204</v>
      </c>
      <c r="N12" s="53">
        <f t="shared" si="0"/>
        <v>4.5714285714285721</v>
      </c>
      <c r="O12" s="54">
        <f t="shared" si="1"/>
        <v>3.2</v>
      </c>
      <c r="P12" s="37">
        <v>3</v>
      </c>
      <c r="Q12" s="37" t="s">
        <v>203</v>
      </c>
      <c r="R12" s="37">
        <v>5</v>
      </c>
      <c r="S12" s="37" t="s">
        <v>204</v>
      </c>
      <c r="T12" s="37">
        <v>1</v>
      </c>
      <c r="U12" s="37" t="s">
        <v>204</v>
      </c>
      <c r="V12" s="37">
        <v>5</v>
      </c>
      <c r="W12" s="37" t="s">
        <v>204</v>
      </c>
      <c r="X12" s="54">
        <f t="shared" si="2"/>
        <v>0.97000000000000008</v>
      </c>
      <c r="Y12" s="37">
        <v>2</v>
      </c>
      <c r="Z12" s="37" t="s">
        <v>203</v>
      </c>
      <c r="AA12" s="37">
        <v>3</v>
      </c>
      <c r="AB12" s="37" t="s">
        <v>203</v>
      </c>
      <c r="AC12" s="37">
        <v>2</v>
      </c>
      <c r="AD12" s="37" t="s">
        <v>205</v>
      </c>
      <c r="AE12" s="54">
        <f t="shared" si="3"/>
        <v>0.12000000000000001</v>
      </c>
      <c r="AF12" s="55">
        <f t="shared" si="4"/>
        <v>85.8</v>
      </c>
      <c r="AG12" s="43" t="str">
        <f t="shared" si="5"/>
        <v>STRONG BUY</v>
      </c>
      <c r="AH12" s="43" t="str">
        <f t="shared" si="6"/>
        <v>OK</v>
      </c>
      <c r="AI12" s="43" t="str">
        <f t="shared" si="7"/>
        <v>OK</v>
      </c>
      <c r="AJ12" s="43" t="str">
        <f t="shared" si="8"/>
        <v>OK</v>
      </c>
      <c r="AK12" s="43" t="str">
        <f t="shared" si="9"/>
        <v>OK</v>
      </c>
    </row>
    <row r="13" spans="1:37" ht="15" customHeight="1" x14ac:dyDescent="0.2">
      <c r="A13" s="37" t="s">
        <v>75</v>
      </c>
      <c r="B13" s="37" t="s">
        <v>76</v>
      </c>
      <c r="C13" s="41">
        <v>46240</v>
      </c>
      <c r="D13" s="37">
        <v>4</v>
      </c>
      <c r="E13" s="37" t="s">
        <v>203</v>
      </c>
      <c r="F13" s="37">
        <v>5</v>
      </c>
      <c r="G13" s="37" t="s">
        <v>204</v>
      </c>
      <c r="H13" s="37">
        <v>5</v>
      </c>
      <c r="I13" s="37" t="s">
        <v>204</v>
      </c>
      <c r="J13" s="37">
        <v>4</v>
      </c>
      <c r="K13" s="37" t="s">
        <v>203</v>
      </c>
      <c r="L13" s="37">
        <v>5</v>
      </c>
      <c r="M13" s="37" t="s">
        <v>204</v>
      </c>
      <c r="N13" s="53">
        <f t="shared" si="0"/>
        <v>4.5714285714285712</v>
      </c>
      <c r="O13" s="54">
        <f t="shared" si="1"/>
        <v>3.1999999999999997</v>
      </c>
      <c r="P13" s="37">
        <v>4</v>
      </c>
      <c r="Q13" s="37" t="s">
        <v>204</v>
      </c>
      <c r="R13" s="37">
        <v>5</v>
      </c>
      <c r="S13" s="37" t="s">
        <v>204</v>
      </c>
      <c r="T13" s="37">
        <v>5</v>
      </c>
      <c r="U13" s="37" t="s">
        <v>203</v>
      </c>
      <c r="V13" s="37">
        <v>1</v>
      </c>
      <c r="W13" s="37" t="s">
        <v>204</v>
      </c>
      <c r="X13" s="54">
        <f t="shared" si="2"/>
        <v>0.85</v>
      </c>
      <c r="Y13" s="37">
        <v>4</v>
      </c>
      <c r="Z13" s="37" t="s">
        <v>203</v>
      </c>
      <c r="AA13" s="37">
        <v>5</v>
      </c>
      <c r="AB13" s="37" t="s">
        <v>204</v>
      </c>
      <c r="AC13" s="37">
        <v>2</v>
      </c>
      <c r="AD13" s="37" t="s">
        <v>203</v>
      </c>
      <c r="AE13" s="54">
        <f t="shared" si="3"/>
        <v>0.19999999999999998</v>
      </c>
      <c r="AF13" s="55">
        <f t="shared" si="4"/>
        <v>85</v>
      </c>
      <c r="AG13" s="43" t="str">
        <f t="shared" si="5"/>
        <v>STRONG BUY</v>
      </c>
      <c r="AH13" s="43" t="str">
        <f t="shared" si="6"/>
        <v>OK</v>
      </c>
      <c r="AI13" s="43" t="str">
        <f t="shared" si="7"/>
        <v>OK</v>
      </c>
      <c r="AJ13" s="43" t="str">
        <f t="shared" si="8"/>
        <v>OK</v>
      </c>
      <c r="AK13" s="43" t="str">
        <f t="shared" si="9"/>
        <v>OK</v>
      </c>
    </row>
    <row r="14" spans="1:37" ht="15" customHeight="1" x14ac:dyDescent="0.2">
      <c r="A14" s="37" t="s">
        <v>77</v>
      </c>
      <c r="B14" s="37" t="s">
        <v>78</v>
      </c>
      <c r="C14" s="41">
        <v>46240</v>
      </c>
      <c r="D14" s="37">
        <v>3</v>
      </c>
      <c r="E14" s="37" t="s">
        <v>203</v>
      </c>
      <c r="F14" s="37">
        <v>3</v>
      </c>
      <c r="G14" s="37" t="s">
        <v>203</v>
      </c>
      <c r="H14" s="37">
        <v>5</v>
      </c>
      <c r="I14" s="37" t="s">
        <v>204</v>
      </c>
      <c r="J14" s="37">
        <v>4</v>
      </c>
      <c r="K14" s="37" t="s">
        <v>203</v>
      </c>
      <c r="L14" s="37">
        <v>3</v>
      </c>
      <c r="M14" s="37" t="s">
        <v>203</v>
      </c>
      <c r="N14" s="53">
        <f t="shared" si="0"/>
        <v>3.5714285714285716</v>
      </c>
      <c r="O14" s="54">
        <f t="shared" si="1"/>
        <v>2.5</v>
      </c>
      <c r="P14" s="37">
        <v>4</v>
      </c>
      <c r="Q14" s="37" t="s">
        <v>203</v>
      </c>
      <c r="R14" s="37">
        <v>5</v>
      </c>
      <c r="S14" s="37" t="s">
        <v>204</v>
      </c>
      <c r="T14" s="37">
        <v>5</v>
      </c>
      <c r="U14" s="37" t="s">
        <v>204</v>
      </c>
      <c r="V14" s="37">
        <v>2</v>
      </c>
      <c r="W14" s="37" t="s">
        <v>203</v>
      </c>
      <c r="X14" s="54">
        <f t="shared" si="2"/>
        <v>0.93</v>
      </c>
      <c r="Y14" s="37">
        <v>5</v>
      </c>
      <c r="Z14" s="37" t="s">
        <v>203</v>
      </c>
      <c r="AA14" s="37">
        <v>5</v>
      </c>
      <c r="AB14" s="37" t="s">
        <v>204</v>
      </c>
      <c r="AC14" s="37">
        <v>3</v>
      </c>
      <c r="AD14" s="37" t="s">
        <v>205</v>
      </c>
      <c r="AE14" s="54">
        <f t="shared" si="3"/>
        <v>0.23</v>
      </c>
      <c r="AF14" s="55">
        <f t="shared" si="4"/>
        <v>73.2</v>
      </c>
      <c r="AG14" s="43" t="str">
        <f t="shared" si="5"/>
        <v>BUY</v>
      </c>
      <c r="AH14" s="43" t="str">
        <f t="shared" si="6"/>
        <v>OK</v>
      </c>
      <c r="AI14" s="43" t="str">
        <f t="shared" si="7"/>
        <v>OK</v>
      </c>
      <c r="AJ14" s="43" t="str">
        <f t="shared" si="8"/>
        <v>OK</v>
      </c>
      <c r="AK14" s="43" t="str">
        <f t="shared" si="9"/>
        <v>OK</v>
      </c>
    </row>
    <row r="15" spans="1:37" ht="15" customHeight="1" x14ac:dyDescent="0.2">
      <c r="A15" s="37" t="s">
        <v>79</v>
      </c>
      <c r="B15" s="37" t="s">
        <v>80</v>
      </c>
      <c r="C15" s="41">
        <v>46240</v>
      </c>
      <c r="D15" s="37">
        <v>3</v>
      </c>
      <c r="E15" s="37" t="s">
        <v>203</v>
      </c>
      <c r="F15" s="37">
        <v>4</v>
      </c>
      <c r="G15" s="37" t="s">
        <v>203</v>
      </c>
      <c r="H15" s="37">
        <v>4</v>
      </c>
      <c r="I15" s="37" t="s">
        <v>203</v>
      </c>
      <c r="J15" s="37">
        <v>5</v>
      </c>
      <c r="K15" s="37" t="s">
        <v>204</v>
      </c>
      <c r="L15" s="37">
        <v>5</v>
      </c>
      <c r="M15" s="37" t="s">
        <v>204</v>
      </c>
      <c r="N15" s="53">
        <f t="shared" si="0"/>
        <v>4.0000000000000009</v>
      </c>
      <c r="O15" s="54">
        <f t="shared" si="1"/>
        <v>2.8000000000000003</v>
      </c>
      <c r="P15" s="37">
        <v>3</v>
      </c>
      <c r="Q15" s="37" t="s">
        <v>203</v>
      </c>
      <c r="R15" s="37">
        <v>2</v>
      </c>
      <c r="S15" s="37" t="s">
        <v>203</v>
      </c>
      <c r="T15" s="37">
        <v>4</v>
      </c>
      <c r="U15" s="37" t="s">
        <v>204</v>
      </c>
      <c r="V15" s="37">
        <v>1</v>
      </c>
      <c r="W15" s="37" t="s">
        <v>204</v>
      </c>
      <c r="X15" s="54">
        <f t="shared" si="2"/>
        <v>0.55999999999999994</v>
      </c>
      <c r="Y15" s="37">
        <v>4</v>
      </c>
      <c r="Z15" s="37" t="s">
        <v>203</v>
      </c>
      <c r="AA15" s="37">
        <v>3</v>
      </c>
      <c r="AB15" s="37" t="s">
        <v>203</v>
      </c>
      <c r="AC15" s="37">
        <v>2</v>
      </c>
      <c r="AD15" s="37" t="s">
        <v>203</v>
      </c>
      <c r="AE15" s="54">
        <f t="shared" si="3"/>
        <v>0.16</v>
      </c>
      <c r="AF15" s="55">
        <f t="shared" si="4"/>
        <v>70.400000000000006</v>
      </c>
      <c r="AG15" s="43" t="str">
        <f t="shared" si="5"/>
        <v>BUY</v>
      </c>
      <c r="AH15" s="43" t="str">
        <f t="shared" si="6"/>
        <v>OK</v>
      </c>
      <c r="AI15" s="43" t="str">
        <f t="shared" si="7"/>
        <v>OK</v>
      </c>
      <c r="AJ15" s="43" t="str">
        <f t="shared" si="8"/>
        <v>OK</v>
      </c>
      <c r="AK15" s="43" t="str">
        <f t="shared" si="9"/>
        <v>OK</v>
      </c>
    </row>
    <row r="16" spans="1:37" ht="15" customHeight="1" x14ac:dyDescent="0.2">
      <c r="A16" s="37" t="s">
        <v>81</v>
      </c>
      <c r="B16" s="37" t="s">
        <v>82</v>
      </c>
      <c r="C16" s="41">
        <v>46240</v>
      </c>
      <c r="D16" s="37">
        <v>2</v>
      </c>
      <c r="E16" s="37" t="s">
        <v>203</v>
      </c>
      <c r="F16" s="37">
        <v>3</v>
      </c>
      <c r="G16" s="37" t="s">
        <v>203</v>
      </c>
      <c r="H16" s="37">
        <v>5</v>
      </c>
      <c r="I16" s="37" t="s">
        <v>204</v>
      </c>
      <c r="J16" s="37">
        <v>3</v>
      </c>
      <c r="K16" s="37" t="s">
        <v>203</v>
      </c>
      <c r="L16" s="37">
        <v>5</v>
      </c>
      <c r="M16" s="37" t="s">
        <v>204</v>
      </c>
      <c r="N16" s="53">
        <f t="shared" si="0"/>
        <v>3.4285714285714293</v>
      </c>
      <c r="O16" s="54">
        <f t="shared" si="1"/>
        <v>2.4000000000000004</v>
      </c>
      <c r="P16" s="37">
        <v>4</v>
      </c>
      <c r="Q16" s="37" t="s">
        <v>204</v>
      </c>
      <c r="R16" s="37">
        <v>5</v>
      </c>
      <c r="S16" s="37" t="s">
        <v>204</v>
      </c>
      <c r="T16" s="37">
        <v>3</v>
      </c>
      <c r="U16" s="37" t="s">
        <v>203</v>
      </c>
      <c r="V16" s="37">
        <v>2</v>
      </c>
      <c r="W16" s="37" t="s">
        <v>203</v>
      </c>
      <c r="X16" s="54">
        <f t="shared" si="2"/>
        <v>0.87</v>
      </c>
      <c r="Y16" s="37">
        <v>2</v>
      </c>
      <c r="Z16" s="37" t="s">
        <v>203</v>
      </c>
      <c r="AA16" s="37">
        <v>5</v>
      </c>
      <c r="AB16" s="37" t="s">
        <v>204</v>
      </c>
      <c r="AC16" s="37">
        <v>2</v>
      </c>
      <c r="AD16" s="37" t="s">
        <v>205</v>
      </c>
      <c r="AE16" s="54">
        <f t="shared" si="3"/>
        <v>0.16</v>
      </c>
      <c r="AF16" s="55">
        <f t="shared" si="4"/>
        <v>68.600000000000009</v>
      </c>
      <c r="AG16" s="43" t="str">
        <f t="shared" si="5"/>
        <v>BUY</v>
      </c>
      <c r="AH16" s="43" t="str">
        <f t="shared" si="6"/>
        <v>OK</v>
      </c>
      <c r="AI16" s="43" t="str">
        <f t="shared" si="7"/>
        <v>OK</v>
      </c>
      <c r="AJ16" s="43" t="str">
        <f t="shared" si="8"/>
        <v>OK</v>
      </c>
      <c r="AK16" s="43" t="str">
        <f t="shared" si="9"/>
        <v>OK</v>
      </c>
    </row>
    <row r="17" spans="1:37" ht="15" customHeight="1" x14ac:dyDescent="0.2">
      <c r="A17" s="37" t="s">
        <v>89</v>
      </c>
      <c r="B17" s="37" t="s">
        <v>207</v>
      </c>
      <c r="C17" s="41">
        <v>46240</v>
      </c>
      <c r="D17" s="37">
        <v>3</v>
      </c>
      <c r="E17" s="37" t="s">
        <v>203</v>
      </c>
      <c r="F17" s="37">
        <v>5</v>
      </c>
      <c r="G17" s="37" t="s">
        <v>204</v>
      </c>
      <c r="H17" s="37">
        <v>5</v>
      </c>
      <c r="I17" s="37" t="s">
        <v>204</v>
      </c>
      <c r="J17" s="37">
        <v>4</v>
      </c>
      <c r="K17" s="37" t="s">
        <v>203</v>
      </c>
      <c r="L17" s="37">
        <v>3</v>
      </c>
      <c r="M17" s="37" t="s">
        <v>203</v>
      </c>
      <c r="N17" s="53">
        <f t="shared" si="0"/>
        <v>4</v>
      </c>
      <c r="O17" s="54">
        <f t="shared" si="1"/>
        <v>2.8</v>
      </c>
      <c r="P17" s="37">
        <v>4</v>
      </c>
      <c r="Q17" s="37" t="s">
        <v>204</v>
      </c>
      <c r="R17" s="37">
        <v>5</v>
      </c>
      <c r="S17" s="37" t="s">
        <v>204</v>
      </c>
      <c r="T17" s="37">
        <v>4</v>
      </c>
      <c r="U17" s="37" t="s">
        <v>203</v>
      </c>
      <c r="V17" s="37">
        <v>4</v>
      </c>
      <c r="W17" s="37" t="s">
        <v>203</v>
      </c>
      <c r="X17" s="54">
        <f t="shared" si="2"/>
        <v>1.06</v>
      </c>
      <c r="Y17" s="37">
        <v>3</v>
      </c>
      <c r="Z17" s="37" t="s">
        <v>203</v>
      </c>
      <c r="AA17" s="37">
        <v>5</v>
      </c>
      <c r="AB17" s="37" t="s">
        <v>204</v>
      </c>
      <c r="AC17" s="37">
        <v>3</v>
      </c>
      <c r="AD17" s="37" t="s">
        <v>205</v>
      </c>
      <c r="AE17" s="54">
        <f t="shared" si="3"/>
        <v>0.19</v>
      </c>
      <c r="AF17" s="55">
        <f t="shared" si="4"/>
        <v>81</v>
      </c>
      <c r="AG17" s="43" t="str">
        <f t="shared" si="5"/>
        <v>STRONG BUY</v>
      </c>
      <c r="AH17" s="43" t="str">
        <f t="shared" si="6"/>
        <v>OK</v>
      </c>
      <c r="AI17" s="43" t="str">
        <f t="shared" si="7"/>
        <v>OK</v>
      </c>
      <c r="AJ17" s="43" t="str">
        <f t="shared" si="8"/>
        <v>OK</v>
      </c>
      <c r="AK17" s="43" t="str">
        <f t="shared" si="9"/>
        <v>OK</v>
      </c>
    </row>
    <row r="18" spans="1:37" ht="15" customHeight="1" x14ac:dyDescent="0.2">
      <c r="A18" s="37" t="s">
        <v>91</v>
      </c>
      <c r="B18" s="37" t="s">
        <v>92</v>
      </c>
      <c r="C18" s="41">
        <v>46240</v>
      </c>
      <c r="D18" s="37">
        <v>4</v>
      </c>
      <c r="E18" s="37" t="s">
        <v>204</v>
      </c>
      <c r="F18" s="37">
        <v>5</v>
      </c>
      <c r="G18" s="37" t="s">
        <v>204</v>
      </c>
      <c r="H18" s="37">
        <v>4</v>
      </c>
      <c r="I18" s="37" t="s">
        <v>203</v>
      </c>
      <c r="J18" s="37">
        <v>4</v>
      </c>
      <c r="K18" s="37" t="s">
        <v>203</v>
      </c>
      <c r="L18" s="37">
        <v>5</v>
      </c>
      <c r="M18" s="37" t="s">
        <v>204</v>
      </c>
      <c r="N18" s="53">
        <f t="shared" si="0"/>
        <v>4.3571428571428568</v>
      </c>
      <c r="O18" s="54">
        <f t="shared" si="1"/>
        <v>3.05</v>
      </c>
      <c r="P18" s="37">
        <v>4</v>
      </c>
      <c r="Q18" s="37" t="s">
        <v>203</v>
      </c>
      <c r="R18" s="37">
        <v>5</v>
      </c>
      <c r="S18" s="37" t="s">
        <v>204</v>
      </c>
      <c r="T18" s="37">
        <v>4</v>
      </c>
      <c r="U18" s="37" t="s">
        <v>203</v>
      </c>
      <c r="V18" s="37">
        <v>2</v>
      </c>
      <c r="W18" s="37" t="s">
        <v>203</v>
      </c>
      <c r="X18" s="54">
        <f t="shared" si="2"/>
        <v>0.9</v>
      </c>
      <c r="Y18" s="37">
        <v>4</v>
      </c>
      <c r="Z18" s="37" t="s">
        <v>203</v>
      </c>
      <c r="AA18" s="37">
        <v>4</v>
      </c>
      <c r="AB18" s="37" t="s">
        <v>203</v>
      </c>
      <c r="AC18" s="37">
        <v>3</v>
      </c>
      <c r="AD18" s="37" t="s">
        <v>205</v>
      </c>
      <c r="AE18" s="54">
        <f t="shared" si="3"/>
        <v>0.19</v>
      </c>
      <c r="AF18" s="55">
        <f t="shared" si="4"/>
        <v>82.8</v>
      </c>
      <c r="AG18" s="43" t="str">
        <f t="shared" si="5"/>
        <v>STRONG BUY</v>
      </c>
      <c r="AH18" s="43" t="str">
        <f t="shared" si="6"/>
        <v>OK</v>
      </c>
      <c r="AI18" s="43" t="str">
        <f t="shared" si="7"/>
        <v>OK</v>
      </c>
      <c r="AJ18" s="43" t="str">
        <f t="shared" si="8"/>
        <v>OK</v>
      </c>
      <c r="AK18" s="43" t="str">
        <f t="shared" si="9"/>
        <v>OK</v>
      </c>
    </row>
    <row r="19" spans="1:37" ht="15" customHeight="1" x14ac:dyDescent="0.2">
      <c r="A19" s="37"/>
      <c r="B19" s="37"/>
      <c r="C19" s="41"/>
      <c r="D19" s="37"/>
      <c r="E19" s="37"/>
      <c r="F19" s="37"/>
      <c r="G19" s="37"/>
      <c r="H19" s="37"/>
      <c r="I19" s="37"/>
      <c r="J19" s="37"/>
      <c r="K19" s="37"/>
      <c r="L19" s="37"/>
      <c r="M19" s="37"/>
      <c r="N19" s="53" t="str">
        <f t="shared" si="0"/>
        <v/>
      </c>
      <c r="O19" s="54" t="str">
        <f t="shared" si="1"/>
        <v/>
      </c>
      <c r="P19" s="37"/>
      <c r="Q19" s="37"/>
      <c r="R19" s="37"/>
      <c r="S19" s="37"/>
      <c r="T19" s="37"/>
      <c r="U19" s="37"/>
      <c r="V19" s="37"/>
      <c r="W19" s="37"/>
      <c r="X19" s="54" t="str">
        <f t="shared" si="2"/>
        <v/>
      </c>
      <c r="Y19" s="37"/>
      <c r="Z19" s="37"/>
      <c r="AA19" s="37"/>
      <c r="AB19" s="37"/>
      <c r="AC19" s="37"/>
      <c r="AD19" s="37"/>
      <c r="AE19" s="54" t="str">
        <f t="shared" si="3"/>
        <v/>
      </c>
      <c r="AF19" s="55" t="str">
        <f t="shared" si="4"/>
        <v/>
      </c>
      <c r="AG19" s="43" t="str">
        <f t="shared" si="5"/>
        <v/>
      </c>
      <c r="AH19" s="43" t="str">
        <f t="shared" si="6"/>
        <v/>
      </c>
      <c r="AI19" s="43" t="str">
        <f t="shared" si="7"/>
        <v/>
      </c>
      <c r="AJ19" s="43" t="str">
        <f t="shared" si="8"/>
        <v/>
      </c>
      <c r="AK19" s="43" t="str">
        <f t="shared" si="9"/>
        <v/>
      </c>
    </row>
    <row r="20" spans="1:37" ht="15" customHeight="1" x14ac:dyDescent="0.2">
      <c r="A20" s="37"/>
      <c r="B20" s="37"/>
      <c r="C20" s="41"/>
      <c r="D20" s="37"/>
      <c r="E20" s="37"/>
      <c r="F20" s="37"/>
      <c r="G20" s="37"/>
      <c r="H20" s="37"/>
      <c r="I20" s="37"/>
      <c r="J20" s="37"/>
      <c r="K20" s="37"/>
      <c r="L20" s="37"/>
      <c r="M20" s="37"/>
      <c r="N20" s="53" t="str">
        <f t="shared" si="0"/>
        <v/>
      </c>
      <c r="O20" s="54" t="str">
        <f t="shared" si="1"/>
        <v/>
      </c>
      <c r="P20" s="37"/>
      <c r="Q20" s="37"/>
      <c r="R20" s="37"/>
      <c r="S20" s="37"/>
      <c r="T20" s="37"/>
      <c r="U20" s="37"/>
      <c r="V20" s="37"/>
      <c r="W20" s="37"/>
      <c r="X20" s="54" t="str">
        <f t="shared" si="2"/>
        <v/>
      </c>
      <c r="Y20" s="37"/>
      <c r="Z20" s="37"/>
      <c r="AA20" s="37"/>
      <c r="AB20" s="37"/>
      <c r="AC20" s="37"/>
      <c r="AD20" s="37"/>
      <c r="AE20" s="54" t="str">
        <f t="shared" si="3"/>
        <v/>
      </c>
      <c r="AF20" s="55" t="str">
        <f t="shared" si="4"/>
        <v/>
      </c>
      <c r="AG20" s="43" t="str">
        <f t="shared" si="5"/>
        <v/>
      </c>
      <c r="AH20" s="43" t="str">
        <f t="shared" si="6"/>
        <v/>
      </c>
      <c r="AI20" s="43" t="str">
        <f t="shared" si="7"/>
        <v/>
      </c>
      <c r="AJ20" s="43" t="str">
        <f t="shared" si="8"/>
        <v/>
      </c>
      <c r="AK20" s="43" t="str">
        <f t="shared" si="9"/>
        <v/>
      </c>
    </row>
    <row r="21" spans="1:37" ht="15" customHeight="1" x14ac:dyDescent="0.2">
      <c r="A21" s="37"/>
      <c r="B21" s="37"/>
      <c r="C21" s="41"/>
      <c r="D21" s="37"/>
      <c r="E21" s="37"/>
      <c r="F21" s="37"/>
      <c r="G21" s="37"/>
      <c r="H21" s="37"/>
      <c r="I21" s="37"/>
      <c r="J21" s="37"/>
      <c r="K21" s="37"/>
      <c r="L21" s="37"/>
      <c r="M21" s="37"/>
      <c r="N21" s="53" t="str">
        <f t="shared" si="0"/>
        <v/>
      </c>
      <c r="O21" s="54" t="str">
        <f t="shared" si="1"/>
        <v/>
      </c>
      <c r="P21" s="37"/>
      <c r="Q21" s="37"/>
      <c r="R21" s="37"/>
      <c r="S21" s="37"/>
      <c r="T21" s="37"/>
      <c r="U21" s="37"/>
      <c r="V21" s="37"/>
      <c r="W21" s="37"/>
      <c r="X21" s="54" t="str">
        <f t="shared" si="2"/>
        <v/>
      </c>
      <c r="Y21" s="37"/>
      <c r="Z21" s="37"/>
      <c r="AA21" s="37"/>
      <c r="AB21" s="37"/>
      <c r="AC21" s="37"/>
      <c r="AD21" s="37"/>
      <c r="AE21" s="54" t="str">
        <f t="shared" si="3"/>
        <v/>
      </c>
      <c r="AF21" s="55" t="str">
        <f t="shared" si="4"/>
        <v/>
      </c>
      <c r="AG21" s="43" t="str">
        <f t="shared" si="5"/>
        <v/>
      </c>
      <c r="AH21" s="43" t="str">
        <f t="shared" si="6"/>
        <v/>
      </c>
      <c r="AI21" s="43" t="str">
        <f t="shared" si="7"/>
        <v/>
      </c>
      <c r="AJ21" s="43" t="str">
        <f t="shared" si="8"/>
        <v/>
      </c>
      <c r="AK21" s="43" t="str">
        <f t="shared" si="9"/>
        <v/>
      </c>
    </row>
    <row r="22" spans="1:37" ht="15" customHeight="1" x14ac:dyDescent="0.2">
      <c r="A22" s="37"/>
      <c r="B22" s="37"/>
      <c r="C22" s="41"/>
      <c r="D22" s="37"/>
      <c r="E22" s="37"/>
      <c r="F22" s="37"/>
      <c r="G22" s="37"/>
      <c r="H22" s="37"/>
      <c r="I22" s="37"/>
      <c r="J22" s="37"/>
      <c r="K22" s="37"/>
      <c r="L22" s="37"/>
      <c r="M22" s="37"/>
      <c r="N22" s="53" t="str">
        <f t="shared" si="0"/>
        <v/>
      </c>
      <c r="O22" s="54" t="str">
        <f t="shared" si="1"/>
        <v/>
      </c>
      <c r="P22" s="37"/>
      <c r="Q22" s="37"/>
      <c r="R22" s="37"/>
      <c r="S22" s="37"/>
      <c r="T22" s="37"/>
      <c r="U22" s="37"/>
      <c r="V22" s="37"/>
      <c r="W22" s="37"/>
      <c r="X22" s="54" t="str">
        <f t="shared" si="2"/>
        <v/>
      </c>
      <c r="Y22" s="37"/>
      <c r="Z22" s="37"/>
      <c r="AA22" s="37"/>
      <c r="AB22" s="37"/>
      <c r="AC22" s="37"/>
      <c r="AD22" s="37"/>
      <c r="AE22" s="54" t="str">
        <f t="shared" si="3"/>
        <v/>
      </c>
      <c r="AF22" s="55" t="str">
        <f t="shared" si="4"/>
        <v/>
      </c>
      <c r="AG22" s="43" t="str">
        <f t="shared" si="5"/>
        <v/>
      </c>
      <c r="AH22" s="43" t="str">
        <f t="shared" si="6"/>
        <v/>
      </c>
      <c r="AI22" s="43" t="str">
        <f t="shared" si="7"/>
        <v/>
      </c>
      <c r="AJ22" s="43" t="str">
        <f t="shared" si="8"/>
        <v/>
      </c>
      <c r="AK22" s="43" t="str">
        <f t="shared" si="9"/>
        <v/>
      </c>
    </row>
    <row r="23" spans="1:37" ht="15" customHeight="1" x14ac:dyDescent="0.2">
      <c r="A23" s="37"/>
      <c r="B23" s="37"/>
      <c r="C23" s="41"/>
      <c r="D23" s="37"/>
      <c r="E23" s="37"/>
      <c r="F23" s="37"/>
      <c r="G23" s="37"/>
      <c r="H23" s="37"/>
      <c r="I23" s="37"/>
      <c r="J23" s="37"/>
      <c r="K23" s="37"/>
      <c r="L23" s="37"/>
      <c r="M23" s="37"/>
      <c r="N23" s="53" t="str">
        <f t="shared" si="0"/>
        <v/>
      </c>
      <c r="O23" s="54" t="str">
        <f t="shared" si="1"/>
        <v/>
      </c>
      <c r="P23" s="37"/>
      <c r="Q23" s="37"/>
      <c r="R23" s="37"/>
      <c r="S23" s="37"/>
      <c r="T23" s="37"/>
      <c r="U23" s="37"/>
      <c r="V23" s="37"/>
      <c r="W23" s="37"/>
      <c r="X23" s="54" t="str">
        <f t="shared" si="2"/>
        <v/>
      </c>
      <c r="Y23" s="37"/>
      <c r="Z23" s="37"/>
      <c r="AA23" s="37"/>
      <c r="AB23" s="37"/>
      <c r="AC23" s="37"/>
      <c r="AD23" s="37"/>
      <c r="AE23" s="54" t="str">
        <f t="shared" si="3"/>
        <v/>
      </c>
      <c r="AF23" s="55" t="str">
        <f t="shared" si="4"/>
        <v/>
      </c>
      <c r="AG23" s="43" t="str">
        <f t="shared" si="5"/>
        <v/>
      </c>
      <c r="AH23" s="43" t="str">
        <f t="shared" si="6"/>
        <v/>
      </c>
      <c r="AI23" s="43" t="str">
        <f t="shared" si="7"/>
        <v/>
      </c>
      <c r="AJ23" s="43" t="str">
        <f t="shared" si="8"/>
        <v/>
      </c>
      <c r="AK23" s="43" t="str">
        <f t="shared" si="9"/>
        <v/>
      </c>
    </row>
    <row r="24" spans="1:37" ht="15" customHeight="1" x14ac:dyDescent="0.2">
      <c r="A24" s="37"/>
      <c r="B24" s="37"/>
      <c r="C24" s="41"/>
      <c r="D24" s="37"/>
      <c r="E24" s="37"/>
      <c r="F24" s="37"/>
      <c r="G24" s="37"/>
      <c r="H24" s="37"/>
      <c r="I24" s="37"/>
      <c r="J24" s="37"/>
      <c r="K24" s="37"/>
      <c r="L24" s="37"/>
      <c r="M24" s="37"/>
      <c r="N24" s="53" t="str">
        <f t="shared" si="0"/>
        <v/>
      </c>
      <c r="O24" s="54" t="str">
        <f t="shared" si="1"/>
        <v/>
      </c>
      <c r="P24" s="37"/>
      <c r="Q24" s="37"/>
      <c r="R24" s="37"/>
      <c r="S24" s="37"/>
      <c r="T24" s="37"/>
      <c r="U24" s="37"/>
      <c r="V24" s="37"/>
      <c r="W24" s="37"/>
      <c r="X24" s="54" t="str">
        <f t="shared" si="2"/>
        <v/>
      </c>
      <c r="Y24" s="37"/>
      <c r="Z24" s="37"/>
      <c r="AA24" s="37"/>
      <c r="AB24" s="37"/>
      <c r="AC24" s="37"/>
      <c r="AD24" s="37"/>
      <c r="AE24" s="54" t="str">
        <f t="shared" si="3"/>
        <v/>
      </c>
      <c r="AF24" s="55" t="str">
        <f t="shared" si="4"/>
        <v/>
      </c>
      <c r="AG24" s="43" t="str">
        <f t="shared" si="5"/>
        <v/>
      </c>
      <c r="AH24" s="43" t="str">
        <f t="shared" si="6"/>
        <v/>
      </c>
      <c r="AI24" s="43" t="str">
        <f t="shared" si="7"/>
        <v/>
      </c>
      <c r="AJ24" s="43" t="str">
        <f t="shared" si="8"/>
        <v/>
      </c>
      <c r="AK24" s="43" t="str">
        <f t="shared" si="9"/>
        <v/>
      </c>
    </row>
    <row r="25" spans="1:37" ht="15" customHeight="1" x14ac:dyDescent="0.2">
      <c r="A25" s="37"/>
      <c r="B25" s="37"/>
      <c r="C25" s="41"/>
      <c r="D25" s="37"/>
      <c r="E25" s="37"/>
      <c r="F25" s="37"/>
      <c r="G25" s="37"/>
      <c r="H25" s="37"/>
      <c r="I25" s="37"/>
      <c r="J25" s="37"/>
      <c r="K25" s="37"/>
      <c r="L25" s="37"/>
      <c r="M25" s="37"/>
      <c r="N25" s="53" t="str">
        <f t="shared" si="0"/>
        <v/>
      </c>
      <c r="O25" s="54" t="str">
        <f t="shared" si="1"/>
        <v/>
      </c>
      <c r="P25" s="37"/>
      <c r="Q25" s="37"/>
      <c r="R25" s="37"/>
      <c r="S25" s="37"/>
      <c r="T25" s="37"/>
      <c r="U25" s="37"/>
      <c r="V25" s="37"/>
      <c r="W25" s="37"/>
      <c r="X25" s="54" t="str">
        <f t="shared" si="2"/>
        <v/>
      </c>
      <c r="Y25" s="37"/>
      <c r="Z25" s="37"/>
      <c r="AA25" s="37"/>
      <c r="AB25" s="37"/>
      <c r="AC25" s="37"/>
      <c r="AD25" s="37"/>
      <c r="AE25" s="54" t="str">
        <f t="shared" si="3"/>
        <v/>
      </c>
      <c r="AF25" s="55" t="str">
        <f t="shared" si="4"/>
        <v/>
      </c>
      <c r="AG25" s="43" t="str">
        <f t="shared" si="5"/>
        <v/>
      </c>
      <c r="AH25" s="43" t="str">
        <f t="shared" si="6"/>
        <v/>
      </c>
      <c r="AI25" s="43" t="str">
        <f t="shared" si="7"/>
        <v/>
      </c>
      <c r="AJ25" s="43" t="str">
        <f t="shared" si="8"/>
        <v/>
      </c>
      <c r="AK25" s="43" t="str">
        <f t="shared" si="9"/>
        <v/>
      </c>
    </row>
    <row r="26" spans="1:37" ht="15" customHeight="1" x14ac:dyDescent="0.2">
      <c r="A26" s="37"/>
      <c r="B26" s="37"/>
      <c r="C26" s="41"/>
      <c r="D26" s="37"/>
      <c r="E26" s="37"/>
      <c r="F26" s="37"/>
      <c r="G26" s="37"/>
      <c r="H26" s="37"/>
      <c r="I26" s="37"/>
      <c r="J26" s="37"/>
      <c r="K26" s="37"/>
      <c r="L26" s="37"/>
      <c r="M26" s="37"/>
      <c r="N26" s="53" t="str">
        <f t="shared" si="0"/>
        <v/>
      </c>
      <c r="O26" s="54" t="str">
        <f t="shared" si="1"/>
        <v/>
      </c>
      <c r="P26" s="37"/>
      <c r="Q26" s="37"/>
      <c r="R26" s="37"/>
      <c r="S26" s="37"/>
      <c r="T26" s="37"/>
      <c r="U26" s="37"/>
      <c r="V26" s="37"/>
      <c r="W26" s="37"/>
      <c r="X26" s="54" t="str">
        <f t="shared" si="2"/>
        <v/>
      </c>
      <c r="Y26" s="37"/>
      <c r="Z26" s="37"/>
      <c r="AA26" s="37"/>
      <c r="AB26" s="37"/>
      <c r="AC26" s="37"/>
      <c r="AD26" s="37"/>
      <c r="AE26" s="54" t="str">
        <f t="shared" si="3"/>
        <v/>
      </c>
      <c r="AF26" s="55" t="str">
        <f t="shared" si="4"/>
        <v/>
      </c>
      <c r="AG26" s="43" t="str">
        <f t="shared" si="5"/>
        <v/>
      </c>
      <c r="AH26" s="43" t="str">
        <f t="shared" si="6"/>
        <v/>
      </c>
      <c r="AI26" s="43" t="str">
        <f t="shared" si="7"/>
        <v/>
      </c>
      <c r="AJ26" s="43" t="str">
        <f t="shared" si="8"/>
        <v/>
      </c>
      <c r="AK26" s="43" t="str">
        <f t="shared" si="9"/>
        <v/>
      </c>
    </row>
    <row r="27" spans="1:37" ht="15" customHeight="1" x14ac:dyDescent="0.2">
      <c r="A27" s="37"/>
      <c r="B27" s="37"/>
      <c r="C27" s="41"/>
      <c r="D27" s="37"/>
      <c r="E27" s="37"/>
      <c r="F27" s="37"/>
      <c r="G27" s="37"/>
      <c r="H27" s="37"/>
      <c r="I27" s="37"/>
      <c r="J27" s="37"/>
      <c r="K27" s="37"/>
      <c r="L27" s="37"/>
      <c r="M27" s="37"/>
      <c r="N27" s="53" t="str">
        <f t="shared" si="0"/>
        <v/>
      </c>
      <c r="O27" s="54" t="str">
        <f t="shared" si="1"/>
        <v/>
      </c>
      <c r="P27" s="37"/>
      <c r="Q27" s="37"/>
      <c r="R27" s="37"/>
      <c r="S27" s="37"/>
      <c r="T27" s="37"/>
      <c r="U27" s="37"/>
      <c r="V27" s="37"/>
      <c r="W27" s="37"/>
      <c r="X27" s="54" t="str">
        <f t="shared" si="2"/>
        <v/>
      </c>
      <c r="Y27" s="37"/>
      <c r="Z27" s="37"/>
      <c r="AA27" s="37"/>
      <c r="AB27" s="37"/>
      <c r="AC27" s="37"/>
      <c r="AD27" s="37"/>
      <c r="AE27" s="54" t="str">
        <f t="shared" si="3"/>
        <v/>
      </c>
      <c r="AF27" s="55" t="str">
        <f t="shared" si="4"/>
        <v/>
      </c>
      <c r="AG27" s="43" t="str">
        <f t="shared" si="5"/>
        <v/>
      </c>
      <c r="AH27" s="43" t="str">
        <f t="shared" si="6"/>
        <v/>
      </c>
      <c r="AI27" s="43" t="str">
        <f t="shared" si="7"/>
        <v/>
      </c>
      <c r="AJ27" s="43" t="str">
        <f t="shared" si="8"/>
        <v/>
      </c>
      <c r="AK27" s="43" t="str">
        <f t="shared" si="9"/>
        <v/>
      </c>
    </row>
  </sheetData>
  <mergeCells count="4">
    <mergeCell ref="D1:O1"/>
    <mergeCell ref="P1:X1"/>
    <mergeCell ref="Y1:AE1"/>
    <mergeCell ref="AH1:AK1"/>
  </mergeCells>
  <conditionalFormatting sqref="AG3:AG27">
    <cfRule type="cellIs" dxfId="60" priority="2" operator="equal">
      <formula>"STRONG BUY"</formula>
    </cfRule>
    <cfRule type="cellIs" dxfId="59" priority="3" operator="equal">
      <formula>"BUY"</formula>
    </cfRule>
    <cfRule type="cellIs" dxfId="58" priority="4" operator="equal">
      <formula>"WATCH LIST"</formula>
    </cfRule>
    <cfRule type="cellIs" dxfId="57" priority="5" operator="equal">
      <formula>"AVOID"</formula>
    </cfRule>
    <cfRule type="cellIs" dxfId="56" priority="6" operator="equal">
      <formula>"PASS"</formula>
    </cfRule>
  </conditionalFormatting>
  <conditionalFormatting sqref="AH3:AH27">
    <cfRule type="cellIs" dxfId="55" priority="7" operator="equal">
      <formula>"FAIL"</formula>
    </cfRule>
    <cfRule type="cellIs" dxfId="54" priority="8" operator="equal">
      <formula>"OK"</formula>
    </cfRule>
  </conditionalFormatting>
  <conditionalFormatting sqref="AI3:AI27">
    <cfRule type="cellIs" dxfId="53" priority="11" operator="equal">
      <formula>"REVIEW"</formula>
    </cfRule>
  </conditionalFormatting>
  <conditionalFormatting sqref="AJ3:AJ27">
    <cfRule type="cellIs" dxfId="52" priority="9" operator="equal">
      <formula>"AVOID"</formula>
    </cfRule>
    <cfRule type="cellIs" dxfId="51" priority="10" operator="equal">
      <formula>"OK"</formula>
    </cfRule>
  </conditionalFormatting>
  <conditionalFormatting sqref="AK3:AK27">
    <cfRule type="cellIs" dxfId="50" priority="12" operator="equal">
      <formula>"CAP AT BUY"</formula>
    </cfRule>
  </conditionalFormatting>
  <dataValidations count="2">
    <dataValidation type="list" allowBlank="1" sqref="D3:D27 F3:F27 H3:H27 J3:J27 L3:L27 P3:P27 R3:R27 T3:T27 V3:V27 Y3:Y27 AA3:AA27 AC3:AC27" xr:uid="{00000000-0002-0000-0600-000000000000}">
      <formula1>"1,2,3,4,5"</formula1>
      <formula2>0</formula2>
    </dataValidation>
    <dataValidation type="list" allowBlank="1" sqref="E3:E27 G3:G27 I3:I27 K3:K27 M3:M27 Q3:Q27 S3:S27 U3:U27 W3:W27 Z3:Z27 AB3:AB27 AD3:AD27" xr:uid="{00000000-0002-0000-0600-000001000000}">
      <formula1>"H,M,L"</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7"/>
  <sheetViews>
    <sheetView showGridLines="0" zoomScaleNormal="100" workbookViewId="0">
      <pane xSplit="2" ySplit="2" topLeftCell="C3" activePane="bottomRight" state="frozen"/>
      <selection pane="topRight" activeCell="C1" sqref="C1"/>
      <selection pane="bottomLeft" activeCell="A3" sqref="A3"/>
      <selection pane="bottomRight" sqref="A1:R1"/>
    </sheetView>
  </sheetViews>
  <sheetFormatPr baseColWidth="10" defaultColWidth="8.6640625" defaultRowHeight="15" x14ac:dyDescent="0.2"/>
  <cols>
    <col min="1" max="1" width="8" customWidth="1"/>
    <col min="2" max="2" width="16" customWidth="1"/>
    <col min="3" max="5" width="9" customWidth="1"/>
    <col min="6" max="7" width="11" customWidth="1"/>
    <col min="8" max="8" width="13" customWidth="1"/>
    <col min="9" max="9" width="10" customWidth="1"/>
    <col min="10" max="10" width="9" customWidth="1"/>
    <col min="11" max="11" width="10" customWidth="1"/>
    <col min="12" max="14" width="9" customWidth="1"/>
    <col min="15" max="15" width="10" customWidth="1"/>
    <col min="16" max="17" width="11" customWidth="1"/>
    <col min="18" max="18" width="28" customWidth="1"/>
  </cols>
  <sheetData>
    <row r="1" spans="1:18" ht="25.5" customHeight="1" x14ac:dyDescent="0.2">
      <c r="A1" s="7" t="s">
        <v>208</v>
      </c>
      <c r="B1" s="7"/>
      <c r="C1" s="7"/>
      <c r="D1" s="7"/>
      <c r="E1" s="7"/>
      <c r="F1" s="7"/>
      <c r="G1" s="7"/>
      <c r="H1" s="7"/>
      <c r="I1" s="7"/>
      <c r="J1" s="7"/>
      <c r="K1" s="7"/>
      <c r="L1" s="7"/>
      <c r="M1" s="7"/>
      <c r="N1" s="7"/>
      <c r="O1" s="7"/>
      <c r="P1" s="7"/>
      <c r="Q1" s="7"/>
      <c r="R1" s="7"/>
    </row>
    <row r="2" spans="1:18" ht="39.75" customHeight="1" x14ac:dyDescent="0.2">
      <c r="A2" s="22" t="s">
        <v>57</v>
      </c>
      <c r="B2" s="22" t="s">
        <v>166</v>
      </c>
      <c r="C2" s="22" t="s">
        <v>209</v>
      </c>
      <c r="D2" s="22" t="s">
        <v>210</v>
      </c>
      <c r="E2" s="22" t="s">
        <v>211</v>
      </c>
      <c r="F2" s="22" t="s">
        <v>212</v>
      </c>
      <c r="G2" s="22" t="s">
        <v>213</v>
      </c>
      <c r="H2" s="22" t="s">
        <v>214</v>
      </c>
      <c r="I2" s="22" t="s">
        <v>215</v>
      </c>
      <c r="J2" s="22" t="s">
        <v>216</v>
      </c>
      <c r="K2" s="22" t="s">
        <v>217</v>
      </c>
      <c r="L2" s="22" t="s">
        <v>218</v>
      </c>
      <c r="M2" s="22" t="s">
        <v>219</v>
      </c>
      <c r="N2" s="22" t="s">
        <v>220</v>
      </c>
      <c r="O2" s="22" t="s">
        <v>221</v>
      </c>
      <c r="P2" s="22" t="s">
        <v>222</v>
      </c>
      <c r="Q2" s="22" t="s">
        <v>223</v>
      </c>
      <c r="R2" s="22" t="s">
        <v>224</v>
      </c>
    </row>
    <row r="3" spans="1:18" ht="15" customHeight="1" x14ac:dyDescent="0.2">
      <c r="A3" s="43" t="str">
        <f>IF(Scoring!A3="","",Scoring!A3)</f>
        <v>MU</v>
      </c>
      <c r="B3" s="26" t="str">
        <f>IF(Scoring!B3="","",Scoring!B3)</f>
        <v>Micron Technology</v>
      </c>
      <c r="C3" s="43" t="str">
        <f>IF(Scoring!AG3="","",IF(OR(Scoring!AG3="STRONG BUY",Scoring!AG3="BUY"),"PASS","FAIL"))</f>
        <v>PASS</v>
      </c>
      <c r="D3" s="43" t="str">
        <f>IF(Scoring!AH3="","",IF(Scoring!AH3="OK","PASS","FAIL"))</f>
        <v>PASS</v>
      </c>
      <c r="E3" s="43" t="str">
        <f>IF(Scoring!AI3="","",IF(Scoring!AI3="OK","PASS","FAIL — mandatory review required"))</f>
        <v>PASS</v>
      </c>
      <c r="F3" s="37"/>
      <c r="G3" s="37"/>
      <c r="H3" s="43" t="str">
        <f t="shared" ref="H3:H27" si="0">IF(OR(F3="",G3=""),"",IF(AND(F3="Y",G3="Y"),"Standard initial size","50% of normal initial size + 90-day technical review"))</f>
        <v/>
      </c>
      <c r="I3" s="37"/>
      <c r="J3" s="37"/>
      <c r="K3" s="43" t="str">
        <f t="shared" ref="K3:K27" si="1">IF(I3="","",IF(I3="N","PASS",IF(J3="Y","PASS — risk documented in thesis","FAIL — undocumented binary risk")))</f>
        <v/>
      </c>
      <c r="L3" s="43" t="str">
        <f>IF('Implied-Return Calculator'!T4="","",'Implied-Return Calculator'!T4)</f>
        <v/>
      </c>
      <c r="M3" s="43" t="str">
        <f>IF('Implied-Return Calculator'!U4="","",'Implied-Return Calculator'!U4)</f>
        <v/>
      </c>
      <c r="N3" s="56"/>
      <c r="O3" s="57"/>
      <c r="P3" s="43" t="str">
        <f t="shared" ref="P3:P27" si="2">IF(OR(N3="",O3=""),"",IF(N3&lt;=50,"PASS — within ceiling",IF(AND(O3&gt;0.3,L3="PASS"),"PASS — growth+bear case exception met","FAIL — exceeds 50x, exception not met")))</f>
        <v/>
      </c>
      <c r="Q3" s="43" t="str">
        <f t="shared" ref="Q3:Q27" si="3">IF(OR(C3="",D3="",E3="",K3="",L3="",M3="",P3=""),"",IF(AND(C3="PASS",D3="PASS",LEFT(E3,4)="PASS",LEFT(K3,4)="PASS",L3="PASS",M3="OK",LEFT(P3,4)="PASS"),"YES","NO — see failing rule(s)"))</f>
        <v/>
      </c>
      <c r="R3" s="43" t="str">
        <f t="shared" ref="R3:R27" si="4">IF(Q3="","",IF(Q3="YES","Initiate: "&amp;H3,"DO NOT ENTER — resolve failing Entry Rule(s) above first"))</f>
        <v/>
      </c>
    </row>
    <row r="4" spans="1:18" ht="15" customHeight="1" x14ac:dyDescent="0.2">
      <c r="A4" s="43" t="str">
        <f>IF(Scoring!A4="","",Scoring!A4)</f>
        <v>AVGO</v>
      </c>
      <c r="B4" s="26" t="str">
        <f>IF(Scoring!B4="","",Scoring!B4)</f>
        <v>Broadcom Inc.</v>
      </c>
      <c r="C4" s="43" t="str">
        <f>IF(Scoring!AG4="","",IF(OR(Scoring!AG4="STRONG BUY",Scoring!AG4="BUY"),"PASS","FAIL"))</f>
        <v>PASS</v>
      </c>
      <c r="D4" s="43" t="str">
        <f>IF(Scoring!AH4="","",IF(Scoring!AH4="OK","PASS","FAIL"))</f>
        <v>PASS</v>
      </c>
      <c r="E4" s="43" t="str">
        <f>IF(Scoring!AI4="","",IF(Scoring!AI4="OK","PASS","FAIL — mandatory review required"))</f>
        <v>PASS</v>
      </c>
      <c r="F4" s="37"/>
      <c r="G4" s="37"/>
      <c r="H4" s="43" t="str">
        <f t="shared" si="0"/>
        <v/>
      </c>
      <c r="I4" s="37"/>
      <c r="J4" s="37"/>
      <c r="K4" s="43" t="str">
        <f t="shared" si="1"/>
        <v/>
      </c>
      <c r="L4" s="43" t="str">
        <f>IF('Implied-Return Calculator'!T5="","",'Implied-Return Calculator'!T5)</f>
        <v/>
      </c>
      <c r="M4" s="43" t="str">
        <f>IF('Implied-Return Calculator'!U5="","",'Implied-Return Calculator'!U5)</f>
        <v/>
      </c>
      <c r="N4" s="56"/>
      <c r="O4" s="57"/>
      <c r="P4" s="43" t="str">
        <f t="shared" si="2"/>
        <v/>
      </c>
      <c r="Q4" s="43" t="str">
        <f t="shared" si="3"/>
        <v/>
      </c>
      <c r="R4" s="43" t="str">
        <f t="shared" si="4"/>
        <v/>
      </c>
    </row>
    <row r="5" spans="1:18" ht="15" customHeight="1" x14ac:dyDescent="0.2">
      <c r="A5" s="43" t="str">
        <f>IF(Scoring!A5="","",Scoring!A5)</f>
        <v>PLTR</v>
      </c>
      <c r="B5" s="26" t="str">
        <f>IF(Scoring!B5="","",Scoring!B5)</f>
        <v>Palantir Technologies</v>
      </c>
      <c r="C5" s="43" t="str">
        <f>IF(Scoring!AG5="","",IF(OR(Scoring!AG5="STRONG BUY",Scoring!AG5="BUY"),"PASS","FAIL"))</f>
        <v>PASS</v>
      </c>
      <c r="D5" s="43" t="str">
        <f>IF(Scoring!AH5="","",IF(Scoring!AH5="OK","PASS","FAIL"))</f>
        <v>PASS</v>
      </c>
      <c r="E5" s="43" t="str">
        <f>IF(Scoring!AI5="","",IF(Scoring!AI5="OK","PASS","FAIL — mandatory review required"))</f>
        <v>PASS</v>
      </c>
      <c r="F5" s="37"/>
      <c r="G5" s="37"/>
      <c r="H5" s="43" t="str">
        <f t="shared" si="0"/>
        <v/>
      </c>
      <c r="I5" s="37"/>
      <c r="J5" s="37"/>
      <c r="K5" s="43" t="str">
        <f t="shared" si="1"/>
        <v/>
      </c>
      <c r="L5" s="43" t="str">
        <f>IF('Implied-Return Calculator'!T6="","",'Implied-Return Calculator'!T6)</f>
        <v/>
      </c>
      <c r="M5" s="43" t="str">
        <f>IF('Implied-Return Calculator'!U6="","",'Implied-Return Calculator'!U6)</f>
        <v/>
      </c>
      <c r="N5" s="56"/>
      <c r="O5" s="57"/>
      <c r="P5" s="43" t="str">
        <f t="shared" si="2"/>
        <v/>
      </c>
      <c r="Q5" s="43" t="str">
        <f t="shared" si="3"/>
        <v/>
      </c>
      <c r="R5" s="43" t="str">
        <f t="shared" si="4"/>
        <v/>
      </c>
    </row>
    <row r="6" spans="1:18" ht="15" customHeight="1" x14ac:dyDescent="0.2">
      <c r="A6" s="43" t="str">
        <f>IF(Scoring!A6="","",Scoring!A6)</f>
        <v>NVDA</v>
      </c>
      <c r="B6" s="26" t="str">
        <f>IF(Scoring!B6="","",Scoring!B6)</f>
        <v>NVIDIA Corporation</v>
      </c>
      <c r="C6" s="43" t="str">
        <f>IF(Scoring!AG6="","",IF(OR(Scoring!AG6="STRONG BUY",Scoring!AG6="BUY"),"PASS","FAIL"))</f>
        <v>PASS</v>
      </c>
      <c r="D6" s="43" t="str">
        <f>IF(Scoring!AH6="","",IF(Scoring!AH6="OK","PASS","FAIL"))</f>
        <v>PASS</v>
      </c>
      <c r="E6" s="43" t="str">
        <f>IF(Scoring!AI6="","",IF(Scoring!AI6="OK","PASS","FAIL — mandatory review required"))</f>
        <v>PASS</v>
      </c>
      <c r="F6" s="37"/>
      <c r="G6" s="37"/>
      <c r="H6" s="43" t="str">
        <f t="shared" si="0"/>
        <v/>
      </c>
      <c r="I6" s="37"/>
      <c r="J6" s="37"/>
      <c r="K6" s="43" t="str">
        <f t="shared" si="1"/>
        <v/>
      </c>
      <c r="L6" s="43" t="str">
        <f>IF('Implied-Return Calculator'!T7="","",'Implied-Return Calculator'!T7)</f>
        <v/>
      </c>
      <c r="M6" s="43" t="str">
        <f>IF('Implied-Return Calculator'!U7="","",'Implied-Return Calculator'!U7)</f>
        <v/>
      </c>
      <c r="N6" s="56"/>
      <c r="O6" s="57"/>
      <c r="P6" s="43" t="str">
        <f t="shared" si="2"/>
        <v/>
      </c>
      <c r="Q6" s="43" t="str">
        <f t="shared" si="3"/>
        <v/>
      </c>
      <c r="R6" s="43" t="str">
        <f t="shared" si="4"/>
        <v/>
      </c>
    </row>
    <row r="7" spans="1:18" ht="15" customHeight="1" x14ac:dyDescent="0.2">
      <c r="A7" s="43" t="str">
        <f>IF(Scoring!A7="","",Scoring!A7)</f>
        <v>VRTX</v>
      </c>
      <c r="B7" s="26" t="str">
        <f>IF(Scoring!B7="","",Scoring!B7)</f>
        <v>Vertex Pharmaceuticals</v>
      </c>
      <c r="C7" s="43" t="str">
        <f>IF(Scoring!AG7="","",IF(OR(Scoring!AG7="STRONG BUY",Scoring!AG7="BUY"),"PASS","FAIL"))</f>
        <v>PASS</v>
      </c>
      <c r="D7" s="43" t="str">
        <f>IF(Scoring!AH7="","",IF(Scoring!AH7="OK","PASS","FAIL"))</f>
        <v>PASS</v>
      </c>
      <c r="E7" s="43" t="str">
        <f>IF(Scoring!AI7="","",IF(Scoring!AI7="OK","PASS","FAIL — mandatory review required"))</f>
        <v>PASS</v>
      </c>
      <c r="F7" s="37"/>
      <c r="G7" s="37"/>
      <c r="H7" s="43" t="str">
        <f t="shared" si="0"/>
        <v/>
      </c>
      <c r="I7" s="37"/>
      <c r="J7" s="37"/>
      <c r="K7" s="43" t="str">
        <f t="shared" si="1"/>
        <v/>
      </c>
      <c r="L7" s="43" t="str">
        <f>IF('Implied-Return Calculator'!T8="","",'Implied-Return Calculator'!T8)</f>
        <v/>
      </c>
      <c r="M7" s="43" t="str">
        <f>IF('Implied-Return Calculator'!U8="","",'Implied-Return Calculator'!U8)</f>
        <v/>
      </c>
      <c r="N7" s="56"/>
      <c r="O7" s="57"/>
      <c r="P7" s="43" t="str">
        <f t="shared" si="2"/>
        <v/>
      </c>
      <c r="Q7" s="43" t="str">
        <f t="shared" si="3"/>
        <v/>
      </c>
      <c r="R7" s="43" t="str">
        <f t="shared" si="4"/>
        <v/>
      </c>
    </row>
    <row r="8" spans="1:18" ht="15" customHeight="1" x14ac:dyDescent="0.2">
      <c r="A8" s="43" t="str">
        <f>IF(Scoring!A8="","",Scoring!A8)</f>
        <v>PLD</v>
      </c>
      <c r="B8" s="26" t="str">
        <f>IF(Scoring!B8="","",Scoring!B8)</f>
        <v>Prologis Inc. (REIT-adapted)</v>
      </c>
      <c r="C8" s="43" t="str">
        <f>IF(Scoring!AG8="","",IF(OR(Scoring!AG8="STRONG BUY",Scoring!AG8="BUY"),"PASS","FAIL"))</f>
        <v>PASS</v>
      </c>
      <c r="D8" s="43" t="str">
        <f>IF(Scoring!AH8="","",IF(Scoring!AH8="OK","PASS","FAIL"))</f>
        <v>PASS</v>
      </c>
      <c r="E8" s="43" t="str">
        <f>IF(Scoring!AI8="","",IF(Scoring!AI8="OK","PASS","FAIL — mandatory review required"))</f>
        <v>PASS</v>
      </c>
      <c r="F8" s="37"/>
      <c r="G8" s="37"/>
      <c r="H8" s="43" t="str">
        <f t="shared" si="0"/>
        <v/>
      </c>
      <c r="I8" s="37"/>
      <c r="J8" s="37"/>
      <c r="K8" s="43" t="str">
        <f t="shared" si="1"/>
        <v/>
      </c>
      <c r="L8" s="43" t="str">
        <f>IF('Implied-Return Calculator'!T9="","",'Implied-Return Calculator'!T9)</f>
        <v/>
      </c>
      <c r="M8" s="43" t="str">
        <f>IF('Implied-Return Calculator'!U9="","",'Implied-Return Calculator'!U9)</f>
        <v/>
      </c>
      <c r="N8" s="56"/>
      <c r="O8" s="57"/>
      <c r="P8" s="43" t="str">
        <f t="shared" si="2"/>
        <v/>
      </c>
      <c r="Q8" s="43" t="str">
        <f t="shared" si="3"/>
        <v/>
      </c>
      <c r="R8" s="43" t="str">
        <f t="shared" si="4"/>
        <v/>
      </c>
    </row>
    <row r="9" spans="1:18" ht="15" customHeight="1" x14ac:dyDescent="0.2">
      <c r="A9" s="43" t="str">
        <f>IF(Scoring!A9="","",Scoring!A9)</f>
        <v>SFM</v>
      </c>
      <c r="B9" s="26" t="str">
        <f>IF(Scoring!B9="","",Scoring!B9)</f>
        <v>Sprouts Farmers Market</v>
      </c>
      <c r="C9" s="43" t="str">
        <f>IF(Scoring!AG9="","",IF(OR(Scoring!AG9="STRONG BUY",Scoring!AG9="BUY"),"PASS","FAIL"))</f>
        <v/>
      </c>
      <c r="D9" s="43" t="str">
        <f>IF(Scoring!AH9="","",IF(Scoring!AH9="OK","PASS","FAIL"))</f>
        <v>FAIL</v>
      </c>
      <c r="E9" s="43" t="str">
        <f>IF(Scoring!AI9="","",IF(Scoring!AI9="OK","PASS","FAIL — mandatory review required"))</f>
        <v>FAIL — mandatory review required</v>
      </c>
      <c r="F9" s="37"/>
      <c r="G9" s="37"/>
      <c r="H9" s="43" t="str">
        <f t="shared" si="0"/>
        <v/>
      </c>
      <c r="I9" s="37"/>
      <c r="J9" s="37"/>
      <c r="K9" s="43" t="str">
        <f t="shared" si="1"/>
        <v/>
      </c>
      <c r="L9" s="43" t="str">
        <f>IF('Implied-Return Calculator'!T10="","",'Implied-Return Calculator'!T10)</f>
        <v/>
      </c>
      <c r="M9" s="43" t="str">
        <f>IF('Implied-Return Calculator'!U10="","",'Implied-Return Calculator'!U10)</f>
        <v/>
      </c>
      <c r="N9" s="56"/>
      <c r="O9" s="57"/>
      <c r="P9" s="43" t="str">
        <f t="shared" si="2"/>
        <v/>
      </c>
      <c r="Q9" s="43" t="str">
        <f t="shared" si="3"/>
        <v/>
      </c>
      <c r="R9" s="43" t="str">
        <f t="shared" si="4"/>
        <v/>
      </c>
    </row>
    <row r="10" spans="1:18" ht="15" customHeight="1" x14ac:dyDescent="0.2">
      <c r="A10" s="43" t="str">
        <f>IF(Scoring!A10="","",Scoring!A10)</f>
        <v>ONON</v>
      </c>
      <c r="B10" s="26" t="str">
        <f>IF(Scoring!B10="","",Scoring!B10)</f>
        <v>On Holding AG</v>
      </c>
      <c r="C10" s="43" t="str">
        <f>IF(Scoring!AG10="","",IF(OR(Scoring!AG10="STRONG BUY",Scoring!AG10="BUY"),"PASS","FAIL"))</f>
        <v/>
      </c>
      <c r="D10" s="43" t="str">
        <f>IF(Scoring!AH10="","",IF(Scoring!AH10="OK","PASS","FAIL"))</f>
        <v>FAIL</v>
      </c>
      <c r="E10" s="43" t="str">
        <f>IF(Scoring!AI10="","",IF(Scoring!AI10="OK","PASS","FAIL — mandatory review required"))</f>
        <v>PASS</v>
      </c>
      <c r="F10" s="37"/>
      <c r="G10" s="37"/>
      <c r="H10" s="43" t="str">
        <f t="shared" si="0"/>
        <v/>
      </c>
      <c r="I10" s="37"/>
      <c r="J10" s="37"/>
      <c r="K10" s="43" t="str">
        <f t="shared" si="1"/>
        <v/>
      </c>
      <c r="L10" s="43" t="str">
        <f>IF('Implied-Return Calculator'!T11="","",'Implied-Return Calculator'!T11)</f>
        <v/>
      </c>
      <c r="M10" s="43" t="str">
        <f>IF('Implied-Return Calculator'!U11="","",'Implied-Return Calculator'!U11)</f>
        <v/>
      </c>
      <c r="N10" s="56"/>
      <c r="O10" s="57"/>
      <c r="P10" s="43" t="str">
        <f t="shared" si="2"/>
        <v/>
      </c>
      <c r="Q10" s="43" t="str">
        <f t="shared" si="3"/>
        <v/>
      </c>
      <c r="R10" s="43" t="str">
        <f t="shared" si="4"/>
        <v/>
      </c>
    </row>
    <row r="11" spans="1:18" ht="15" customHeight="1" x14ac:dyDescent="0.2">
      <c r="A11" s="43" t="str">
        <f>IF(Scoring!A11="","",Scoring!A11)</f>
        <v>TSLA</v>
      </c>
      <c r="B11" s="26" t="str">
        <f>IF(Scoring!B11="","",Scoring!B11)</f>
        <v>Tesla Inc.</v>
      </c>
      <c r="C11" s="43" t="str">
        <f>IF(Scoring!AG11="","",IF(OR(Scoring!AG11="STRONG BUY",Scoring!AG11="BUY"),"PASS","FAIL"))</f>
        <v/>
      </c>
      <c r="D11" s="43" t="str">
        <f>IF(Scoring!AH11="","",IF(Scoring!AH11="OK","PASS","FAIL"))</f>
        <v>FAIL</v>
      </c>
      <c r="E11" s="43" t="str">
        <f>IF(Scoring!AI11="","",IF(Scoring!AI11="OK","PASS","FAIL — mandatory review required"))</f>
        <v>FAIL — mandatory review required</v>
      </c>
      <c r="F11" s="37"/>
      <c r="G11" s="37"/>
      <c r="H11" s="43" t="str">
        <f t="shared" si="0"/>
        <v/>
      </c>
      <c r="I11" s="37"/>
      <c r="J11" s="37"/>
      <c r="K11" s="43" t="str">
        <f t="shared" si="1"/>
        <v/>
      </c>
      <c r="L11" s="43" t="str">
        <f>IF('Implied-Return Calculator'!T12="","",'Implied-Return Calculator'!T12)</f>
        <v/>
      </c>
      <c r="M11" s="43" t="str">
        <f>IF('Implied-Return Calculator'!U12="","",'Implied-Return Calculator'!U12)</f>
        <v/>
      </c>
      <c r="N11" s="56"/>
      <c r="O11" s="57"/>
      <c r="P11" s="43" t="str">
        <f t="shared" si="2"/>
        <v/>
      </c>
      <c r="Q11" s="43" t="str">
        <f t="shared" si="3"/>
        <v/>
      </c>
      <c r="R11" s="43" t="str">
        <f t="shared" si="4"/>
        <v/>
      </c>
    </row>
    <row r="12" spans="1:18" ht="15" customHeight="1" x14ac:dyDescent="0.2">
      <c r="A12" s="43" t="str">
        <f>IF(Scoring!A12="","",Scoring!A12)</f>
        <v>ADBE</v>
      </c>
      <c r="B12" s="26" t="str">
        <f>IF(Scoring!B12="","",Scoring!B12)</f>
        <v>Adobe Inc.</v>
      </c>
      <c r="C12" s="43" t="str">
        <f>IF(Scoring!AG12="","",IF(OR(Scoring!AG12="STRONG BUY",Scoring!AG12="BUY"),"PASS","FAIL"))</f>
        <v>PASS</v>
      </c>
      <c r="D12" s="43" t="str">
        <f>IF(Scoring!AH12="","",IF(Scoring!AH12="OK","PASS","FAIL"))</f>
        <v>PASS</v>
      </c>
      <c r="E12" s="43" t="str">
        <f>IF(Scoring!AI12="","",IF(Scoring!AI12="OK","PASS","FAIL — mandatory review required"))</f>
        <v>PASS</v>
      </c>
      <c r="F12" s="37"/>
      <c r="G12" s="37"/>
      <c r="H12" s="43" t="str">
        <f t="shared" si="0"/>
        <v/>
      </c>
      <c r="I12" s="37"/>
      <c r="J12" s="37"/>
      <c r="K12" s="43" t="str">
        <f t="shared" si="1"/>
        <v/>
      </c>
      <c r="L12" s="43" t="str">
        <f>IF('Implied-Return Calculator'!T13="","",'Implied-Return Calculator'!T13)</f>
        <v/>
      </c>
      <c r="M12" s="43" t="str">
        <f>IF('Implied-Return Calculator'!U13="","",'Implied-Return Calculator'!U13)</f>
        <v/>
      </c>
      <c r="N12" s="56"/>
      <c r="O12" s="57"/>
      <c r="P12" s="43" t="str">
        <f t="shared" si="2"/>
        <v/>
      </c>
      <c r="Q12" s="43" t="str">
        <f t="shared" si="3"/>
        <v/>
      </c>
      <c r="R12" s="43" t="str">
        <f t="shared" si="4"/>
        <v/>
      </c>
    </row>
    <row r="13" spans="1:18" ht="15" customHeight="1" x14ac:dyDescent="0.2">
      <c r="A13" s="43" t="str">
        <f>IF(Scoring!A13="","",Scoring!A13)</f>
        <v>ANET</v>
      </c>
      <c r="B13" s="26" t="str">
        <f>IF(Scoring!B13="","",Scoring!B13)</f>
        <v>Arista Networks</v>
      </c>
      <c r="C13" s="43" t="str">
        <f>IF(Scoring!AG13="","",IF(OR(Scoring!AG13="STRONG BUY",Scoring!AG13="BUY"),"PASS","FAIL"))</f>
        <v>PASS</v>
      </c>
      <c r="D13" s="43" t="str">
        <f>IF(Scoring!AH13="","",IF(Scoring!AH13="OK","PASS","FAIL"))</f>
        <v>PASS</v>
      </c>
      <c r="E13" s="43" t="str">
        <f>IF(Scoring!AI13="","",IF(Scoring!AI13="OK","PASS","FAIL — mandatory review required"))</f>
        <v>PASS</v>
      </c>
      <c r="F13" s="37"/>
      <c r="G13" s="37"/>
      <c r="H13" s="43" t="str">
        <f t="shared" si="0"/>
        <v/>
      </c>
      <c r="I13" s="37"/>
      <c r="J13" s="37"/>
      <c r="K13" s="43" t="str">
        <f t="shared" si="1"/>
        <v/>
      </c>
      <c r="L13" s="43" t="str">
        <f>IF('Implied-Return Calculator'!T14="","",'Implied-Return Calculator'!T14)</f>
        <v/>
      </c>
      <c r="M13" s="43" t="str">
        <f>IF('Implied-Return Calculator'!U14="","",'Implied-Return Calculator'!U14)</f>
        <v/>
      </c>
      <c r="N13" s="56"/>
      <c r="O13" s="57"/>
      <c r="P13" s="43" t="str">
        <f t="shared" si="2"/>
        <v/>
      </c>
      <c r="Q13" s="43" t="str">
        <f t="shared" si="3"/>
        <v/>
      </c>
      <c r="R13" s="43" t="str">
        <f t="shared" si="4"/>
        <v/>
      </c>
    </row>
    <row r="14" spans="1:18" ht="15" customHeight="1" x14ac:dyDescent="0.2">
      <c r="A14" s="43" t="str">
        <f>IF(Scoring!A14="","",Scoring!A14)</f>
        <v>ASML</v>
      </c>
      <c r="B14" s="26" t="str">
        <f>IF(Scoring!B14="","",Scoring!B14)</f>
        <v>ASML Holding</v>
      </c>
      <c r="C14" s="43" t="str">
        <f>IF(Scoring!AG14="","",IF(OR(Scoring!AG14="STRONG BUY",Scoring!AG14="BUY"),"PASS","FAIL"))</f>
        <v>PASS</v>
      </c>
      <c r="D14" s="43" t="str">
        <f>IF(Scoring!AH14="","",IF(Scoring!AH14="OK","PASS","FAIL"))</f>
        <v>PASS</v>
      </c>
      <c r="E14" s="43" t="str">
        <f>IF(Scoring!AI14="","",IF(Scoring!AI14="OK","PASS","FAIL — mandatory review required"))</f>
        <v>PASS</v>
      </c>
      <c r="F14" s="37"/>
      <c r="G14" s="37"/>
      <c r="H14" s="43" t="str">
        <f t="shared" si="0"/>
        <v/>
      </c>
      <c r="I14" s="37"/>
      <c r="J14" s="37"/>
      <c r="K14" s="43" t="str">
        <f t="shared" si="1"/>
        <v/>
      </c>
      <c r="L14" s="43" t="str">
        <f>IF('Implied-Return Calculator'!T15="","",'Implied-Return Calculator'!T15)</f>
        <v/>
      </c>
      <c r="M14" s="43" t="str">
        <f>IF('Implied-Return Calculator'!U15="","",'Implied-Return Calculator'!U15)</f>
        <v/>
      </c>
      <c r="N14" s="56"/>
      <c r="O14" s="57"/>
      <c r="P14" s="43" t="str">
        <f t="shared" si="2"/>
        <v/>
      </c>
      <c r="Q14" s="43" t="str">
        <f t="shared" si="3"/>
        <v/>
      </c>
      <c r="R14" s="43" t="str">
        <f t="shared" si="4"/>
        <v/>
      </c>
    </row>
    <row r="15" spans="1:18" ht="15" customHeight="1" x14ac:dyDescent="0.2">
      <c r="A15" s="43" t="str">
        <f>IF(Scoring!A15="","",Scoring!A15)</f>
        <v>CRWD</v>
      </c>
      <c r="B15" s="26" t="str">
        <f>IF(Scoring!B15="","",Scoring!B15)</f>
        <v>CrowdStrike Holdings</v>
      </c>
      <c r="C15" s="43" t="str">
        <f>IF(Scoring!AG15="","",IF(OR(Scoring!AG15="STRONG BUY",Scoring!AG15="BUY"),"PASS","FAIL"))</f>
        <v>PASS</v>
      </c>
      <c r="D15" s="43" t="str">
        <f>IF(Scoring!AH15="","",IF(Scoring!AH15="OK","PASS","FAIL"))</f>
        <v>PASS</v>
      </c>
      <c r="E15" s="43" t="str">
        <f>IF(Scoring!AI15="","",IF(Scoring!AI15="OK","PASS","FAIL — mandatory review required"))</f>
        <v>PASS</v>
      </c>
      <c r="F15" s="37"/>
      <c r="G15" s="37"/>
      <c r="H15" s="43" t="str">
        <f t="shared" si="0"/>
        <v/>
      </c>
      <c r="I15" s="37"/>
      <c r="J15" s="37"/>
      <c r="K15" s="43" t="str">
        <f t="shared" si="1"/>
        <v/>
      </c>
      <c r="L15" s="43" t="str">
        <f>IF('Implied-Return Calculator'!T16="","",'Implied-Return Calculator'!T16)</f>
        <v/>
      </c>
      <c r="M15" s="43" t="str">
        <f>IF('Implied-Return Calculator'!U16="","",'Implied-Return Calculator'!U16)</f>
        <v/>
      </c>
      <c r="N15" s="56"/>
      <c r="O15" s="57"/>
      <c r="P15" s="43" t="str">
        <f t="shared" si="2"/>
        <v/>
      </c>
      <c r="Q15" s="43" t="str">
        <f t="shared" si="3"/>
        <v/>
      </c>
      <c r="R15" s="43" t="str">
        <f t="shared" si="4"/>
        <v/>
      </c>
    </row>
    <row r="16" spans="1:18" ht="15" customHeight="1" x14ac:dyDescent="0.2">
      <c r="A16" s="43" t="str">
        <f>IF(Scoring!A16="","",Scoring!A16)</f>
        <v>KLAC</v>
      </c>
      <c r="B16" s="26" t="str">
        <f>IF(Scoring!B16="","",Scoring!B16)</f>
        <v>KLA Corporation</v>
      </c>
      <c r="C16" s="43" t="str">
        <f>IF(Scoring!AG16="","",IF(OR(Scoring!AG16="STRONG BUY",Scoring!AG16="BUY"),"PASS","FAIL"))</f>
        <v>PASS</v>
      </c>
      <c r="D16" s="43" t="str">
        <f>IF(Scoring!AH16="","",IF(Scoring!AH16="OK","PASS","FAIL"))</f>
        <v>PASS</v>
      </c>
      <c r="E16" s="43" t="str">
        <f>IF(Scoring!AI16="","",IF(Scoring!AI16="OK","PASS","FAIL — mandatory review required"))</f>
        <v>PASS</v>
      </c>
      <c r="F16" s="37"/>
      <c r="G16" s="37"/>
      <c r="H16" s="43" t="str">
        <f t="shared" si="0"/>
        <v/>
      </c>
      <c r="I16" s="37"/>
      <c r="J16" s="37"/>
      <c r="K16" s="43" t="str">
        <f t="shared" si="1"/>
        <v/>
      </c>
      <c r="L16" s="43" t="str">
        <f>IF('Implied-Return Calculator'!T17="","",'Implied-Return Calculator'!T17)</f>
        <v/>
      </c>
      <c r="M16" s="43" t="str">
        <f>IF('Implied-Return Calculator'!U17="","",'Implied-Return Calculator'!U17)</f>
        <v/>
      </c>
      <c r="N16" s="56"/>
      <c r="O16" s="57"/>
      <c r="P16" s="43" t="str">
        <f t="shared" si="2"/>
        <v/>
      </c>
      <c r="Q16" s="43" t="str">
        <f t="shared" si="3"/>
        <v/>
      </c>
      <c r="R16" s="43" t="str">
        <f t="shared" si="4"/>
        <v/>
      </c>
    </row>
    <row r="17" spans="1:18" ht="15" customHeight="1" x14ac:dyDescent="0.2">
      <c r="A17" s="43" t="str">
        <f>IF(Scoring!A17="","",Scoring!A17)</f>
        <v>TSM</v>
      </c>
      <c r="B17" s="26" t="str">
        <f>IF(Scoring!B17="","",Scoring!B17)</f>
        <v>Taiwan Semiconductor Mfg.</v>
      </c>
      <c r="C17" s="43" t="str">
        <f>IF(Scoring!AG17="","",IF(OR(Scoring!AG17="STRONG BUY",Scoring!AG17="BUY"),"PASS","FAIL"))</f>
        <v>PASS</v>
      </c>
      <c r="D17" s="43" t="str">
        <f>IF(Scoring!AH17="","",IF(Scoring!AH17="OK","PASS","FAIL"))</f>
        <v>PASS</v>
      </c>
      <c r="E17" s="43" t="str">
        <f>IF(Scoring!AI17="","",IF(Scoring!AI17="OK","PASS","FAIL — mandatory review required"))</f>
        <v>PASS</v>
      </c>
      <c r="F17" s="37"/>
      <c r="G17" s="37"/>
      <c r="H17" s="43" t="str">
        <f t="shared" si="0"/>
        <v/>
      </c>
      <c r="I17" s="37"/>
      <c r="J17" s="37"/>
      <c r="K17" s="43" t="str">
        <f t="shared" si="1"/>
        <v/>
      </c>
      <c r="L17" s="43" t="str">
        <f>IF('Implied-Return Calculator'!T18="","",'Implied-Return Calculator'!T18)</f>
        <v/>
      </c>
      <c r="M17" s="43" t="str">
        <f>IF('Implied-Return Calculator'!U18="","",'Implied-Return Calculator'!U18)</f>
        <v/>
      </c>
      <c r="N17" s="56"/>
      <c r="O17" s="57"/>
      <c r="P17" s="43" t="str">
        <f t="shared" si="2"/>
        <v/>
      </c>
      <c r="Q17" s="43" t="str">
        <f t="shared" si="3"/>
        <v/>
      </c>
      <c r="R17" s="43" t="str">
        <f t="shared" si="4"/>
        <v/>
      </c>
    </row>
    <row r="18" spans="1:18" ht="15" customHeight="1" x14ac:dyDescent="0.2">
      <c r="A18" s="43" t="str">
        <f>IF(Scoring!A18="","",Scoring!A18)</f>
        <v>VRT</v>
      </c>
      <c r="B18" s="26" t="str">
        <f>IF(Scoring!B18="","",Scoring!B18)</f>
        <v>Vertiv Holdings</v>
      </c>
      <c r="C18" s="43" t="str">
        <f>IF(Scoring!AG18="","",IF(OR(Scoring!AG18="STRONG BUY",Scoring!AG18="BUY"),"PASS","FAIL"))</f>
        <v>PASS</v>
      </c>
      <c r="D18" s="43" t="str">
        <f>IF(Scoring!AH18="","",IF(Scoring!AH18="OK","PASS","FAIL"))</f>
        <v>PASS</v>
      </c>
      <c r="E18" s="43" t="str">
        <f>IF(Scoring!AI18="","",IF(Scoring!AI18="OK","PASS","FAIL — mandatory review required"))</f>
        <v>PASS</v>
      </c>
      <c r="F18" s="37"/>
      <c r="G18" s="37"/>
      <c r="H18" s="43" t="str">
        <f t="shared" si="0"/>
        <v/>
      </c>
      <c r="I18" s="37"/>
      <c r="J18" s="37"/>
      <c r="K18" s="43" t="str">
        <f t="shared" si="1"/>
        <v/>
      </c>
      <c r="L18" s="43" t="str">
        <f>IF('Implied-Return Calculator'!T19="","",'Implied-Return Calculator'!T19)</f>
        <v/>
      </c>
      <c r="M18" s="43" t="str">
        <f>IF('Implied-Return Calculator'!U19="","",'Implied-Return Calculator'!U19)</f>
        <v/>
      </c>
      <c r="N18" s="56"/>
      <c r="O18" s="57"/>
      <c r="P18" s="43" t="str">
        <f t="shared" si="2"/>
        <v/>
      </c>
      <c r="Q18" s="43" t="str">
        <f t="shared" si="3"/>
        <v/>
      </c>
      <c r="R18" s="43" t="str">
        <f t="shared" si="4"/>
        <v/>
      </c>
    </row>
    <row r="19" spans="1:18" ht="15" customHeight="1" x14ac:dyDescent="0.2">
      <c r="A19" s="43" t="str">
        <f>IF(Scoring!A19="","",Scoring!A19)</f>
        <v/>
      </c>
      <c r="B19" s="26" t="str">
        <f>IF(Scoring!B19="","",Scoring!B19)</f>
        <v/>
      </c>
      <c r="C19" s="43" t="str">
        <f>IF(Scoring!AG19="","",IF(OR(Scoring!AG19="STRONG BUY",Scoring!AG19="BUY"),"PASS","FAIL"))</f>
        <v/>
      </c>
      <c r="D19" s="43" t="str">
        <f>IF(Scoring!AH19="","",IF(Scoring!AH19="OK","PASS","FAIL"))</f>
        <v/>
      </c>
      <c r="E19" s="43" t="str">
        <f>IF(Scoring!AI19="","",IF(Scoring!AI19="OK","PASS","FAIL — mandatory review required"))</f>
        <v/>
      </c>
      <c r="F19" s="37"/>
      <c r="G19" s="37"/>
      <c r="H19" s="43" t="str">
        <f t="shared" si="0"/>
        <v/>
      </c>
      <c r="I19" s="37"/>
      <c r="J19" s="37"/>
      <c r="K19" s="43" t="str">
        <f t="shared" si="1"/>
        <v/>
      </c>
      <c r="L19" s="43" t="str">
        <f>IF('Implied-Return Calculator'!T20="","",'Implied-Return Calculator'!T20)</f>
        <v/>
      </c>
      <c r="M19" s="43" t="str">
        <f>IF('Implied-Return Calculator'!U20="","",'Implied-Return Calculator'!U20)</f>
        <v/>
      </c>
      <c r="N19" s="56"/>
      <c r="O19" s="57"/>
      <c r="P19" s="43" t="str">
        <f t="shared" si="2"/>
        <v/>
      </c>
      <c r="Q19" s="43" t="str">
        <f t="shared" si="3"/>
        <v/>
      </c>
      <c r="R19" s="43" t="str">
        <f t="shared" si="4"/>
        <v/>
      </c>
    </row>
    <row r="20" spans="1:18" ht="15" customHeight="1" x14ac:dyDescent="0.2">
      <c r="A20" s="43" t="str">
        <f>IF(Scoring!A20="","",Scoring!A20)</f>
        <v/>
      </c>
      <c r="B20" s="26" t="str">
        <f>IF(Scoring!B20="","",Scoring!B20)</f>
        <v/>
      </c>
      <c r="C20" s="43" t="str">
        <f>IF(Scoring!AG20="","",IF(OR(Scoring!AG20="STRONG BUY",Scoring!AG20="BUY"),"PASS","FAIL"))</f>
        <v/>
      </c>
      <c r="D20" s="43" t="str">
        <f>IF(Scoring!AH20="","",IF(Scoring!AH20="OK","PASS","FAIL"))</f>
        <v/>
      </c>
      <c r="E20" s="43" t="str">
        <f>IF(Scoring!AI20="","",IF(Scoring!AI20="OK","PASS","FAIL — mandatory review required"))</f>
        <v/>
      </c>
      <c r="F20" s="37"/>
      <c r="G20" s="37"/>
      <c r="H20" s="43" t="str">
        <f t="shared" si="0"/>
        <v/>
      </c>
      <c r="I20" s="37"/>
      <c r="J20" s="37"/>
      <c r="K20" s="43" t="str">
        <f t="shared" si="1"/>
        <v/>
      </c>
      <c r="L20" s="43" t="str">
        <f>IF('Implied-Return Calculator'!T21="","",'Implied-Return Calculator'!T21)</f>
        <v/>
      </c>
      <c r="M20" s="43" t="str">
        <f>IF('Implied-Return Calculator'!U21="","",'Implied-Return Calculator'!U21)</f>
        <v/>
      </c>
      <c r="N20" s="56"/>
      <c r="O20" s="57"/>
      <c r="P20" s="43" t="str">
        <f t="shared" si="2"/>
        <v/>
      </c>
      <c r="Q20" s="43" t="str">
        <f t="shared" si="3"/>
        <v/>
      </c>
      <c r="R20" s="43" t="str">
        <f t="shared" si="4"/>
        <v/>
      </c>
    </row>
    <row r="21" spans="1:18" ht="15" customHeight="1" x14ac:dyDescent="0.2">
      <c r="A21" s="43" t="str">
        <f>IF(Scoring!A21="","",Scoring!A21)</f>
        <v/>
      </c>
      <c r="B21" s="26" t="str">
        <f>IF(Scoring!B21="","",Scoring!B21)</f>
        <v/>
      </c>
      <c r="C21" s="43" t="str">
        <f>IF(Scoring!AG21="","",IF(OR(Scoring!AG21="STRONG BUY",Scoring!AG21="BUY"),"PASS","FAIL"))</f>
        <v/>
      </c>
      <c r="D21" s="43" t="str">
        <f>IF(Scoring!AH21="","",IF(Scoring!AH21="OK","PASS","FAIL"))</f>
        <v/>
      </c>
      <c r="E21" s="43" t="str">
        <f>IF(Scoring!AI21="","",IF(Scoring!AI21="OK","PASS","FAIL — mandatory review required"))</f>
        <v/>
      </c>
      <c r="F21" s="37"/>
      <c r="G21" s="37"/>
      <c r="H21" s="43" t="str">
        <f t="shared" si="0"/>
        <v/>
      </c>
      <c r="I21" s="37"/>
      <c r="J21" s="37"/>
      <c r="K21" s="43" t="str">
        <f t="shared" si="1"/>
        <v/>
      </c>
      <c r="L21" s="43" t="str">
        <f>IF('Implied-Return Calculator'!T22="","",'Implied-Return Calculator'!T22)</f>
        <v/>
      </c>
      <c r="M21" s="43" t="str">
        <f>IF('Implied-Return Calculator'!U22="","",'Implied-Return Calculator'!U22)</f>
        <v/>
      </c>
      <c r="N21" s="56"/>
      <c r="O21" s="57"/>
      <c r="P21" s="43" t="str">
        <f t="shared" si="2"/>
        <v/>
      </c>
      <c r="Q21" s="43" t="str">
        <f t="shared" si="3"/>
        <v/>
      </c>
      <c r="R21" s="43" t="str">
        <f t="shared" si="4"/>
        <v/>
      </c>
    </row>
    <row r="22" spans="1:18" ht="15" customHeight="1" x14ac:dyDescent="0.2">
      <c r="A22" s="43" t="str">
        <f>IF(Scoring!A22="","",Scoring!A22)</f>
        <v/>
      </c>
      <c r="B22" s="26" t="str">
        <f>IF(Scoring!B22="","",Scoring!B22)</f>
        <v/>
      </c>
      <c r="C22" s="43" t="str">
        <f>IF(Scoring!AG22="","",IF(OR(Scoring!AG22="STRONG BUY",Scoring!AG22="BUY"),"PASS","FAIL"))</f>
        <v/>
      </c>
      <c r="D22" s="43" t="str">
        <f>IF(Scoring!AH22="","",IF(Scoring!AH22="OK","PASS","FAIL"))</f>
        <v/>
      </c>
      <c r="E22" s="43" t="str">
        <f>IF(Scoring!AI22="","",IF(Scoring!AI22="OK","PASS","FAIL — mandatory review required"))</f>
        <v/>
      </c>
      <c r="F22" s="37"/>
      <c r="G22" s="37"/>
      <c r="H22" s="43" t="str">
        <f t="shared" si="0"/>
        <v/>
      </c>
      <c r="I22" s="37"/>
      <c r="J22" s="37"/>
      <c r="K22" s="43" t="str">
        <f t="shared" si="1"/>
        <v/>
      </c>
      <c r="L22" s="43" t="str">
        <f>IF('Implied-Return Calculator'!T23="","",'Implied-Return Calculator'!T23)</f>
        <v/>
      </c>
      <c r="M22" s="43" t="str">
        <f>IF('Implied-Return Calculator'!U23="","",'Implied-Return Calculator'!U23)</f>
        <v/>
      </c>
      <c r="N22" s="56"/>
      <c r="O22" s="57"/>
      <c r="P22" s="43" t="str">
        <f t="shared" si="2"/>
        <v/>
      </c>
      <c r="Q22" s="43" t="str">
        <f t="shared" si="3"/>
        <v/>
      </c>
      <c r="R22" s="43" t="str">
        <f t="shared" si="4"/>
        <v/>
      </c>
    </row>
    <row r="23" spans="1:18" ht="15" customHeight="1" x14ac:dyDescent="0.2">
      <c r="A23" s="43" t="str">
        <f>IF(Scoring!A23="","",Scoring!A23)</f>
        <v/>
      </c>
      <c r="B23" s="26" t="str">
        <f>IF(Scoring!B23="","",Scoring!B23)</f>
        <v/>
      </c>
      <c r="C23" s="43" t="str">
        <f>IF(Scoring!AG23="","",IF(OR(Scoring!AG23="STRONG BUY",Scoring!AG23="BUY"),"PASS","FAIL"))</f>
        <v/>
      </c>
      <c r="D23" s="43" t="str">
        <f>IF(Scoring!AH23="","",IF(Scoring!AH23="OK","PASS","FAIL"))</f>
        <v/>
      </c>
      <c r="E23" s="43" t="str">
        <f>IF(Scoring!AI23="","",IF(Scoring!AI23="OK","PASS","FAIL — mandatory review required"))</f>
        <v/>
      </c>
      <c r="F23" s="37"/>
      <c r="G23" s="37"/>
      <c r="H23" s="43" t="str">
        <f t="shared" si="0"/>
        <v/>
      </c>
      <c r="I23" s="37"/>
      <c r="J23" s="37"/>
      <c r="K23" s="43" t="str">
        <f t="shared" si="1"/>
        <v/>
      </c>
      <c r="L23" s="43" t="str">
        <f>IF('Implied-Return Calculator'!T24="","",'Implied-Return Calculator'!T24)</f>
        <v/>
      </c>
      <c r="M23" s="43" t="str">
        <f>IF('Implied-Return Calculator'!U24="","",'Implied-Return Calculator'!U24)</f>
        <v/>
      </c>
      <c r="N23" s="56"/>
      <c r="O23" s="57"/>
      <c r="P23" s="43" t="str">
        <f t="shared" si="2"/>
        <v/>
      </c>
      <c r="Q23" s="43" t="str">
        <f t="shared" si="3"/>
        <v/>
      </c>
      <c r="R23" s="43" t="str">
        <f t="shared" si="4"/>
        <v/>
      </c>
    </row>
    <row r="24" spans="1:18" ht="15" customHeight="1" x14ac:dyDescent="0.2">
      <c r="A24" s="43" t="str">
        <f>IF(Scoring!A24="","",Scoring!A24)</f>
        <v/>
      </c>
      <c r="B24" s="26" t="str">
        <f>IF(Scoring!B24="","",Scoring!B24)</f>
        <v/>
      </c>
      <c r="C24" s="43" t="str">
        <f>IF(Scoring!AG24="","",IF(OR(Scoring!AG24="STRONG BUY",Scoring!AG24="BUY"),"PASS","FAIL"))</f>
        <v/>
      </c>
      <c r="D24" s="43" t="str">
        <f>IF(Scoring!AH24="","",IF(Scoring!AH24="OK","PASS","FAIL"))</f>
        <v/>
      </c>
      <c r="E24" s="43" t="str">
        <f>IF(Scoring!AI24="","",IF(Scoring!AI24="OK","PASS","FAIL — mandatory review required"))</f>
        <v/>
      </c>
      <c r="F24" s="37"/>
      <c r="G24" s="37"/>
      <c r="H24" s="43" t="str">
        <f t="shared" si="0"/>
        <v/>
      </c>
      <c r="I24" s="37"/>
      <c r="J24" s="37"/>
      <c r="K24" s="43" t="str">
        <f t="shared" si="1"/>
        <v/>
      </c>
      <c r="L24" s="43" t="str">
        <f>IF('Implied-Return Calculator'!T25="","",'Implied-Return Calculator'!T25)</f>
        <v/>
      </c>
      <c r="M24" s="43" t="str">
        <f>IF('Implied-Return Calculator'!U25="","",'Implied-Return Calculator'!U25)</f>
        <v/>
      </c>
      <c r="N24" s="56"/>
      <c r="O24" s="57"/>
      <c r="P24" s="43" t="str">
        <f t="shared" si="2"/>
        <v/>
      </c>
      <c r="Q24" s="43" t="str">
        <f t="shared" si="3"/>
        <v/>
      </c>
      <c r="R24" s="43" t="str">
        <f t="shared" si="4"/>
        <v/>
      </c>
    </row>
    <row r="25" spans="1:18" ht="15" customHeight="1" x14ac:dyDescent="0.2">
      <c r="A25" s="43" t="str">
        <f>IF(Scoring!A25="","",Scoring!A25)</f>
        <v/>
      </c>
      <c r="B25" s="26" t="str">
        <f>IF(Scoring!B25="","",Scoring!B25)</f>
        <v/>
      </c>
      <c r="C25" s="43" t="str">
        <f>IF(Scoring!AG25="","",IF(OR(Scoring!AG25="STRONG BUY",Scoring!AG25="BUY"),"PASS","FAIL"))</f>
        <v/>
      </c>
      <c r="D25" s="43" t="str">
        <f>IF(Scoring!AH25="","",IF(Scoring!AH25="OK","PASS","FAIL"))</f>
        <v/>
      </c>
      <c r="E25" s="43" t="str">
        <f>IF(Scoring!AI25="","",IF(Scoring!AI25="OK","PASS","FAIL — mandatory review required"))</f>
        <v/>
      </c>
      <c r="F25" s="37"/>
      <c r="G25" s="37"/>
      <c r="H25" s="43" t="str">
        <f t="shared" si="0"/>
        <v/>
      </c>
      <c r="I25" s="37"/>
      <c r="J25" s="37"/>
      <c r="K25" s="43" t="str">
        <f t="shared" si="1"/>
        <v/>
      </c>
      <c r="L25" s="43" t="str">
        <f>IF('Implied-Return Calculator'!T26="","",'Implied-Return Calculator'!T26)</f>
        <v/>
      </c>
      <c r="M25" s="43" t="str">
        <f>IF('Implied-Return Calculator'!U26="","",'Implied-Return Calculator'!U26)</f>
        <v/>
      </c>
      <c r="N25" s="56"/>
      <c r="O25" s="57"/>
      <c r="P25" s="43" t="str">
        <f t="shared" si="2"/>
        <v/>
      </c>
      <c r="Q25" s="43" t="str">
        <f t="shared" si="3"/>
        <v/>
      </c>
      <c r="R25" s="43" t="str">
        <f t="shared" si="4"/>
        <v/>
      </c>
    </row>
    <row r="26" spans="1:18" ht="15" customHeight="1" x14ac:dyDescent="0.2">
      <c r="A26" s="43" t="str">
        <f>IF(Scoring!A26="","",Scoring!A26)</f>
        <v/>
      </c>
      <c r="B26" s="26" t="str">
        <f>IF(Scoring!B26="","",Scoring!B26)</f>
        <v/>
      </c>
      <c r="C26" s="43" t="str">
        <f>IF(Scoring!AG26="","",IF(OR(Scoring!AG26="STRONG BUY",Scoring!AG26="BUY"),"PASS","FAIL"))</f>
        <v/>
      </c>
      <c r="D26" s="43" t="str">
        <f>IF(Scoring!AH26="","",IF(Scoring!AH26="OK","PASS","FAIL"))</f>
        <v/>
      </c>
      <c r="E26" s="43" t="str">
        <f>IF(Scoring!AI26="","",IF(Scoring!AI26="OK","PASS","FAIL — mandatory review required"))</f>
        <v/>
      </c>
      <c r="F26" s="37"/>
      <c r="G26" s="37"/>
      <c r="H26" s="43" t="str">
        <f t="shared" si="0"/>
        <v/>
      </c>
      <c r="I26" s="37"/>
      <c r="J26" s="37"/>
      <c r="K26" s="43" t="str">
        <f t="shared" si="1"/>
        <v/>
      </c>
      <c r="L26" s="43" t="str">
        <f>IF('Implied-Return Calculator'!T27="","",'Implied-Return Calculator'!T27)</f>
        <v/>
      </c>
      <c r="M26" s="43" t="str">
        <f>IF('Implied-Return Calculator'!U27="","",'Implied-Return Calculator'!U27)</f>
        <v/>
      </c>
      <c r="N26" s="56"/>
      <c r="O26" s="57"/>
      <c r="P26" s="43" t="str">
        <f t="shared" si="2"/>
        <v/>
      </c>
      <c r="Q26" s="43" t="str">
        <f t="shared" si="3"/>
        <v/>
      </c>
      <c r="R26" s="43" t="str">
        <f t="shared" si="4"/>
        <v/>
      </c>
    </row>
    <row r="27" spans="1:18" ht="15" customHeight="1" x14ac:dyDescent="0.2">
      <c r="A27" s="43" t="str">
        <f>IF(Scoring!A27="","",Scoring!A27)</f>
        <v/>
      </c>
      <c r="B27" s="26" t="str">
        <f>IF(Scoring!B27="","",Scoring!B27)</f>
        <v/>
      </c>
      <c r="C27" s="43" t="str">
        <f>IF(Scoring!AG27="","",IF(OR(Scoring!AG27="STRONG BUY",Scoring!AG27="BUY"),"PASS","FAIL"))</f>
        <v/>
      </c>
      <c r="D27" s="43" t="str">
        <f>IF(Scoring!AH27="","",IF(Scoring!AH27="OK","PASS","FAIL"))</f>
        <v/>
      </c>
      <c r="E27" s="43" t="str">
        <f>IF(Scoring!AI27="","",IF(Scoring!AI27="OK","PASS","FAIL — mandatory review required"))</f>
        <v/>
      </c>
      <c r="F27" s="37"/>
      <c r="G27" s="37"/>
      <c r="H27" s="43" t="str">
        <f t="shared" si="0"/>
        <v/>
      </c>
      <c r="I27" s="37"/>
      <c r="J27" s="37"/>
      <c r="K27" s="43" t="str">
        <f t="shared" si="1"/>
        <v/>
      </c>
      <c r="L27" s="43" t="str">
        <f>IF('Implied-Return Calculator'!T28="","",'Implied-Return Calculator'!T28)</f>
        <v/>
      </c>
      <c r="M27" s="43" t="str">
        <f>IF('Implied-Return Calculator'!U28="","",'Implied-Return Calculator'!U28)</f>
        <v/>
      </c>
      <c r="N27" s="56"/>
      <c r="O27" s="57"/>
      <c r="P27" s="43" t="str">
        <f t="shared" si="2"/>
        <v/>
      </c>
      <c r="Q27" s="43" t="str">
        <f t="shared" si="3"/>
        <v/>
      </c>
      <c r="R27" s="43" t="str">
        <f t="shared" si="4"/>
        <v/>
      </c>
    </row>
  </sheetData>
  <mergeCells count="1">
    <mergeCell ref="A1:R1"/>
  </mergeCells>
  <conditionalFormatting sqref="C3:C27">
    <cfRule type="cellIs" dxfId="49" priority="2" operator="equal">
      <formula>"PASS"</formula>
    </cfRule>
    <cfRule type="cellIs" dxfId="48" priority="3" operator="equal">
      <formula>"FAIL"</formula>
    </cfRule>
  </conditionalFormatting>
  <conditionalFormatting sqref="D3:D27">
    <cfRule type="cellIs" dxfId="47" priority="4" operator="equal">
      <formula>"PASS"</formula>
    </cfRule>
    <cfRule type="cellIs" dxfId="46" priority="5" operator="equal">
      <formula>"FAIL"</formula>
    </cfRule>
  </conditionalFormatting>
  <conditionalFormatting sqref="E3:E27">
    <cfRule type="expression" dxfId="45" priority="6">
      <formula>LEFT(E3,4)="PASS"</formula>
    </cfRule>
    <cfRule type="expression" dxfId="44" priority="7">
      <formula>LEFT(E3,4)="FAIL"</formula>
    </cfRule>
  </conditionalFormatting>
  <conditionalFormatting sqref="H3:H27">
    <cfRule type="cellIs" dxfId="43" priority="18" operator="equal">
      <formula>"Standard initial size"</formula>
    </cfRule>
    <cfRule type="expression" dxfId="42" priority="19">
      <formula>ISNUMBER(SEARCH("50%",H3))</formula>
    </cfRule>
  </conditionalFormatting>
  <conditionalFormatting sqref="K3:K27">
    <cfRule type="expression" dxfId="41" priority="8">
      <formula>LEFT(K3,4)="PASS"</formula>
    </cfRule>
    <cfRule type="expression" dxfId="40" priority="9">
      <formula>LEFT(K3,4)="FAIL"</formula>
    </cfRule>
  </conditionalFormatting>
  <conditionalFormatting sqref="L3:L27">
    <cfRule type="cellIs" dxfId="39" priority="12" operator="equal">
      <formula>"PASS"</formula>
    </cfRule>
    <cfRule type="cellIs" dxfId="38" priority="13" operator="equal">
      <formula>"FAIL"</formula>
    </cfRule>
  </conditionalFormatting>
  <conditionalFormatting sqref="M3:M27">
    <cfRule type="cellIs" dxfId="37" priority="14" operator="equal">
      <formula>"OK"</formula>
    </cfRule>
    <cfRule type="cellIs" dxfId="36" priority="15" operator="equal">
      <formula>"CHECK TAGS"</formula>
    </cfRule>
  </conditionalFormatting>
  <conditionalFormatting sqref="P3:P27">
    <cfRule type="expression" dxfId="35" priority="10">
      <formula>LEFT(P3,4)="PASS"</formula>
    </cfRule>
    <cfRule type="expression" dxfId="34" priority="11">
      <formula>LEFT(P3,4)="FAIL"</formula>
    </cfRule>
  </conditionalFormatting>
  <conditionalFormatting sqref="Q3:Q27">
    <cfRule type="cellIs" dxfId="33" priority="16" operator="equal">
      <formula>"YES"</formula>
    </cfRule>
    <cfRule type="expression" dxfId="32" priority="17">
      <formula>LEFT(Q3,2)="NO"</formula>
    </cfRule>
  </conditionalFormatting>
  <dataValidations count="1">
    <dataValidation type="list" allowBlank="1" sqref="F3:G27 I3:J27" xr:uid="{00000000-0002-0000-0700-000000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5"/>
  <sheetViews>
    <sheetView showGridLines="0" zoomScaleNormal="100" workbookViewId="0">
      <pane ySplit="2" topLeftCell="A3" activePane="bottomLeft" state="frozen"/>
      <selection pane="bottomLeft" sqref="A1:I1"/>
    </sheetView>
  </sheetViews>
  <sheetFormatPr baseColWidth="10" defaultColWidth="8.6640625" defaultRowHeight="15" x14ac:dyDescent="0.2"/>
  <cols>
    <col min="1" max="1" width="10" customWidth="1"/>
    <col min="2" max="2" width="20" customWidth="1"/>
    <col min="3" max="3" width="11" customWidth="1"/>
    <col min="4" max="4" width="13" customWidth="1"/>
    <col min="5" max="5" width="15" customWidth="1"/>
    <col min="6" max="6" width="9" customWidth="1"/>
    <col min="7" max="8" width="11" customWidth="1"/>
    <col min="9" max="9" width="12" customWidth="1"/>
  </cols>
  <sheetData>
    <row r="1" spans="1:9" ht="15" customHeight="1" x14ac:dyDescent="0.2">
      <c r="A1" s="1" t="s">
        <v>225</v>
      </c>
      <c r="B1" s="1"/>
      <c r="C1" s="1"/>
      <c r="D1" s="1"/>
      <c r="E1" s="1"/>
      <c r="F1" s="1"/>
      <c r="G1" s="1"/>
      <c r="H1" s="1"/>
      <c r="I1" s="1"/>
    </row>
    <row r="2" spans="1:9" ht="25.5" customHeight="1" x14ac:dyDescent="0.2">
      <c r="A2" s="44" t="s">
        <v>57</v>
      </c>
      <c r="B2" s="44" t="s">
        <v>166</v>
      </c>
      <c r="C2" s="44" t="s">
        <v>61</v>
      </c>
      <c r="D2" s="44" t="s">
        <v>226</v>
      </c>
      <c r="E2" s="44" t="s">
        <v>227</v>
      </c>
      <c r="F2" s="44" t="s">
        <v>228</v>
      </c>
      <c r="G2" s="44" t="s">
        <v>229</v>
      </c>
      <c r="H2" s="44" t="s">
        <v>230</v>
      </c>
      <c r="I2" s="44" t="s">
        <v>231</v>
      </c>
    </row>
    <row r="3" spans="1:9" ht="15" customHeight="1" x14ac:dyDescent="0.2">
      <c r="A3" s="58"/>
      <c r="B3" s="58"/>
      <c r="C3" s="59"/>
      <c r="D3" s="60"/>
      <c r="E3" s="24"/>
      <c r="F3" s="61"/>
      <c r="G3" s="59"/>
      <c r="H3" s="59"/>
      <c r="I3" s="62"/>
    </row>
    <row r="4" spans="1:9" ht="15" customHeight="1" x14ac:dyDescent="0.2">
      <c r="A4" s="58"/>
      <c r="B4" s="58"/>
      <c r="C4" s="59"/>
      <c r="D4" s="60"/>
      <c r="E4" s="24"/>
      <c r="F4" s="61"/>
      <c r="G4" s="59"/>
      <c r="H4" s="59"/>
      <c r="I4" s="62"/>
    </row>
    <row r="5" spans="1:9" ht="15" customHeight="1" x14ac:dyDescent="0.2">
      <c r="A5" s="58"/>
      <c r="B5" s="58"/>
      <c r="C5" s="59"/>
      <c r="D5" s="60"/>
      <c r="E5" s="24"/>
      <c r="F5" s="61"/>
      <c r="G5" s="59"/>
      <c r="H5" s="59"/>
      <c r="I5" s="62"/>
    </row>
    <row r="6" spans="1:9" ht="15" customHeight="1" x14ac:dyDescent="0.2">
      <c r="A6" s="58"/>
      <c r="B6" s="58"/>
      <c r="C6" s="59"/>
      <c r="D6" s="60"/>
      <c r="E6" s="24"/>
      <c r="F6" s="61"/>
      <c r="G6" s="59"/>
      <c r="H6" s="59"/>
      <c r="I6" s="62"/>
    </row>
    <row r="7" spans="1:9" ht="15" customHeight="1" x14ac:dyDescent="0.2">
      <c r="A7" s="58"/>
      <c r="B7" s="58"/>
      <c r="C7" s="59"/>
      <c r="D7" s="60"/>
      <c r="E7" s="24"/>
      <c r="F7" s="61"/>
      <c r="G7" s="59"/>
      <c r="H7" s="59"/>
      <c r="I7" s="62"/>
    </row>
    <row r="8" spans="1:9" ht="15" customHeight="1" x14ac:dyDescent="0.2">
      <c r="A8" s="58"/>
      <c r="B8" s="58"/>
      <c r="C8" s="59"/>
      <c r="D8" s="60"/>
      <c r="E8" s="24"/>
      <c r="F8" s="61"/>
      <c r="G8" s="59"/>
      <c r="H8" s="59"/>
      <c r="I8" s="62"/>
    </row>
    <row r="9" spans="1:9" ht="15" customHeight="1" x14ac:dyDescent="0.2">
      <c r="A9" s="58"/>
      <c r="B9" s="58"/>
      <c r="C9" s="59"/>
      <c r="D9" s="60"/>
      <c r="E9" s="24"/>
      <c r="F9" s="61"/>
      <c r="G9" s="59"/>
      <c r="H9" s="59"/>
      <c r="I9" s="62"/>
    </row>
    <row r="10" spans="1:9" ht="15" customHeight="1" x14ac:dyDescent="0.2">
      <c r="A10" s="58"/>
      <c r="B10" s="58"/>
      <c r="C10" s="59"/>
      <c r="D10" s="60"/>
      <c r="E10" s="24"/>
      <c r="F10" s="61"/>
      <c r="G10" s="59"/>
      <c r="H10" s="59"/>
      <c r="I10" s="62"/>
    </row>
    <row r="11" spans="1:9" ht="15" customHeight="1" x14ac:dyDescent="0.2">
      <c r="A11" s="58"/>
      <c r="B11" s="58"/>
      <c r="C11" s="59"/>
      <c r="D11" s="60"/>
      <c r="E11" s="24"/>
      <c r="F11" s="61"/>
      <c r="G11" s="59"/>
      <c r="H11" s="59"/>
      <c r="I11" s="62"/>
    </row>
    <row r="12" spans="1:9" ht="15" customHeight="1" x14ac:dyDescent="0.2">
      <c r="A12" s="58"/>
      <c r="B12" s="58"/>
      <c r="C12" s="59"/>
      <c r="D12" s="60"/>
      <c r="E12" s="24"/>
      <c r="F12" s="61"/>
      <c r="G12" s="59"/>
      <c r="H12" s="59"/>
      <c r="I12" s="62"/>
    </row>
    <row r="13" spans="1:9" ht="15" customHeight="1" x14ac:dyDescent="0.2">
      <c r="A13" s="58"/>
      <c r="B13" s="58"/>
      <c r="C13" s="59"/>
      <c r="D13" s="60"/>
      <c r="E13" s="24"/>
      <c r="F13" s="61"/>
      <c r="G13" s="59"/>
      <c r="H13" s="59"/>
      <c r="I13" s="62"/>
    </row>
    <row r="14" spans="1:9" ht="15" customHeight="1" x14ac:dyDescent="0.2">
      <c r="A14" s="58"/>
      <c r="B14" s="58"/>
      <c r="C14" s="59"/>
      <c r="D14" s="60"/>
      <c r="E14" s="24"/>
      <c r="F14" s="61"/>
      <c r="G14" s="59"/>
      <c r="H14" s="59"/>
      <c r="I14" s="62"/>
    </row>
    <row r="15" spans="1:9" ht="15" customHeight="1" x14ac:dyDescent="0.2">
      <c r="A15" s="58"/>
      <c r="B15" s="58"/>
      <c r="C15" s="59"/>
      <c r="D15" s="60"/>
      <c r="E15" s="24"/>
      <c r="F15" s="61"/>
      <c r="G15" s="59"/>
      <c r="H15" s="59"/>
      <c r="I15" s="62"/>
    </row>
    <row r="16" spans="1:9" ht="15" customHeight="1" x14ac:dyDescent="0.2">
      <c r="A16" s="58"/>
      <c r="B16" s="58"/>
      <c r="C16" s="59"/>
      <c r="D16" s="60"/>
      <c r="E16" s="24"/>
      <c r="F16" s="61"/>
      <c r="G16" s="59"/>
      <c r="H16" s="59"/>
      <c r="I16" s="62"/>
    </row>
    <row r="17" spans="1:9" ht="15" customHeight="1" x14ac:dyDescent="0.2">
      <c r="A17" s="58"/>
      <c r="B17" s="58"/>
      <c r="C17" s="59"/>
      <c r="D17" s="60"/>
      <c r="E17" s="24"/>
      <c r="F17" s="61"/>
      <c r="G17" s="59"/>
      <c r="H17" s="59"/>
      <c r="I17" s="62"/>
    </row>
    <row r="18" spans="1:9" ht="15" customHeight="1" x14ac:dyDescent="0.2">
      <c r="A18" s="58"/>
      <c r="B18" s="58"/>
      <c r="C18" s="59"/>
      <c r="D18" s="60"/>
      <c r="E18" s="24"/>
      <c r="F18" s="61"/>
      <c r="G18" s="59"/>
      <c r="H18" s="59"/>
      <c r="I18" s="62"/>
    </row>
    <row r="19" spans="1:9" ht="15" customHeight="1" x14ac:dyDescent="0.2">
      <c r="A19" s="58"/>
      <c r="B19" s="58"/>
      <c r="C19" s="59"/>
      <c r="D19" s="60"/>
      <c r="E19" s="24"/>
      <c r="F19" s="61"/>
      <c r="G19" s="59"/>
      <c r="H19" s="59"/>
      <c r="I19" s="62"/>
    </row>
    <row r="20" spans="1:9" ht="15" customHeight="1" x14ac:dyDescent="0.2">
      <c r="A20" s="58"/>
      <c r="B20" s="58"/>
      <c r="C20" s="59"/>
      <c r="D20" s="60"/>
      <c r="E20" s="24"/>
      <c r="F20" s="61"/>
      <c r="G20" s="59"/>
      <c r="H20" s="59"/>
      <c r="I20" s="62"/>
    </row>
    <row r="21" spans="1:9" ht="15" customHeight="1" x14ac:dyDescent="0.2">
      <c r="A21" s="58"/>
      <c r="B21" s="58"/>
      <c r="C21" s="59"/>
      <c r="D21" s="60"/>
      <c r="E21" s="24"/>
      <c r="F21" s="61"/>
      <c r="G21" s="59"/>
      <c r="H21" s="59"/>
      <c r="I21" s="62"/>
    </row>
    <row r="22" spans="1:9" ht="15" customHeight="1" x14ac:dyDescent="0.2">
      <c r="A22" s="58"/>
      <c r="B22" s="58"/>
      <c r="C22" s="59"/>
      <c r="D22" s="60"/>
      <c r="E22" s="24"/>
      <c r="F22" s="61"/>
      <c r="G22" s="59"/>
      <c r="H22" s="59"/>
      <c r="I22" s="62"/>
    </row>
    <row r="23" spans="1:9" ht="15" customHeight="1" x14ac:dyDescent="0.2">
      <c r="A23" s="58"/>
      <c r="B23" s="58"/>
      <c r="C23" s="59"/>
      <c r="D23" s="60"/>
      <c r="E23" s="24"/>
      <c r="F23" s="61"/>
      <c r="G23" s="59"/>
      <c r="H23" s="59"/>
      <c r="I23" s="62"/>
    </row>
    <row r="24" spans="1:9" ht="15" customHeight="1" x14ac:dyDescent="0.2">
      <c r="A24" s="58"/>
      <c r="B24" s="58"/>
      <c r="C24" s="59"/>
      <c r="D24" s="60"/>
      <c r="E24" s="24"/>
      <c r="F24" s="61"/>
      <c r="G24" s="59"/>
      <c r="H24" s="59"/>
      <c r="I24" s="62"/>
    </row>
    <row r="25" spans="1:9" ht="15" customHeight="1" x14ac:dyDescent="0.2">
      <c r="A25" s="58"/>
      <c r="B25" s="58"/>
      <c r="C25" s="59"/>
      <c r="D25" s="60"/>
      <c r="E25" s="24"/>
      <c r="F25" s="61"/>
      <c r="G25" s="59"/>
      <c r="H25" s="59"/>
      <c r="I25" s="62"/>
    </row>
    <row r="26" spans="1:9" ht="15" customHeight="1" x14ac:dyDescent="0.2">
      <c r="A26" s="58"/>
      <c r="B26" s="58"/>
      <c r="C26" s="59"/>
      <c r="D26" s="60"/>
      <c r="E26" s="24"/>
      <c r="F26" s="61"/>
      <c r="G26" s="59"/>
      <c r="H26" s="59"/>
      <c r="I26" s="62"/>
    </row>
    <row r="27" spans="1:9" ht="15" customHeight="1" x14ac:dyDescent="0.2">
      <c r="A27" s="58"/>
      <c r="B27" s="58"/>
      <c r="C27" s="59"/>
      <c r="D27" s="60"/>
      <c r="E27" s="24"/>
      <c r="F27" s="61"/>
      <c r="G27" s="59"/>
      <c r="H27" s="59"/>
      <c r="I27" s="62"/>
    </row>
    <row r="30" spans="1:9" ht="15" customHeight="1" x14ac:dyDescent="0.2">
      <c r="A30" s="4" t="s">
        <v>232</v>
      </c>
      <c r="B30" s="4"/>
      <c r="C30" s="4"/>
      <c r="D30" s="4"/>
      <c r="E30" s="4"/>
      <c r="F30" s="4"/>
      <c r="G30" s="4"/>
      <c r="H30" s="4"/>
      <c r="I30" s="4"/>
    </row>
    <row r="31" spans="1:9" ht="15" customHeight="1" x14ac:dyDescent="0.2">
      <c r="A31" s="4" t="s">
        <v>233</v>
      </c>
      <c r="B31" s="4"/>
      <c r="C31" s="4"/>
      <c r="D31" s="4"/>
      <c r="E31" s="4"/>
      <c r="F31" s="4"/>
      <c r="G31" s="4"/>
      <c r="H31" s="4"/>
      <c r="I31" s="4"/>
    </row>
    <row r="32" spans="1:9" ht="15" customHeight="1" x14ac:dyDescent="0.2">
      <c r="A32" s="4" t="s">
        <v>234</v>
      </c>
      <c r="B32" s="4"/>
      <c r="C32" s="4"/>
      <c r="D32" s="4"/>
      <c r="E32" s="4"/>
      <c r="F32" s="4"/>
      <c r="G32" s="4"/>
      <c r="H32" s="4"/>
      <c r="I32" s="4"/>
    </row>
    <row r="33" spans="1:9" ht="15" customHeight="1" x14ac:dyDescent="0.2">
      <c r="A33" s="4" t="s">
        <v>235</v>
      </c>
      <c r="B33" s="4"/>
      <c r="C33" s="4"/>
      <c r="D33" s="4"/>
      <c r="E33" s="4"/>
      <c r="F33" s="4"/>
      <c r="G33" s="4"/>
      <c r="H33" s="4"/>
      <c r="I33" s="4"/>
    </row>
    <row r="34" spans="1:9" ht="15" customHeight="1" x14ac:dyDescent="0.2">
      <c r="A34" s="4" t="s">
        <v>236</v>
      </c>
      <c r="B34" s="4"/>
      <c r="C34" s="4"/>
      <c r="D34" s="4"/>
      <c r="E34" s="4"/>
      <c r="F34" s="4"/>
      <c r="G34" s="4"/>
      <c r="H34" s="4"/>
      <c r="I34" s="4"/>
    </row>
    <row r="35" spans="1:9" ht="15" customHeight="1" x14ac:dyDescent="0.2">
      <c r="A35" s="4" t="s">
        <v>237</v>
      </c>
      <c r="B35" s="4"/>
      <c r="C35" s="4"/>
      <c r="D35" s="4"/>
      <c r="E35" s="4"/>
      <c r="F35" s="4"/>
      <c r="G35" s="4"/>
      <c r="H35" s="4"/>
      <c r="I35" s="4"/>
    </row>
  </sheetData>
  <mergeCells count="7">
    <mergeCell ref="A34:I34"/>
    <mergeCell ref="A35:I35"/>
    <mergeCell ref="A1:I1"/>
    <mergeCell ref="A30:I30"/>
    <mergeCell ref="A31:I31"/>
    <mergeCell ref="A32:I32"/>
    <mergeCell ref="A33:I33"/>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61"/>
  <sheetViews>
    <sheetView showGridLines="0" zoomScaleNormal="100" workbookViewId="0">
      <selection sqref="A1:Q1"/>
    </sheetView>
  </sheetViews>
  <sheetFormatPr baseColWidth="10" defaultColWidth="8.6640625" defaultRowHeight="15" x14ac:dyDescent="0.2"/>
  <cols>
    <col min="1" max="1" width="12" customWidth="1"/>
    <col min="2" max="17" width="11" customWidth="1"/>
  </cols>
  <sheetData>
    <row r="1" spans="1:17" ht="15" customHeight="1" x14ac:dyDescent="0.2">
      <c r="A1" s="7" t="s">
        <v>238</v>
      </c>
      <c r="B1" s="7"/>
      <c r="C1" s="7"/>
      <c r="D1" s="7"/>
      <c r="E1" s="7"/>
      <c r="F1" s="7"/>
      <c r="G1" s="7"/>
      <c r="H1" s="7"/>
      <c r="I1" s="7"/>
      <c r="J1" s="7"/>
      <c r="K1" s="7"/>
      <c r="L1" s="7"/>
      <c r="M1" s="7"/>
      <c r="N1" s="7"/>
      <c r="O1" s="7"/>
      <c r="P1" s="7"/>
      <c r="Q1" s="7"/>
    </row>
    <row r="2" spans="1:17" ht="15" customHeight="1" x14ac:dyDescent="0.2">
      <c r="A2" s="44" t="s">
        <v>162</v>
      </c>
      <c r="B2" s="44" t="str">
        <f>'Price History'!B2</f>
        <v>ADBE</v>
      </c>
      <c r="C2" s="44" t="str">
        <f>'Price History'!C2</f>
        <v>ANET</v>
      </c>
      <c r="D2" s="44" t="str">
        <f>'Price History'!D2</f>
        <v>ASML</v>
      </c>
      <c r="E2" s="44" t="str">
        <f>'Price History'!E2</f>
        <v>AVGO</v>
      </c>
      <c r="F2" s="44" t="str">
        <f>'Price History'!F2</f>
        <v>CRWD</v>
      </c>
      <c r="G2" s="44" t="str">
        <f>'Price History'!G2</f>
        <v>KLAC</v>
      </c>
      <c r="H2" s="44" t="str">
        <f>'Price History'!H2</f>
        <v>MU</v>
      </c>
      <c r="I2" s="44" t="str">
        <f>'Price History'!I2</f>
        <v>NVDA</v>
      </c>
      <c r="J2" s="44" t="str">
        <f>'Price History'!J2</f>
        <v>PLD</v>
      </c>
      <c r="K2" s="44" t="str">
        <f>'Price History'!K2</f>
        <v>PLTR</v>
      </c>
      <c r="L2" s="44" t="str">
        <f>'Price History'!L2</f>
        <v>TSM</v>
      </c>
      <c r="M2" s="44" t="str">
        <f>'Price History'!M2</f>
        <v>VRT</v>
      </c>
      <c r="N2" s="44" t="str">
        <f>'Price History'!N2</f>
        <v>VRTX</v>
      </c>
      <c r="O2" s="44" t="str">
        <f>'Price History'!O2</f>
        <v>Ticker 14</v>
      </c>
      <c r="P2" s="44" t="str">
        <f>'Price History'!P2</f>
        <v>Ticker 15</v>
      </c>
      <c r="Q2" s="44" t="str">
        <f>'Price History'!Q2</f>
        <v>Ticker 16</v>
      </c>
    </row>
    <row r="3" spans="1:17" ht="15" customHeight="1" x14ac:dyDescent="0.2">
      <c r="A3" s="49">
        <f>'Price History'!A4</f>
        <v>45156</v>
      </c>
      <c r="B3" s="63">
        <f>IF(OR('Price History'!B4="",'Price History'!B3="",'Price History'!B3=0),"",'Price History'!B4/'Price History'!B3-1)</f>
        <v>-6.2936375258138E-4</v>
      </c>
      <c r="C3" s="63">
        <f>IF(OR('Price History'!C4="",'Price History'!C3="",'Price History'!C3=0),"",'Price History'!C4/'Price History'!C3-1)</f>
        <v>3.2007315957933269E-2</v>
      </c>
      <c r="D3" s="63">
        <f>IF(OR('Price History'!D4="",'Price History'!D3="",'Price History'!D3=0),"",'Price History'!D4/'Price History'!D3-1)</f>
        <v>-9.7464414155761236E-3</v>
      </c>
      <c r="E3" s="63">
        <f>IF(OR('Price History'!E4="",'Price History'!E3="",'Price History'!E3=0),"",'Price History'!E4/'Price History'!E3-1)</f>
        <v>-4.8204386599181026E-3</v>
      </c>
      <c r="F3" s="63">
        <f>IF(OR('Price History'!F4="",'Price History'!F3="",'Price History'!F3=0),"",'Price History'!F4/'Price History'!F3-1)</f>
        <v>-9.7139773340528812E-3</v>
      </c>
      <c r="G3" s="63">
        <f>IF(OR('Price History'!G4="",'Price History'!G3="",'Price History'!G3=0),"",'Price History'!G4/'Price History'!G3-1)</f>
        <v>-2.0876826722338038E-3</v>
      </c>
      <c r="H3" s="63">
        <f>IF(OR('Price History'!H4="",'Price History'!H3="",'Price History'!H3=0),"",'Price History'!H4/'Price History'!H3-1)</f>
        <v>-1.2117446015224465E-2</v>
      </c>
      <c r="I3" s="63">
        <f>IF(OR('Price History'!I4="",'Price History'!I3="",'Price History'!I3=0),"",'Price History'!I4/'Price History'!I3-1)</f>
        <v>5.9975520195838294E-2</v>
      </c>
      <c r="J3" s="63">
        <f>IF(OR('Price History'!J4="",'Price History'!J3="",'Price History'!J3=0),"",'Price History'!J4/'Price History'!J3-1)</f>
        <v>-1.651688122419237E-2</v>
      </c>
      <c r="K3" s="63">
        <f>IF(OR('Price History'!K4="",'Price History'!K3="",'Price History'!K3=0),"",'Price History'!K4/'Price History'!K3-1)</f>
        <v>-6.5541855937702787E-2</v>
      </c>
      <c r="L3" s="63">
        <f>IF(OR('Price History'!L4="",'Price History'!L3="",'Price History'!L3=0),"",'Price History'!L4/'Price History'!L3-1)</f>
        <v>-9.6749646700728942E-3</v>
      </c>
      <c r="M3" s="63">
        <f>IF(OR('Price History'!M4="",'Price History'!M3="",'Price History'!M3=0),"",'Price History'!M4/'Price History'!M3-1)</f>
        <v>1.372724559832883E-2</v>
      </c>
      <c r="N3" s="63">
        <f>IF(OR('Price History'!N4="",'Price History'!N3="",'Price History'!N3=0),"",'Price History'!N4/'Price History'!N3-1)</f>
        <v>-1.4405762304922076E-2</v>
      </c>
      <c r="O3" s="63" t="str">
        <f>IF(OR('Price History'!O4="",'Price History'!O3="",'Price History'!O3=0),"",'Price History'!O4/'Price History'!O3-1)</f>
        <v/>
      </c>
      <c r="P3" s="63" t="str">
        <f>IF(OR('Price History'!P4="",'Price History'!P3="",'Price History'!P3=0),"",'Price History'!P4/'Price History'!P3-1)</f>
        <v/>
      </c>
      <c r="Q3" s="63" t="str">
        <f>IF(OR('Price History'!Q4="",'Price History'!Q3="",'Price History'!Q3=0),"",'Price History'!Q4/'Price History'!Q3-1)</f>
        <v/>
      </c>
    </row>
    <row r="4" spans="1:17" ht="15" customHeight="1" x14ac:dyDescent="0.2">
      <c r="A4" s="49">
        <f>'Price History'!A5</f>
        <v>45163</v>
      </c>
      <c r="B4" s="63">
        <f>IF(OR('Price History'!B5="",'Price History'!B4="",'Price History'!B4=0),"",'Price History'!B5/'Price History'!B4-1)</f>
        <v>3.3318245330919094E-2</v>
      </c>
      <c r="C4" s="63">
        <f>IF(OR('Price History'!C5="",'Price History'!C4="",'Price History'!C4=0),"",'Price History'!C5/'Price History'!C4-1)</f>
        <v>1.9937970757641921E-3</v>
      </c>
      <c r="D4" s="63">
        <f>IF(OR('Price History'!D5="",'Price History'!D4="",'Price History'!D4=0),"",'Price History'!D5/'Price History'!D4-1)</f>
        <v>-6.5920986373277923E-3</v>
      </c>
      <c r="E4" s="63">
        <f>IF(OR('Price History'!E5="",'Price History'!E4="",'Price History'!E4=0),"",'Price History'!E5/'Price History'!E4-1)</f>
        <v>3.1484620973601496E-2</v>
      </c>
      <c r="F4" s="63">
        <f>IF(OR('Price History'!F5="",'Price History'!F4="",'Price History'!F4=0),"",'Price History'!F5/'Price History'!F4-1)</f>
        <v>1.9073569482288777E-2</v>
      </c>
      <c r="G4" s="63">
        <f>IF(OR('Price History'!G5="",'Price History'!G4="",'Price History'!G4=0),"",'Price History'!G5/'Price History'!G4-1)</f>
        <v>7.7405857740586725E-3</v>
      </c>
      <c r="H4" s="63">
        <f>IF(OR('Price History'!H5="",'Price History'!H4="",'Price History'!H4=0),"",'Price History'!H5/'Price History'!H4-1)</f>
        <v>2.0443465953765561E-3</v>
      </c>
      <c r="I4" s="63">
        <f>IF(OR('Price History'!I5="",'Price History'!I4="",'Price History'!I4=0),"",'Price History'!I5/'Price History'!I4-1)</f>
        <v>6.2817551963048723E-2</v>
      </c>
      <c r="J4" s="63">
        <f>IF(OR('Price History'!J5="",'Price History'!J4="",'Price History'!J4=0),"",'Price History'!J5/'Price History'!J4-1)</f>
        <v>9.7966576109327352E-3</v>
      </c>
      <c r="K4" s="63">
        <f>IF(OR('Price History'!K5="",'Price History'!K4="",'Price History'!K4=0),"",'Price History'!K5/'Price History'!K4-1)</f>
        <v>9.0277777777776347E-3</v>
      </c>
      <c r="L4" s="63">
        <f>IF(OR('Price History'!L5="",'Price History'!L4="",'Price History'!L4=0),"",'Price History'!L5/'Price History'!L4-1)</f>
        <v>2.1953896816685026E-2</v>
      </c>
      <c r="M4" s="63">
        <f>IF(OR('Price History'!M5="",'Price History'!M4="",'Price History'!M4=0),"",'Price History'!M5/'Price History'!M4-1)</f>
        <v>0.10391521931115699</v>
      </c>
      <c r="N4" s="63">
        <f>IF(OR('Price History'!N5="",'Price History'!N4="",'Price History'!N4=0),"",'Price History'!N5/'Price History'!N4-1)</f>
        <v>1.5196334319355076E-2</v>
      </c>
      <c r="O4" s="63" t="str">
        <f>IF(OR('Price History'!O5="",'Price History'!O4="",'Price History'!O4=0),"",'Price History'!O5/'Price History'!O4-1)</f>
        <v/>
      </c>
      <c r="P4" s="63" t="str">
        <f>IF(OR('Price History'!P5="",'Price History'!P4="",'Price History'!P4=0),"",'Price History'!P5/'Price History'!P4-1)</f>
        <v/>
      </c>
      <c r="Q4" s="63" t="str">
        <f>IF(OR('Price History'!Q5="",'Price History'!Q4="",'Price History'!Q4=0),"",'Price History'!Q5/'Price History'!Q4-1)</f>
        <v/>
      </c>
    </row>
    <row r="5" spans="1:17" ht="15" customHeight="1" x14ac:dyDescent="0.2">
      <c r="A5" s="49">
        <f>'Price History'!A6</f>
        <v>45170</v>
      </c>
      <c r="B5" s="63">
        <f>IF(OR('Price History'!B6="",'Price History'!B5="",'Price History'!B5=0),"",'Price History'!B6/'Price History'!B5-1)</f>
        <v>7.2658362853769365E-2</v>
      </c>
      <c r="C5" s="63">
        <f>IF(OR('Price History'!C6="",'Price History'!C5="",'Price History'!C5=0),"",'Price History'!C6/'Price History'!C5-1)</f>
        <v>9.0868892328100914E-2</v>
      </c>
      <c r="D5" s="63">
        <f>IF(OR('Price History'!D6="",'Price History'!D5="",'Price History'!D5=0),"",'Price History'!D6/'Price History'!D5-1)</f>
        <v>1.7680219965899191E-2</v>
      </c>
      <c r="E5" s="63">
        <f>IF(OR('Price History'!E6="",'Price History'!E5="",'Price History'!E5=0),"",'Price History'!E6/'Price History'!E5-1)</f>
        <v>2.4301479220474098E-2</v>
      </c>
      <c r="F5" s="63">
        <f>IF(OR('Price History'!F6="",'Price History'!F5="",'Price History'!F5=0),"",'Price History'!F6/'Price History'!F5-1)</f>
        <v>7.780748663101611E-2</v>
      </c>
      <c r="G5" s="63">
        <f>IF(OR('Price History'!G6="",'Price History'!G5="",'Price History'!G5=0),"",'Price History'!G6/'Price History'!G5-1)</f>
        <v>5.2522316794685553E-2</v>
      </c>
      <c r="H5" s="63">
        <f>IF(OR('Price History'!H6="",'Price History'!H5="",'Price History'!H5=0),"",'Price History'!H6/'Price History'!H5-1)</f>
        <v>0.10467671060891393</v>
      </c>
      <c r="I5" s="63">
        <f>IF(OR('Price History'!I6="",'Price History'!I5="",'Price History'!I5=0),"",'Price History'!I6/'Price History'!I5-1)</f>
        <v>5.4106910039113387E-2</v>
      </c>
      <c r="J5" s="63">
        <f>IF(OR('Price History'!J6="",'Price History'!J5="",'Price History'!J5=0),"",'Price History'!J6/'Price History'!J5-1)</f>
        <v>1.5734550790803992E-2</v>
      </c>
      <c r="K5" s="63">
        <f>IF(OR('Price History'!K6="",'Price History'!K5="",'Price History'!K5=0),"",'Price History'!K6/'Price History'!K5-1)</f>
        <v>4.4735030970405987E-2</v>
      </c>
      <c r="L5" s="63">
        <f>IF(OR('Price History'!L6="",'Price History'!L5="",'Price History'!L5=0),"",'Price History'!L6/'Price History'!L5-1)</f>
        <v>9.6670247046182212E-4</v>
      </c>
      <c r="M5" s="63">
        <f>IF(OR('Price History'!M6="",'Price History'!M5="",'Price History'!M5=0),"",'Price History'!M6/'Price History'!M5-1)</f>
        <v>6.3199999999999923E-2</v>
      </c>
      <c r="N5" s="63">
        <f>IF(OR('Price History'!N6="",'Price History'!N5="",'Price History'!N5=0),"",'Price History'!N6/'Price History'!N5-1)</f>
        <v>2.9709192709821419E-3</v>
      </c>
      <c r="O5" s="63" t="str">
        <f>IF(OR('Price History'!O6="",'Price History'!O5="",'Price History'!O5=0),"",'Price History'!O6/'Price History'!O5-1)</f>
        <v/>
      </c>
      <c r="P5" s="63" t="str">
        <f>IF(OR('Price History'!P6="",'Price History'!P5="",'Price History'!P5=0),"",'Price History'!P6/'Price History'!P5-1)</f>
        <v/>
      </c>
      <c r="Q5" s="63" t="str">
        <f>IF(OR('Price History'!Q6="",'Price History'!Q5="",'Price History'!Q5=0),"",'Price History'!Q6/'Price History'!Q5-1)</f>
        <v/>
      </c>
    </row>
    <row r="6" spans="1:17" ht="15" customHeight="1" x14ac:dyDescent="0.2">
      <c r="A6" s="49">
        <f>'Price History'!A7</f>
        <v>45177</v>
      </c>
      <c r="B6" s="63">
        <f>IF(OR('Price History'!B7="",'Price History'!B6="",'Price History'!B6=0),"",'Price History'!B7/'Price History'!B6-1)</f>
        <v>-5.0602794694697417E-3</v>
      </c>
      <c r="C6" s="63">
        <f>IF(OR('Price History'!C7="",'Price History'!C6="",'Price History'!C6=0),"",'Price History'!C7/'Price History'!C6-1)</f>
        <v>-4.4588569112283816E-3</v>
      </c>
      <c r="D6" s="63">
        <f>IF(OR('Price History'!D7="",'Price History'!D6="",'Price History'!D6=0),"",'Price History'!D7/'Price History'!D6-1)</f>
        <v>-5.2315401799190919E-2</v>
      </c>
      <c r="E6" s="63">
        <f>IF(OR('Price History'!E7="",'Price History'!E6="",'Price History'!E6=0),"",'Price History'!E7/'Price History'!E6-1)</f>
        <v>-1.7077363896848108E-2</v>
      </c>
      <c r="F6" s="63">
        <f>IF(OR('Price History'!F7="",'Price History'!F6="",'Price History'!F6=0),"",'Price History'!F7/'Price History'!F6-1)</f>
        <v>4.242123542545273E-2</v>
      </c>
      <c r="G6" s="63">
        <f>IF(OR('Price History'!G7="",'Price History'!G6="",'Price History'!G6=0),"",'Price History'!G7/'Price History'!G6-1)</f>
        <v>-1.834319526627215E-2</v>
      </c>
      <c r="H6" s="63">
        <f>IF(OR('Price History'!H7="",'Price History'!H6="",'Price History'!H6=0),"",'Price History'!H7/'Price History'!H6-1)</f>
        <v>-2.9833783207841025E-3</v>
      </c>
      <c r="I6" s="63">
        <f>IF(OR('Price History'!I7="",'Price History'!I6="",'Price History'!I6=0),"",'Price History'!I7/'Price History'!I6-1)</f>
        <v>-6.0606060606060552E-2</v>
      </c>
      <c r="J6" s="63">
        <f>IF(OR('Price History'!J7="",'Price History'!J6="",'Price History'!J6=0),"",'Price History'!J7/'Price History'!J6-1)</f>
        <v>-1.6935548599406047E-2</v>
      </c>
      <c r="K6" s="63">
        <f>IF(OR('Price History'!K7="",'Price History'!K6="",'Price History'!K6=0),"",'Price History'!K7/'Price History'!K6-1)</f>
        <v>-3.2938076416336726E-3</v>
      </c>
      <c r="L6" s="63">
        <f>IF(OR('Price History'!L7="",'Price History'!L6="",'Price History'!L6=0),"",'Price History'!L7/'Price History'!L6-1)</f>
        <v>-3.8094216117609103E-2</v>
      </c>
      <c r="M6" s="63">
        <f>IF(OR('Price History'!M7="",'Price History'!M6="",'Price History'!M6=0),"",'Price History'!M7/'Price History'!M6-1)</f>
        <v>-1.6804614998745748E-2</v>
      </c>
      <c r="N6" s="63">
        <f>IF(OR('Price History'!N7="",'Price History'!N6="",'Price History'!N6=0),"",'Price History'!N7/'Price History'!N6-1)</f>
        <v>-2.2927940757618948E-2</v>
      </c>
      <c r="O6" s="63" t="str">
        <f>IF(OR('Price History'!O7="",'Price History'!O6="",'Price History'!O6=0),"",'Price History'!O7/'Price History'!O6-1)</f>
        <v/>
      </c>
      <c r="P6" s="63" t="str">
        <f>IF(OR('Price History'!P7="",'Price History'!P6="",'Price History'!P6=0),"",'Price History'!P7/'Price History'!P6-1)</f>
        <v/>
      </c>
      <c r="Q6" s="63" t="str">
        <f>IF(OR('Price History'!Q7="",'Price History'!Q6="",'Price History'!Q6=0),"",'Price History'!Q7/'Price History'!Q6-1)</f>
        <v/>
      </c>
    </row>
    <row r="7" spans="1:17" ht="15" customHeight="1" x14ac:dyDescent="0.2">
      <c r="A7" s="49">
        <f>'Price History'!A8</f>
        <v>45184</v>
      </c>
      <c r="B7" s="63">
        <f>IF(OR('Price History'!B8="",'Price History'!B7="",'Price History'!B7=0),"",'Price History'!B8/'Price History'!B7-1)</f>
        <v>-5.6160325505032471E-2</v>
      </c>
      <c r="C7" s="63">
        <f>IF(OR('Price History'!C8="",'Price History'!C7="",'Price History'!C7=0),"",'Price History'!C8/'Price History'!C7-1)</f>
        <v>-5.985342019543971E-2</v>
      </c>
      <c r="D7" s="63">
        <f>IF(OR('Price History'!D8="",'Price History'!D7="",'Price History'!D7=0),"",'Price History'!D8/'Price History'!D7-1)</f>
        <v>-4.9692606632051772E-2</v>
      </c>
      <c r="E7" s="63">
        <f>IF(OR('Price History'!E8="",'Price History'!E7="",'Price History'!E7=0),"",'Price History'!E8/'Price History'!E7-1)</f>
        <v>-6.8796641791045721E-3</v>
      </c>
      <c r="F7" s="63">
        <f>IF(OR('Price History'!F8="",'Price History'!F7="",'Price History'!F7=0),"",'Price History'!F8/'Price History'!F7-1)</f>
        <v>-1.5706806282722585E-2</v>
      </c>
      <c r="G7" s="63">
        <f>IF(OR('Price History'!G8="",'Price History'!G7="",'Price History'!G7=0),"",'Price History'!G8/'Price History'!G7-1)</f>
        <v>-8.7402049427365958E-2</v>
      </c>
      <c r="H7" s="63">
        <f>IF(OR('Price History'!H8="",'Price History'!H7="",'Price History'!H7=0),"",'Price History'!H8/'Price History'!H7-1)</f>
        <v>-4.274722143060905E-3</v>
      </c>
      <c r="I7" s="63">
        <f>IF(OR('Price History'!I8="",'Price History'!I7="",'Price History'!I7=0),"",'Price History'!I8/'Price History'!I7-1)</f>
        <v>-3.6646916831248655E-2</v>
      </c>
      <c r="J7" s="63">
        <f>IF(OR('Price History'!J8="",'Price History'!J7="",'Price History'!J7=0),"",'Price History'!J8/'Price History'!J7-1)</f>
        <v>5.7152188112346014E-3</v>
      </c>
      <c r="K7" s="63">
        <f>IF(OR('Price History'!K8="",'Price History'!K7="",'Price History'!K7=0),"",'Price History'!K8/'Price History'!K7-1)</f>
        <v>1.3218770654329193E-2</v>
      </c>
      <c r="L7" s="63">
        <f>IF(OR('Price History'!L8="",'Price History'!L7="",'Price History'!L7=0),"",'Price History'!L8/'Price History'!L7-1)</f>
        <v>-4.3507362784471759E-3</v>
      </c>
      <c r="M7" s="63">
        <f>IF(OR('Price History'!M8="",'Price History'!M7="",'Price History'!M7=0),"",'Price History'!M8/'Price History'!M7-1)</f>
        <v>-2.6275510204081698E-2</v>
      </c>
      <c r="N7" s="63">
        <f>IF(OR('Price History'!N8="",'Price History'!N7="",'Price History'!N7=0),"",'Price History'!N8/'Price History'!N7-1)</f>
        <v>1.7052907739396383E-2</v>
      </c>
      <c r="O7" s="63" t="str">
        <f>IF(OR('Price History'!O8="",'Price History'!O7="",'Price History'!O7=0),"",'Price History'!O8/'Price History'!O7-1)</f>
        <v/>
      </c>
      <c r="P7" s="63" t="str">
        <f>IF(OR('Price History'!P8="",'Price History'!P7="",'Price History'!P7=0),"",'Price History'!P8/'Price History'!P7-1)</f>
        <v/>
      </c>
      <c r="Q7" s="63" t="str">
        <f>IF(OR('Price History'!Q8="",'Price History'!Q7="",'Price History'!Q7=0),"",'Price History'!Q8/'Price History'!Q7-1)</f>
        <v/>
      </c>
    </row>
    <row r="8" spans="1:17" ht="15" customHeight="1" x14ac:dyDescent="0.2">
      <c r="A8" s="49">
        <f>'Price History'!A9</f>
        <v>45191</v>
      </c>
      <c r="B8" s="63">
        <f>IF(OR('Price History'!B9="",'Price History'!B8="",'Price History'!B8=0),"",'Price History'!B9/'Price History'!B8-1)</f>
        <v>-3.02331297623325E-2</v>
      </c>
      <c r="C8" s="63">
        <f>IF(OR('Price History'!C9="",'Price History'!C8="",'Price History'!C8=0),"",'Price History'!C9/'Price History'!C8-1)</f>
        <v>-2.3603291468167975E-2</v>
      </c>
      <c r="D8" s="63">
        <f>IF(OR('Price History'!D9="",'Price History'!D8="",'Price History'!D8=0),"",'Price History'!D9/'Price History'!D8-1)</f>
        <v>-1.6022525391345077E-2</v>
      </c>
      <c r="E8" s="63">
        <f>IF(OR('Price History'!E9="",'Price History'!E8="",'Price History'!E8=0),"",'Price History'!E9/'Price History'!E8-1)</f>
        <v>-2.6535164964189284E-2</v>
      </c>
      <c r="F8" s="63">
        <f>IF(OR('Price History'!F9="",'Price History'!F8="",'Price History'!F8=0),"",'Price History'!F9/'Price History'!F8-1)</f>
        <v>-1.7408123791102459E-2</v>
      </c>
      <c r="G8" s="63">
        <f>IF(OR('Price History'!G9="",'Price History'!G8="",'Price History'!G8=0),"",'Price History'!G9/'Price History'!G8-1)</f>
        <v>-5.2840158520476299E-3</v>
      </c>
      <c r="H8" s="63">
        <f>IF(OR('Price History'!H9="",'Price History'!H8="",'Price History'!H8=0),"",'Price History'!H9/'Price History'!H8-1)</f>
        <v>-1.4310246136233551E-2</v>
      </c>
      <c r="I8" s="63">
        <f>IF(OR('Price History'!I9="",'Price History'!I8="",'Price History'!I8=0),"",'Price History'!I9/'Price History'!I8-1)</f>
        <v>-5.2164009111617338E-2</v>
      </c>
      <c r="J8" s="63">
        <f>IF(OR('Price History'!J9="",'Price History'!J8="",'Price History'!J8=0),"",'Price History'!J9/'Price History'!J8-1)</f>
        <v>-7.3956811170644676E-2</v>
      </c>
      <c r="K8" s="63">
        <f>IF(OR('Price History'!K9="",'Price History'!K8="",'Price History'!K8=0),"",'Price History'!K9/'Price History'!K8-1)</f>
        <v>-7.8277886497064575E-2</v>
      </c>
      <c r="L8" s="63">
        <f>IF(OR('Price History'!L9="",'Price History'!L8="",'Price History'!L8=0),"",'Price History'!L9/'Price History'!L8-1)</f>
        <v>-4.0448179271708629E-2</v>
      </c>
      <c r="M8" s="63">
        <f>IF(OR('Price History'!M9="",'Price History'!M8="",'Price History'!M8=0),"",'Price History'!M9/'Price History'!M8-1)</f>
        <v>-4.5061566675399511E-2</v>
      </c>
      <c r="N8" s="63">
        <f>IF(OR('Price History'!N9="",'Price History'!N8="",'Price History'!N8=0),"",'Price History'!N9/'Price History'!N8-1)</f>
        <v>1.8056749785038129E-3</v>
      </c>
      <c r="O8" s="63" t="str">
        <f>IF(OR('Price History'!O9="",'Price History'!O8="",'Price History'!O8=0),"",'Price History'!O9/'Price History'!O8-1)</f>
        <v/>
      </c>
      <c r="P8" s="63" t="str">
        <f>IF(OR('Price History'!P9="",'Price History'!P8="",'Price History'!P8=0),"",'Price History'!P9/'Price History'!P8-1)</f>
        <v/>
      </c>
      <c r="Q8" s="63" t="str">
        <f>IF(OR('Price History'!Q9="",'Price History'!Q8="",'Price History'!Q8=0),"",'Price History'!Q9/'Price History'!Q8-1)</f>
        <v/>
      </c>
    </row>
    <row r="9" spans="1:17" ht="15" customHeight="1" x14ac:dyDescent="0.2">
      <c r="A9" s="49">
        <f>'Price History'!A10</f>
        <v>45198</v>
      </c>
      <c r="B9" s="63">
        <f>IF(OR('Price History'!B10="",'Price History'!B9="",'Price History'!B9=0),"",'Price History'!B10/'Price History'!B9-1)</f>
        <v>-5.849093390524418E-3</v>
      </c>
      <c r="C9" s="63">
        <f>IF(OR('Price History'!C10="",'Price History'!C9="",'Price History'!C9=0),"",'Price History'!C10/'Price History'!C9-1)</f>
        <v>1.9738301175426853E-2</v>
      </c>
      <c r="D9" s="63">
        <f>IF(OR('Price History'!D10="",'Price History'!D9="",'Price History'!D9=0),"",'Price History'!D10/'Price History'!D9-1)</f>
        <v>2.6571282575369448E-3</v>
      </c>
      <c r="E9" s="63">
        <f>IF(OR('Price History'!E10="",'Price History'!E9="",'Price History'!E9=0),"",'Price History'!E10/'Price History'!E9-1)</f>
        <v>1.8091906886985587E-3</v>
      </c>
      <c r="F9" s="63">
        <f>IF(OR('Price History'!F10="",'Price History'!F9="",'Price History'!F9=0),"",'Price History'!F10/'Price History'!F9-1)</f>
        <v>2.9773622047244208E-2</v>
      </c>
      <c r="G9" s="63">
        <f>IF(OR('Price History'!G10="",'Price History'!G9="",'Price History'!G9=0),"",'Price History'!G10/'Price History'!G9-1)</f>
        <v>1.5272244355909681E-2</v>
      </c>
      <c r="H9" s="63">
        <f>IF(OR('Price History'!H10="",'Price History'!H9="",'Price History'!H9=0),"",'Price History'!H10/'Price History'!H9-1)</f>
        <v>-1.2340301974448242E-2</v>
      </c>
      <c r="I9" s="63">
        <f>IF(OR('Price History'!I10="",'Price History'!I9="",'Price History'!I9=0),"",'Price History'!I10/'Price History'!I9-1)</f>
        <v>4.5421773612112526E-2</v>
      </c>
      <c r="J9" s="63">
        <f>IF(OR('Price History'!J10="",'Price History'!J9="",'Price History'!J9=0),"",'Price History'!J10/'Price History'!J9-1)</f>
        <v>-1.6305777154378864E-2</v>
      </c>
      <c r="K9" s="63">
        <f>IF(OR('Price History'!K10="",'Price History'!K9="",'Price History'!K9=0),"",'Price History'!K10/'Price History'!K9-1)</f>
        <v>0.13234253361641901</v>
      </c>
      <c r="L9" s="63">
        <f>IF(OR('Price History'!L10="",'Price History'!L9="",'Price History'!L9=0),"",'Price History'!L10/'Price History'!L9-1)</f>
        <v>1.4712751050910855E-2</v>
      </c>
      <c r="M9" s="63">
        <f>IF(OR('Price History'!M10="",'Price History'!M9="",'Price History'!M9=0),"",'Price History'!M10/'Price History'!M9-1)</f>
        <v>2.0576131687242816E-2</v>
      </c>
      <c r="N9" s="63">
        <f>IF(OR('Price History'!N10="",'Price History'!N9="",'Price History'!N9=0),"",'Price History'!N10/'Price History'!N9-1)</f>
        <v>-5.1211627042027086E-3</v>
      </c>
      <c r="O9" s="63" t="str">
        <f>IF(OR('Price History'!O10="",'Price History'!O9="",'Price History'!O9=0),"",'Price History'!O10/'Price History'!O9-1)</f>
        <v/>
      </c>
      <c r="P9" s="63" t="str">
        <f>IF(OR('Price History'!P10="",'Price History'!P9="",'Price History'!P9=0),"",'Price History'!P10/'Price History'!P9-1)</f>
        <v/>
      </c>
      <c r="Q9" s="63" t="str">
        <f>IF(OR('Price History'!Q10="",'Price History'!Q9="",'Price History'!Q9=0),"",'Price History'!Q10/'Price History'!Q9-1)</f>
        <v/>
      </c>
    </row>
    <row r="10" spans="1:17" ht="15" customHeight="1" x14ac:dyDescent="0.2">
      <c r="A10" s="49">
        <f>'Price History'!A11</f>
        <v>45205</v>
      </c>
      <c r="B10" s="63">
        <f>IF(OR('Price History'!B11="",'Price History'!B10="",'Price History'!B10=0),"",'Price History'!B11/'Price History'!B10-1)</f>
        <v>3.2908413414394877E-2</v>
      </c>
      <c r="C10" s="63">
        <f>IF(OR('Price History'!C11="",'Price History'!C10="",'Price History'!C10=0),"",'Price History'!C11/'Price History'!C10-1)</f>
        <v>5.5023923444976086E-2</v>
      </c>
      <c r="D10" s="63">
        <f>IF(OR('Price History'!D11="",'Price History'!D10="",'Price History'!D10=0),"",'Price History'!D11/'Price History'!D10-1)</f>
        <v>1.4779329324227986E-2</v>
      </c>
      <c r="E10" s="63">
        <f>IF(OR('Price History'!E11="",'Price History'!E10="",'Price History'!E10=0),"",'Price History'!E11/'Price History'!E10-1)</f>
        <v>1.769804960269683E-2</v>
      </c>
      <c r="F10" s="63">
        <f>IF(OR('Price History'!F11="",'Price History'!F10="",'Price History'!F10=0),"",'Price History'!F11/'Price History'!F10-1)</f>
        <v>5.5436081242532964E-2</v>
      </c>
      <c r="G10" s="63">
        <f>IF(OR('Price History'!G11="",'Price History'!G10="",'Price History'!G10=0),"",'Price History'!G11/'Price History'!G10-1)</f>
        <v>2.0492696751689632E-2</v>
      </c>
      <c r="H10" s="63">
        <f>IF(OR('Price History'!H11="",'Price History'!H10="",'Price History'!H10=0),"",'Price History'!H11/'Price History'!H10-1)</f>
        <v>2.8369836836689588E-2</v>
      </c>
      <c r="I10" s="63">
        <f>IF(OR('Price History'!I11="",'Price History'!I10="",'Price History'!I10=0),"",'Price History'!I11/'Price History'!I10-1)</f>
        <v>5.1954022988505599E-2</v>
      </c>
      <c r="J10" s="63">
        <f>IF(OR('Price History'!J11="",'Price History'!J10="",'Price History'!J10=0),"",'Price History'!J11/'Price History'!J10-1)</f>
        <v>-2.9409143570091723E-2</v>
      </c>
      <c r="K10" s="63">
        <f>IF(OR('Price History'!K11="",'Price History'!K10="",'Price History'!K10=0),"",'Price History'!K11/'Price History'!K10-1)</f>
        <v>3.8124999999999964E-2</v>
      </c>
      <c r="L10" s="63">
        <f>IF(OR('Price History'!L11="",'Price History'!L10="",'Price History'!L10=0),"",'Price History'!L11/'Price History'!L10-1)</f>
        <v>2.7502876869965442E-2</v>
      </c>
      <c r="M10" s="63">
        <f>IF(OR('Price History'!M11="",'Price History'!M10="",'Price History'!M10=0),"",'Price History'!M11/'Price History'!M10-1)</f>
        <v>6.9086021505376349E-2</v>
      </c>
      <c r="N10" s="63">
        <f>IF(OR('Price History'!N11="",'Price History'!N10="",'Price History'!N10=0),"",'Price History'!N11/'Price History'!N10-1)</f>
        <v>3.7039167193880562E-2</v>
      </c>
      <c r="O10" s="63" t="str">
        <f>IF(OR('Price History'!O11="",'Price History'!O10="",'Price History'!O10=0),"",'Price History'!O11/'Price History'!O10-1)</f>
        <v/>
      </c>
      <c r="P10" s="63" t="str">
        <f>IF(OR('Price History'!P11="",'Price History'!P10="",'Price History'!P10=0),"",'Price History'!P11/'Price History'!P10-1)</f>
        <v/>
      </c>
      <c r="Q10" s="63" t="str">
        <f>IF(OR('Price History'!Q11="",'Price History'!Q10="",'Price History'!Q10=0),"",'Price History'!Q11/'Price History'!Q10-1)</f>
        <v/>
      </c>
    </row>
    <row r="11" spans="1:17" ht="15" customHeight="1" x14ac:dyDescent="0.2">
      <c r="A11" s="49">
        <f>'Price History'!A12</f>
        <v>45212</v>
      </c>
      <c r="B11" s="63">
        <f>IF(OR('Price History'!B12="",'Price History'!B11="",'Price History'!B11=0),"",'Price History'!B12/'Price History'!B11-1)</f>
        <v>4.1922989291410362E-2</v>
      </c>
      <c r="C11" s="63">
        <f>IF(OR('Price History'!C12="",'Price History'!C11="",'Price History'!C11=0),"",'Price History'!C12/'Price History'!C11-1)</f>
        <v>-2.1645021645021578E-2</v>
      </c>
      <c r="D11" s="63">
        <f>IF(OR('Price History'!D12="",'Price History'!D11="",'Price History'!D11=0),"",'Price History'!D12/'Price History'!D11-1)</f>
        <v>4.0009374581491119E-3</v>
      </c>
      <c r="E11" s="63">
        <f>IF(OR('Price History'!E12="",'Price History'!E11="",'Price History'!E11=0),"",'Price History'!E12/'Price History'!E11-1)</f>
        <v>4.4836152845143751E-2</v>
      </c>
      <c r="F11" s="63">
        <f>IF(OR('Price History'!F12="",'Price History'!F11="",'Price History'!F11=0),"",'Price History'!F12/'Price History'!F11-1)</f>
        <v>5.1165949739642169E-2</v>
      </c>
      <c r="G11" s="63">
        <f>IF(OR('Price History'!G12="",'Price History'!G11="",'Price History'!G11=0),"",'Price History'!G12/'Price History'!G11-1)</f>
        <v>3.99487289040803E-2</v>
      </c>
      <c r="H11" s="63">
        <f>IF(OR('Price History'!H12="",'Price History'!H11="",'Price History'!H11=0),"",'Price History'!H12/'Price History'!H11-1)</f>
        <v>-1.0720411663807883E-2</v>
      </c>
      <c r="I11" s="63">
        <f>IF(OR('Price History'!I12="",'Price History'!I11="",'Price History'!I11=0),"",'Price History'!I12/'Price History'!I11-1)</f>
        <v>-6.5559440559439519E-3</v>
      </c>
      <c r="J11" s="63">
        <f>IF(OR('Price History'!J12="",'Price History'!J11="",'Price History'!J11=0),"",'Price History'!J12/'Price History'!J11-1)</f>
        <v>6.7946010467359041E-3</v>
      </c>
      <c r="K11" s="63">
        <f>IF(OR('Price History'!K12="",'Price History'!K11="",'Price History'!K11=0),"",'Price History'!K12/'Price History'!K11-1)</f>
        <v>4.5153521974714117E-2</v>
      </c>
      <c r="L11" s="63">
        <f>IF(OR('Price History'!L12="",'Price History'!L11="",'Price History'!L11=0),"",'Price History'!L12/'Price History'!L11-1)</f>
        <v>1.3103371038190037E-2</v>
      </c>
      <c r="M11" s="63">
        <f>IF(OR('Price History'!M12="",'Price History'!M11="",'Price History'!M11=0),"",'Price History'!M12/'Price History'!M11-1)</f>
        <v>-1.6846869499622885E-2</v>
      </c>
      <c r="N11" s="63">
        <f>IF(OR('Price History'!N12="",'Price History'!N11="",'Price History'!N11=0),"",'Price History'!N12/'Price History'!N11-1)</f>
        <v>2.8783761299983279E-2</v>
      </c>
      <c r="O11" s="63" t="str">
        <f>IF(OR('Price History'!O12="",'Price History'!O11="",'Price History'!O11=0),"",'Price History'!O12/'Price History'!O11-1)</f>
        <v/>
      </c>
      <c r="P11" s="63" t="str">
        <f>IF(OR('Price History'!P12="",'Price History'!P11="",'Price History'!P11=0),"",'Price History'!P12/'Price History'!P11-1)</f>
        <v/>
      </c>
      <c r="Q11" s="63" t="str">
        <f>IF(OR('Price History'!Q12="",'Price History'!Q11="",'Price History'!Q11=0),"",'Price History'!Q12/'Price History'!Q11-1)</f>
        <v/>
      </c>
    </row>
    <row r="12" spans="1:17" ht="15" customHeight="1" x14ac:dyDescent="0.2">
      <c r="A12" s="49">
        <f>'Price History'!A13</f>
        <v>45219</v>
      </c>
      <c r="B12" s="63">
        <f>IF(OR('Price History'!B13="",'Price History'!B12="",'Price History'!B12=0),"",'Price History'!B13/'Price History'!B12-1)</f>
        <v>-1.4213863984255282E-2</v>
      </c>
      <c r="C12" s="63">
        <f>IF(OR('Price History'!C13="",'Price History'!C12="",'Price History'!C12=0),"",'Price History'!C13/'Price History'!C12-1)</f>
        <v>-1.9595448798988668E-2</v>
      </c>
      <c r="D12" s="63">
        <f>IF(OR('Price History'!D13="",'Price History'!D12="",'Price History'!D12=0),"",'Price History'!D13/'Price History'!D12-1)</f>
        <v>-3.2763651521467207E-2</v>
      </c>
      <c r="E12" s="63">
        <f>IF(OR('Price History'!E13="",'Price History'!E12="",'Price History'!E12=0),"",'Price History'!E13/'Price History'!E12-1)</f>
        <v>-3.3514492753623171E-2</v>
      </c>
      <c r="F12" s="63">
        <f>IF(OR('Price History'!F13="",'Price History'!F12="",'Price History'!F12=0),"",'Price History'!F13/'Price History'!F12-1)</f>
        <v>-3.7475769976308415E-2</v>
      </c>
      <c r="G12" s="63">
        <f>IF(OR('Price History'!G13="",'Price History'!G12="",'Price History'!G12=0),"",'Price History'!G13/'Price History'!G12-1)</f>
        <v>-5.0123253903040177E-2</v>
      </c>
      <c r="H12" s="63">
        <f>IF(OR('Price History'!H13="",'Price History'!H12="",'Price History'!H12=0),"",'Price History'!H13/'Price History'!H12-1)</f>
        <v>-2.8753070365554079E-2</v>
      </c>
      <c r="I12" s="63">
        <f>IF(OR('Price History'!I13="",'Price History'!I12="",'Price History'!I12=0),"",'Price History'!I13/'Price History'!I12-1)</f>
        <v>-8.9529256489221276E-2</v>
      </c>
      <c r="J12" s="63">
        <f>IF(OR('Price History'!J13="",'Price History'!J12="",'Price History'!J12=0),"",'Price History'!J13/'Price History'!J12-1)</f>
        <v>-6.5845873233014163E-2</v>
      </c>
      <c r="K12" s="63">
        <f>IF(OR('Price History'!K13="",'Price History'!K12="",'Price History'!K12=0),"",'Price History'!K13/'Price History'!K12-1)</f>
        <v>-7.2004608294930827E-2</v>
      </c>
      <c r="L12" s="63">
        <f>IF(OR('Price History'!L13="",'Price History'!L12="",'Price History'!L12=0),"",'Price History'!L13/'Price History'!L12-1)</f>
        <v>9.3964183064338958E-3</v>
      </c>
      <c r="M12" s="63">
        <f>IF(OR('Price History'!M13="",'Price History'!M12="",'Price History'!M12=0),"",'Price History'!M13/'Price History'!M12-1)</f>
        <v>-6.0358056265984672E-2</v>
      </c>
      <c r="N12" s="63">
        <f>IF(OR('Price History'!N13="",'Price History'!N12="",'Price History'!N12=0),"",'Price History'!N13/'Price History'!N12-1)</f>
        <v>-2.4636118598382661E-2</v>
      </c>
      <c r="O12" s="63" t="str">
        <f>IF(OR('Price History'!O13="",'Price History'!O12="",'Price History'!O12=0),"",'Price History'!O13/'Price History'!O12-1)</f>
        <v/>
      </c>
      <c r="P12" s="63" t="str">
        <f>IF(OR('Price History'!P13="",'Price History'!P12="",'Price History'!P12=0),"",'Price History'!P13/'Price History'!P12-1)</f>
        <v/>
      </c>
      <c r="Q12" s="63" t="str">
        <f>IF(OR('Price History'!Q13="",'Price History'!Q12="",'Price History'!Q12=0),"",'Price History'!Q13/'Price History'!Q12-1)</f>
        <v/>
      </c>
    </row>
    <row r="13" spans="1:17" ht="15" customHeight="1" x14ac:dyDescent="0.2">
      <c r="A13" s="49">
        <f>'Price History'!A14</f>
        <v>45226</v>
      </c>
      <c r="B13" s="63">
        <f>IF(OR('Price History'!B14="",'Price History'!B13="",'Price History'!B13=0),"",'Price History'!B14/'Price History'!B13-1)</f>
        <v>-6.0706891452233069E-2</v>
      </c>
      <c r="C13" s="63">
        <f>IF(OR('Price History'!C14="",'Price History'!C13="",'Price History'!C13=0),"",'Price History'!C14/'Price History'!C13-1)</f>
        <v>-5.3298946915968259E-2</v>
      </c>
      <c r="D13" s="63">
        <f>IF(OR('Price History'!D14="",'Price History'!D13="",'Price History'!D13=0),"",'Price History'!D14/'Price History'!D13-1)</f>
        <v>1.7066023099465477E-2</v>
      </c>
      <c r="E13" s="63">
        <f>IF(OR('Price History'!E14="",'Price History'!E13="",'Price History'!E13=0),"",'Price History'!E14/'Price History'!E13-1)</f>
        <v>-1.7806935332708496E-2</v>
      </c>
      <c r="F13" s="63">
        <f>IF(OR('Price History'!F14="",'Price History'!F13="",'Price History'!F13=0),"",'Price History'!F14/'Price History'!F13-1)</f>
        <v>-3.3117028417990579E-2</v>
      </c>
      <c r="G13" s="63">
        <f>IF(OR('Price History'!G14="",'Price History'!G13="",'Price History'!G13=0),"",'Price History'!G14/'Price History'!G13-1)</f>
        <v>-9.7318339100346263E-3</v>
      </c>
      <c r="H13" s="63">
        <f>IF(OR('Price History'!H14="",'Price History'!H13="",'Price History'!H13=0),"",'Price History'!H14/'Price History'!H13-1)</f>
        <v>-2.3356144004760382E-2</v>
      </c>
      <c r="I13" s="63">
        <f>IF(OR('Price History'!I14="",'Price History'!I13="",'Price History'!I13=0),"",'Price History'!I14/'Price History'!I13-1)</f>
        <v>-2.1502778448900695E-2</v>
      </c>
      <c r="J13" s="63">
        <f>IF(OR('Price History'!J14="",'Price History'!J13="",'Price History'!J13=0),"",'Price History'!J14/'Price History'!J13-1)</f>
        <v>-4.9887728204627724E-2</v>
      </c>
      <c r="K13" s="63">
        <f>IF(OR('Price History'!K14="",'Price History'!K13="",'Price History'!K13=0),"",'Price History'!K14/'Price History'!K13-1)</f>
        <v>-6.4556176288019795E-2</v>
      </c>
      <c r="L13" s="63">
        <f>IF(OR('Price History'!L14="",'Price History'!L13="",'Price History'!L13=0),"",'Price History'!L14/'Price History'!L13-1)</f>
        <v>-5.8263059905815484E-2</v>
      </c>
      <c r="M13" s="63">
        <f>IF(OR('Price History'!M14="",'Price History'!M13="",'Price History'!M13=0),"",'Price History'!M14/'Price History'!M13-1)</f>
        <v>-8.7098530212302849E-3</v>
      </c>
      <c r="N13" s="63">
        <f>IF(OR('Price History'!N14="",'Price History'!N13="",'Price History'!N13=0),"",'Price History'!N14/'Price History'!N13-1)</f>
        <v>-1.8183827999779023E-2</v>
      </c>
      <c r="O13" s="63" t="str">
        <f>IF(OR('Price History'!O14="",'Price History'!O13="",'Price History'!O13=0),"",'Price History'!O14/'Price History'!O13-1)</f>
        <v/>
      </c>
      <c r="P13" s="63" t="str">
        <f>IF(OR('Price History'!P14="",'Price History'!P13="",'Price History'!P13=0),"",'Price History'!P14/'Price History'!P13-1)</f>
        <v/>
      </c>
      <c r="Q13" s="63" t="str">
        <f>IF(OR('Price History'!Q14="",'Price History'!Q13="",'Price History'!Q13=0),"",'Price History'!Q14/'Price History'!Q13-1)</f>
        <v/>
      </c>
    </row>
    <row r="14" spans="1:17" ht="15" customHeight="1" x14ac:dyDescent="0.2">
      <c r="A14" s="49">
        <f>'Price History'!A15</f>
        <v>45233</v>
      </c>
      <c r="B14" s="63">
        <f>IF(OR('Price History'!B15="",'Price History'!B14="",'Price History'!B14=0),"",'Price History'!B15/'Price History'!B14-1)</f>
        <v>0.10930488860899001</v>
      </c>
      <c r="C14" s="63">
        <f>IF(OR('Price History'!C15="",'Price History'!C14="",'Price History'!C14=0),"",'Price History'!C15/'Price History'!C14-1)</f>
        <v>0.20590238365493763</v>
      </c>
      <c r="D14" s="63">
        <f>IF(OR('Price History'!D15="",'Price History'!D14="",'Price History'!D14=0),"",'Price History'!D15/'Price History'!D14-1)</f>
        <v>8.8830508474576186E-2</v>
      </c>
      <c r="E14" s="63">
        <f>IF(OR('Price History'!E15="",'Price History'!E14="",'Price History'!E14=0),"",'Price History'!E15/'Price History'!E14-1)</f>
        <v>5.2838740458015288E-2</v>
      </c>
      <c r="F14" s="63">
        <f>IF(OR('Price History'!F15="",'Price History'!F14="",'Price History'!F14=0),"",'Price History'!F15/'Price History'!F14-1)</f>
        <v>8.9099745429298771E-2</v>
      </c>
      <c r="G14" s="63">
        <f>IF(OR('Price History'!G15="",'Price History'!G14="",'Price History'!G14=0),"",'Price History'!G15/'Price History'!G14-1)</f>
        <v>9.1067918759554445E-2</v>
      </c>
      <c r="H14" s="63">
        <f>IF(OR('Price History'!H15="",'Price History'!H14="",'Price History'!H14=0),"",'Price History'!H15/'Price History'!H14-1)</f>
        <v>0.10555978674790545</v>
      </c>
      <c r="I14" s="63">
        <f>IF(OR('Price History'!I15="",'Price History'!I14="",'Price History'!I14=0),"",'Price History'!I15/'Price History'!I14-1)</f>
        <v>0.11135802469135792</v>
      </c>
      <c r="J14" s="63">
        <f>IF(OR('Price History'!J15="",'Price History'!J14="",'Price History'!J14=0),"",'Price History'!J15/'Price History'!J14-1)</f>
        <v>9.4841759145088522E-2</v>
      </c>
      <c r="K14" s="63">
        <f>IF(OR('Price History'!K15="",'Price History'!K14="",'Price History'!K14=0),"",'Price History'!K15/'Price History'!K14-1)</f>
        <v>0.25348374253483752</v>
      </c>
      <c r="L14" s="63">
        <f>IF(OR('Price History'!L15="",'Price History'!L14="",'Price History'!L14=0),"",'Price History'!L15/'Price History'!L14-1)</f>
        <v>6.744970345389012E-2</v>
      </c>
      <c r="M14" s="63">
        <f>IF(OR('Price History'!M15="",'Price History'!M14="",'Price History'!M14=0),"",'Price History'!M15/'Price History'!M14-1)</f>
        <v>0.11037891268533762</v>
      </c>
      <c r="N14" s="63">
        <f>IF(OR('Price History'!N15="",'Price History'!N14="",'Price History'!N14=0),"",'Price History'!N15/'Price History'!N14-1)</f>
        <v>5.8883134429182693E-2</v>
      </c>
      <c r="O14" s="63" t="str">
        <f>IF(OR('Price History'!O15="",'Price History'!O14="",'Price History'!O14=0),"",'Price History'!O15/'Price History'!O14-1)</f>
        <v/>
      </c>
      <c r="P14" s="63" t="str">
        <f>IF(OR('Price History'!P15="",'Price History'!P14="",'Price History'!P14=0),"",'Price History'!P15/'Price History'!P14-1)</f>
        <v/>
      </c>
      <c r="Q14" s="63" t="str">
        <f>IF(OR('Price History'!Q15="",'Price History'!Q14="",'Price History'!Q14=0),"",'Price History'!Q15/'Price History'!Q14-1)</f>
        <v/>
      </c>
    </row>
    <row r="15" spans="1:17" ht="15" customHeight="1" x14ac:dyDescent="0.2">
      <c r="A15" s="49">
        <f>'Price History'!A16</f>
        <v>45240</v>
      </c>
      <c r="B15" s="63">
        <f>IF(OR('Price History'!B16="",'Price History'!B15="",'Price History'!B15=0),"",'Price History'!B16/'Price History'!B15-1)</f>
        <v>5.953943866870115E-2</v>
      </c>
      <c r="C15" s="63">
        <f>IF(OR('Price History'!C16="",'Price History'!C15="",'Price History'!C15=0),"",'Price History'!C16/'Price History'!C15-1)</f>
        <v>-2.654367469879515E-2</v>
      </c>
      <c r="D15" s="63">
        <f>IF(OR('Price History'!D16="",'Price History'!D15="",'Price History'!D15=0),"",'Price History'!D16/'Price History'!D15-1)</f>
        <v>2.9373764418362036E-2</v>
      </c>
      <c r="E15" s="63">
        <f>IF(OR('Price History'!E16="",'Price History'!E15="",'Price History'!E15=0),"",'Price History'!E16/'Price History'!E15-1)</f>
        <v>8.4740002265775605E-2</v>
      </c>
      <c r="F15" s="63">
        <f>IF(OR('Price History'!F16="",'Price History'!F15="",'Price History'!F15=0),"",'Price History'!F16/'Price History'!F15-1)</f>
        <v>4.2923926901827336E-2</v>
      </c>
      <c r="G15" s="63">
        <f>IF(OR('Price History'!G16="",'Price History'!G15="",'Price History'!G15=0),"",'Price History'!G16/'Price History'!G15-1)</f>
        <v>6.9455564451561314E-2</v>
      </c>
      <c r="H15" s="63">
        <f>IF(OR('Price History'!H16="",'Price History'!H15="",'Price History'!H15=0),"",'Price History'!H16/'Price History'!H15-1)</f>
        <v>3.8302562689446207E-2</v>
      </c>
      <c r="I15" s="63">
        <f>IF(OR('Price History'!I16="",'Price History'!I15="",'Price History'!I15=0),"",'Price History'!I16/'Price History'!I15-1)</f>
        <v>7.3983559209064742E-2</v>
      </c>
      <c r="J15" s="63">
        <f>IF(OR('Price History'!J16="",'Price History'!J15="",'Price History'!J15=0),"",'Price History'!J16/'Price History'!J15-1)</f>
        <v>-1.8770530267480101E-2</v>
      </c>
      <c r="K15" s="63">
        <f>IF(OR('Price History'!K16="",'Price History'!K15="",'Price History'!K15=0),"",'Price History'!K16/'Price History'!K15-1)</f>
        <v>4.1291688724192754E-2</v>
      </c>
      <c r="L15" s="63">
        <f>IF(OR('Price History'!L16="",'Price History'!L15="",'Price History'!L15=0),"",'Price History'!L16/'Price History'!L15-1)</f>
        <v>6.155354613792352E-2</v>
      </c>
      <c r="M15" s="63">
        <f>IF(OR('Price History'!M16="",'Price History'!M15="",'Price History'!M15=0),"",'Price History'!M16/'Price History'!M15-1)</f>
        <v>3.4371909000989076E-2</v>
      </c>
      <c r="N15" s="63">
        <f>IF(OR('Price History'!N16="",'Price History'!N15="",'Price History'!N15=0),"",'Price History'!N16/'Price History'!N15-1)</f>
        <v>-6.7783094098884389E-3</v>
      </c>
      <c r="O15" s="63" t="str">
        <f>IF(OR('Price History'!O16="",'Price History'!O15="",'Price History'!O15=0),"",'Price History'!O16/'Price History'!O15-1)</f>
        <v/>
      </c>
      <c r="P15" s="63" t="str">
        <f>IF(OR('Price History'!P16="",'Price History'!P15="",'Price History'!P15=0),"",'Price History'!P16/'Price History'!P15-1)</f>
        <v/>
      </c>
      <c r="Q15" s="63" t="str">
        <f>IF(OR('Price History'!Q16="",'Price History'!Q15="",'Price History'!Q15=0),"",'Price History'!Q16/'Price History'!Q15-1)</f>
        <v/>
      </c>
    </row>
    <row r="16" spans="1:17" ht="15" customHeight="1" x14ac:dyDescent="0.2">
      <c r="A16" s="49">
        <f>'Price History'!A17</f>
        <v>45247</v>
      </c>
      <c r="B16" s="63">
        <f>IF(OR('Price History'!B17="",'Price History'!B16="",'Price History'!B16=0),"",'Price History'!B17/'Price History'!B16-1)</f>
        <v>9.1088711027760283E-3</v>
      </c>
      <c r="C16" s="63">
        <f>IF(OR('Price History'!C17="",'Price History'!C16="",'Price History'!C16=0),"",'Price History'!C17/'Price History'!C16-1)</f>
        <v>3.7710307484045469E-2</v>
      </c>
      <c r="D16" s="63">
        <f>IF(OR('Price History'!D17="",'Price History'!D16="",'Price History'!D16=0),"",'Price History'!D17/'Price History'!D16-1)</f>
        <v>3.7518146624727855E-2</v>
      </c>
      <c r="E16" s="63">
        <f>IF(OR('Price History'!E17="",'Price History'!E16="",'Price History'!E16=0),"",'Price History'!E17/'Price History'!E16-1)</f>
        <v>2.1096605744125307E-2</v>
      </c>
      <c r="F16" s="63">
        <f>IF(OR('Price History'!F17="",'Price History'!F16="",'Price History'!F16=0),"",'Price History'!F17/'Price History'!F16-1)</f>
        <v>5.4808475957620395E-2</v>
      </c>
      <c r="G16" s="63">
        <f>IF(OR('Price History'!G17="",'Price History'!G16="",'Price History'!G16=0),"",'Price History'!G17/'Price History'!G16-1)</f>
        <v>1.9090398652442442E-2</v>
      </c>
      <c r="H16" s="63">
        <f>IF(OR('Price History'!H17="",'Price History'!H16="",'Price History'!H16=0),"",'Price History'!H17/'Price History'!H16-1)</f>
        <v>2.9193205944798351E-2</v>
      </c>
      <c r="I16" s="63">
        <f>IF(OR('Price History'!I17="",'Price History'!I16="",'Price History'!I16=0),"",'Price History'!I17/'Price History'!I16-1)</f>
        <v>1.9859329747620835E-2</v>
      </c>
      <c r="J16" s="63">
        <f>IF(OR('Price History'!J17="",'Price History'!J16="",'Price History'!J16=0),"",'Price History'!J17/'Price History'!J16-1)</f>
        <v>5.2797704447632654E-2</v>
      </c>
      <c r="K16" s="63">
        <f>IF(OR('Price History'!K17="",'Price History'!K16="",'Price History'!K16=0),"",'Price History'!K17/'Price History'!K16-1)</f>
        <v>4.1687849517030751E-2</v>
      </c>
      <c r="L16" s="63">
        <f>IF(OR('Price History'!L17="",'Price History'!L16="",'Price History'!L16=0),"",'Price History'!L17/'Price History'!L16-1)</f>
        <v>2.1962233169129819E-2</v>
      </c>
      <c r="M16" s="63">
        <f>IF(OR('Price History'!M17="",'Price History'!M16="",'Price History'!M16=0),"",'Price History'!M17/'Price History'!M16-1)</f>
        <v>3.4903179536218021E-2</v>
      </c>
      <c r="N16" s="63">
        <f>IF(OR('Price History'!N17="",'Price History'!N16="",'Price History'!N16=0),"",'Price History'!N17/'Price History'!N16-1)</f>
        <v>-6.1956376287970016E-2</v>
      </c>
      <c r="O16" s="63" t="str">
        <f>IF(OR('Price History'!O17="",'Price History'!O16="",'Price History'!O16=0),"",'Price History'!O17/'Price History'!O16-1)</f>
        <v/>
      </c>
      <c r="P16" s="63" t="str">
        <f>IF(OR('Price History'!P17="",'Price History'!P16="",'Price History'!P16=0),"",'Price History'!P17/'Price History'!P16-1)</f>
        <v/>
      </c>
      <c r="Q16" s="63" t="str">
        <f>IF(OR('Price History'!Q17="",'Price History'!Q16="",'Price History'!Q16=0),"",'Price History'!Q17/'Price History'!Q16-1)</f>
        <v/>
      </c>
    </row>
    <row r="17" spans="1:17" ht="15" customHeight="1" x14ac:dyDescent="0.2">
      <c r="A17" s="49">
        <f>'Price History'!A18</f>
        <v>45254</v>
      </c>
      <c r="B17" s="63">
        <f>IF(OR('Price History'!B18="",'Price History'!B17="",'Price History'!B17=0),"",'Price History'!B18/'Price History'!B17-1)</f>
        <v>2.7826635250389975E-2</v>
      </c>
      <c r="C17" s="63">
        <f>IF(OR('Price History'!C18="",'Price History'!C17="",'Price History'!C17=0),"",'Price History'!C18/'Price History'!C17-1)</f>
        <v>1.7517704062616657E-2</v>
      </c>
      <c r="D17" s="63">
        <f>IF(OR('Price History'!D18="",'Price History'!D17="",'Price History'!D17=0),"",'Price History'!D18/'Price History'!D17-1)</f>
        <v>7.4188517541429189E-3</v>
      </c>
      <c r="E17" s="63">
        <f>IF(OR('Price History'!E18="",'Price History'!E17="",'Price History'!E17=0),"",'Price History'!E18/'Price History'!E17-1)</f>
        <v>1.227370359005775E-3</v>
      </c>
      <c r="F17" s="63">
        <f>IF(OR('Price History'!F18="",'Price History'!F17="",'Price History'!F17=0),"",'Price History'!F18/'Price History'!F17-1)</f>
        <v>1.7384585667374886E-2</v>
      </c>
      <c r="G17" s="63">
        <f>IF(OR('Price History'!G18="",'Price History'!G17="",'Price History'!G17=0),"",'Price History'!G18/'Price History'!G17-1)</f>
        <v>2.0385674931129527E-2</v>
      </c>
      <c r="H17" s="63">
        <f>IF(OR('Price History'!H18="",'Price History'!H17="",'Price History'!H17=0),"",'Price History'!H18/'Price History'!H17-1)</f>
        <v>-8.8963383187209422E-3</v>
      </c>
      <c r="I17" s="63">
        <f>IF(OR('Price History'!I18="",'Price History'!I17="",'Price History'!I17=0),"",'Price History'!I18/'Price History'!I17-1)</f>
        <v>-3.0831643002028342E-2</v>
      </c>
      <c r="J17" s="63">
        <f>IF(OR('Price History'!J18="",'Price History'!J17="",'Price History'!J17=0),"",'Price History'!J18/'Price History'!J17-1)</f>
        <v>1.7534296356863877E-2</v>
      </c>
      <c r="K17" s="63">
        <f>IF(OR('Price History'!K18="",'Price History'!K17="",'Price History'!K17=0),"",'Price History'!K18/'Price History'!K17-1)</f>
        <v>-6.2957540263543166E-2</v>
      </c>
      <c r="L17" s="63">
        <f>IF(OR('Price History'!L18="",'Price History'!L17="",'Price History'!L17=0),"",'Price History'!L18/'Price History'!L17-1)</f>
        <v>-1.7573810002008416E-2</v>
      </c>
      <c r="M17" s="63">
        <f>IF(OR('Price History'!M18="",'Price History'!M17="",'Price History'!M17=0),"",'Price History'!M18/'Price History'!M17-1)</f>
        <v>-1.4091014091014098E-2</v>
      </c>
      <c r="N17" s="63">
        <f>IF(OR('Price History'!N18="",'Price History'!N17="",'Price History'!N17=0),"",'Price History'!N18/'Price History'!N17-1)</f>
        <v>7.2467902995720923E-3</v>
      </c>
      <c r="O17" s="63" t="str">
        <f>IF(OR('Price History'!O18="",'Price History'!O17="",'Price History'!O17=0),"",'Price History'!O18/'Price History'!O17-1)</f>
        <v/>
      </c>
      <c r="P17" s="63" t="str">
        <f>IF(OR('Price History'!P18="",'Price History'!P17="",'Price History'!P17=0),"",'Price History'!P18/'Price History'!P17-1)</f>
        <v/>
      </c>
      <c r="Q17" s="63" t="str">
        <f>IF(OR('Price History'!Q18="",'Price History'!Q17="",'Price History'!Q17=0),"",'Price History'!Q18/'Price History'!Q17-1)</f>
        <v/>
      </c>
    </row>
    <row r="18" spans="1:17" ht="15" customHeight="1" x14ac:dyDescent="0.2">
      <c r="A18" s="49">
        <f>'Price History'!A19</f>
        <v>45261</v>
      </c>
      <c r="B18" s="63">
        <f>IF(OR('Price History'!B19="",'Price History'!B18="",'Price History'!B18=0),"",'Price History'!B19/'Price History'!B18-1)</f>
        <v>-1.1236136448024681E-2</v>
      </c>
      <c r="C18" s="63">
        <f>IF(OR('Price History'!C19="",'Price History'!C18="",'Price History'!C18=0),"",'Price History'!C19/'Price History'!C18-1)</f>
        <v>-8.058608058608141E-3</v>
      </c>
      <c r="D18" s="63">
        <f>IF(OR('Price History'!D19="",'Price History'!D18="",'Price History'!D18=0),"",'Price History'!D19/'Price History'!D18-1)</f>
        <v>1.4757371451721291E-3</v>
      </c>
      <c r="E18" s="63">
        <f>IF(OR('Price History'!E19="",'Price History'!E18="",'Price History'!E18=0),"",'Price History'!E19/'Price History'!E18-1)</f>
        <v>-4.995403003371135E-2</v>
      </c>
      <c r="F18" s="63">
        <f>IF(OR('Price History'!F19="",'Price History'!F18="",'Price History'!F18=0),"",'Price History'!F19/'Price History'!F18-1)</f>
        <v>0.11562559331687861</v>
      </c>
      <c r="G18" s="63">
        <f>IF(OR('Price History'!G19="",'Price History'!G18="",'Price History'!G18=0),"",'Price History'!G19/'Price History'!G18-1)</f>
        <v>-1.1879049676025932E-2</v>
      </c>
      <c r="H18" s="63">
        <f>IF(OR('Price History'!H19="",'Price History'!H18="",'Price History'!H18=0),"",'Price History'!H19/'Price History'!H18-1)</f>
        <v>-1.2228437621959132E-2</v>
      </c>
      <c r="I18" s="63">
        <f>IF(OR('Price History'!I19="",'Price History'!I18="",'Price History'!I18=0),"",'Price History'!I19/'Price History'!I18-1)</f>
        <v>-2.1138551695269903E-2</v>
      </c>
      <c r="J18" s="63">
        <f>IF(OR('Price History'!J19="",'Price History'!J18="",'Price History'!J18=0),"",'Price History'!J19/'Price History'!J18-1)</f>
        <v>5.5892857142857189E-2</v>
      </c>
      <c r="K18" s="63">
        <f>IF(OR('Price History'!K19="",'Price History'!K18="",'Price History'!K18=0),"",'Price History'!K19/'Price History'!K18-1)</f>
        <v>5.5729166666666607E-2</v>
      </c>
      <c r="L18" s="63">
        <f>IF(OR('Price History'!L19="",'Price History'!L18="",'Price History'!L18=0),"",'Price History'!L19/'Price History'!L18-1)</f>
        <v>7.3597056117755688E-3</v>
      </c>
      <c r="M18" s="63">
        <f>IF(OR('Price History'!M19="",'Price History'!M18="",'Price History'!M18=0),"",'Price History'!M19/'Price History'!M18-1)</f>
        <v>5.7638238050609303E-2</v>
      </c>
      <c r="N18" s="63">
        <f>IF(OR('Price History'!N19="",'Price History'!N18="",'Price History'!N18=0),"",'Price History'!N19/'Price History'!N18-1)</f>
        <v>-5.3251756174937936E-3</v>
      </c>
      <c r="O18" s="63" t="str">
        <f>IF(OR('Price History'!O19="",'Price History'!O18="",'Price History'!O18=0),"",'Price History'!O19/'Price History'!O18-1)</f>
        <v/>
      </c>
      <c r="P18" s="63" t="str">
        <f>IF(OR('Price History'!P19="",'Price History'!P18="",'Price History'!P18=0),"",'Price History'!P19/'Price History'!P18-1)</f>
        <v/>
      </c>
      <c r="Q18" s="63" t="str">
        <f>IF(OR('Price History'!Q19="",'Price History'!Q18="",'Price History'!Q18=0),"",'Price History'!Q19/'Price History'!Q18-1)</f>
        <v/>
      </c>
    </row>
    <row r="19" spans="1:17" ht="15" customHeight="1" x14ac:dyDescent="0.2">
      <c r="A19" s="49">
        <f>'Price History'!A20</f>
        <v>45268</v>
      </c>
      <c r="B19" s="63">
        <f>IF(OR('Price History'!B20="",'Price History'!B19="",'Price History'!B19=0),"",'Price History'!B20/'Price History'!B19-1)</f>
        <v>-4.0165232582820565E-3</v>
      </c>
      <c r="C19" s="63">
        <f>IF(OR('Price History'!C20="",'Price History'!C19="",'Price History'!C19=0),"",'Price History'!C20/'Price History'!C19-1)</f>
        <v>3.4158050221565706E-2</v>
      </c>
      <c r="D19" s="63">
        <f>IF(OR('Price History'!D20="",'Price History'!D19="",'Price History'!D19=0),"",'Price History'!D20/'Price History'!D19-1)</f>
        <v>6.1109505923142571E-3</v>
      </c>
      <c r="E19" s="63">
        <f>IF(OR('Price History'!E20="",'Price History'!E19="",'Price History'!E19=0),"",'Price History'!E20/'Price History'!E19-1)</f>
        <v>1.5376344086021509E-2</v>
      </c>
      <c r="F19" s="63">
        <f>IF(OR('Price History'!F20="",'Price History'!F19="",'Price History'!F19=0),"",'Price History'!F20/'Price History'!F19-1)</f>
        <v>3.1994554118447871E-2</v>
      </c>
      <c r="G19" s="63">
        <f>IF(OR('Price History'!G20="",'Price History'!G19="",'Price History'!G19=0),"",'Price History'!G20/'Price History'!G19-1)</f>
        <v>-2.6593806921675789E-2</v>
      </c>
      <c r="H19" s="63">
        <f>IF(OR('Price History'!H20="",'Price History'!H19="",'Price History'!H19=0),"",'Price History'!H20/'Price History'!H19-1)</f>
        <v>-1.2774924272356269E-2</v>
      </c>
      <c r="I19" s="63">
        <f>IF(OR('Price History'!I20="",'Price History'!I19="",'Price History'!I19=0),"",'Price History'!I20/'Price History'!I19-1)</f>
        <v>1.5822108189009976E-2</v>
      </c>
      <c r="J19" s="63">
        <f>IF(OR('Price History'!J20="",'Price History'!J19="",'Price History'!J19=0),"",'Price History'!J20/'Price History'!J19-1)</f>
        <v>1.3444951801116156E-2</v>
      </c>
      <c r="K19" s="63">
        <f>IF(OR('Price History'!K20="",'Price History'!K19="",'Price History'!K19=0),"",'Price History'!K20/'Price History'!K19-1)</f>
        <v>-0.12333497779970404</v>
      </c>
      <c r="L19" s="63">
        <f>IF(OR('Price History'!L20="",'Price History'!L19="",'Price History'!L19=0),"",'Price History'!L20/'Price History'!L19-1)</f>
        <v>1.8264840182648401E-2</v>
      </c>
      <c r="M19" s="63">
        <f>IF(OR('Price History'!M20="",'Price History'!M19="",'Price History'!M19=0),"",'Price History'!M20/'Price History'!M19-1)</f>
        <v>4.4306601683650859E-2</v>
      </c>
      <c r="N19" s="63">
        <f>IF(OR('Price History'!N20="",'Price History'!N19="",'Price History'!N19=0),"",'Price History'!N20/'Price History'!N19-1)</f>
        <v>-2.8761817974713999E-3</v>
      </c>
      <c r="O19" s="63" t="str">
        <f>IF(OR('Price History'!O20="",'Price History'!O19="",'Price History'!O19=0),"",'Price History'!O20/'Price History'!O19-1)</f>
        <v/>
      </c>
      <c r="P19" s="63" t="str">
        <f>IF(OR('Price History'!P20="",'Price History'!P19="",'Price History'!P19=0),"",'Price History'!P20/'Price History'!P19-1)</f>
        <v/>
      </c>
      <c r="Q19" s="63" t="str">
        <f>IF(OR('Price History'!Q20="",'Price History'!Q19="",'Price History'!Q19=0),"",'Price History'!Q20/'Price History'!Q19-1)</f>
        <v/>
      </c>
    </row>
    <row r="20" spans="1:17" ht="15" customHeight="1" x14ac:dyDescent="0.2">
      <c r="A20" s="49">
        <f>'Price History'!A21</f>
        <v>45275</v>
      </c>
      <c r="B20" s="63">
        <f>IF(OR('Price History'!B21="",'Price History'!B20="",'Price History'!B20=0),"",'Price History'!B21/'Price History'!B20-1)</f>
        <v>-4.1523909444107554E-2</v>
      </c>
      <c r="C20" s="63">
        <f>IF(OR('Price History'!C21="",'Price History'!C20="",'Price History'!C20=0),"",'Price History'!C21/'Price History'!C20-1)</f>
        <v>5.1597928941260474E-2</v>
      </c>
      <c r="D20" s="63">
        <f>IF(OR('Price History'!D21="",'Price History'!D20="",'Price History'!D20=0),"",'Price History'!D21/'Price History'!D20-1)</f>
        <v>8.1171115546429862E-2</v>
      </c>
      <c r="E20" s="63">
        <f>IF(OR('Price History'!E21="",'Price History'!E20="",'Price History'!E20=0),"",'Price History'!E21/'Price History'!E20-1)</f>
        <v>0.19633591019803021</v>
      </c>
      <c r="F20" s="63">
        <f>IF(OR('Price History'!F21="",'Price History'!F20="",'Price History'!F20=0),"",'Price History'!F21/'Price History'!F20-1)</f>
        <v>7.2229551451187257E-2</v>
      </c>
      <c r="G20" s="63">
        <f>IF(OR('Price History'!G21="",'Price History'!G20="",'Price History'!G20=0),"",'Price History'!G21/'Price History'!G20-1)</f>
        <v>9.4872754491017952E-2</v>
      </c>
      <c r="H20" s="63">
        <f>IF(OR('Price History'!H21="",'Price History'!H20="",'Price History'!H20=0),"",'Price History'!H21/'Price History'!H20-1)</f>
        <v>8.6045891141942388E-2</v>
      </c>
      <c r="I20" s="63">
        <f>IF(OR('Price History'!I21="",'Price History'!I20="",'Price History'!I20=0),"",'Price History'!I21/'Price History'!I20-1)</f>
        <v>2.9046516522837296E-2</v>
      </c>
      <c r="J20" s="63">
        <f>IF(OR('Price History'!J21="",'Price History'!J20="",'Price History'!J20=0),"",'Price History'!J21/'Price History'!J20-1)</f>
        <v>0.12023362536503956</v>
      </c>
      <c r="K20" s="63">
        <f>IF(OR('Price History'!K21="",'Price History'!K20="",'Price History'!K20=0),"",'Price History'!K21/'Price History'!K20-1)</f>
        <v>2.4198086662915008E-2</v>
      </c>
      <c r="L20" s="63">
        <f>IF(OR('Price History'!L21="",'Price History'!L20="",'Price History'!L20=0),"",'Price History'!L21/'Price History'!L20-1)</f>
        <v>2.1823617339312484E-2</v>
      </c>
      <c r="M20" s="63">
        <f>IF(OR('Price History'!M21="",'Price History'!M20="",'Price History'!M20=0),"",'Price History'!M21/'Price History'!M20-1)</f>
        <v>1.2515910055154844E-2</v>
      </c>
      <c r="N20" s="63">
        <f>IF(OR('Price History'!N21="",'Price History'!N20="",'Price History'!N20=0),"",'Price History'!N21/'Price History'!N20-1)</f>
        <v>0.17286877052691718</v>
      </c>
      <c r="O20" s="63" t="str">
        <f>IF(OR('Price History'!O21="",'Price History'!O20="",'Price History'!O20=0),"",'Price History'!O21/'Price History'!O20-1)</f>
        <v/>
      </c>
      <c r="P20" s="63" t="str">
        <f>IF(OR('Price History'!P21="",'Price History'!P20="",'Price History'!P20=0),"",'Price History'!P21/'Price History'!P20-1)</f>
        <v/>
      </c>
      <c r="Q20" s="63" t="str">
        <f>IF(OR('Price History'!Q21="",'Price History'!Q20="",'Price History'!Q20=0),"",'Price History'!Q21/'Price History'!Q20-1)</f>
        <v/>
      </c>
    </row>
    <row r="21" spans="1:17" ht="15" customHeight="1" x14ac:dyDescent="0.2">
      <c r="A21" s="49">
        <f>'Price History'!A22</f>
        <v>45282</v>
      </c>
      <c r="B21" s="63">
        <f>IF(OR('Price History'!B22="",'Price History'!B21="",'Price History'!B21=0),"",'Price History'!B22/'Price History'!B21-1)</f>
        <v>2.4064445508654497E-2</v>
      </c>
      <c r="C21" s="63">
        <f>IF(OR('Price History'!C22="",'Price History'!C21="",'Price History'!C21=0),"",'Price History'!C22/'Price History'!C21-1)</f>
        <v>1.1375212224108644E-2</v>
      </c>
      <c r="D21" s="63">
        <f>IF(OR('Price History'!D22="",'Price History'!D21="",'Price History'!D21=0),"",'Price History'!D22/'Price History'!D21-1)</f>
        <v>-5.7107947301326956E-4</v>
      </c>
      <c r="E21" s="63">
        <f>IF(OR('Price History'!E22="",'Price History'!E21="",'Price History'!E21=0),"",'Price History'!E22/'Price History'!E21-1)</f>
        <v>-6.8159688412852137E-3</v>
      </c>
      <c r="F21" s="63">
        <f>IF(OR('Price History'!F22="",'Price History'!F21="",'Price History'!F21=0),"",'Price History'!F22/'Price History'!F21-1)</f>
        <v>-1.7071670255306093E-2</v>
      </c>
      <c r="G21" s="63">
        <f>IF(OR('Price History'!G22="",'Price History'!G21="",'Price History'!G21=0),"",'Price History'!G22/'Price History'!G21-1)</f>
        <v>-4.1018629294137243E-3</v>
      </c>
      <c r="H21" s="63">
        <f>IF(OR('Price History'!H22="",'Price History'!H21="",'Price History'!H21=0),"",'Price History'!H22/'Price History'!H21-1)</f>
        <v>6.240019653605211E-2</v>
      </c>
      <c r="I21" s="63">
        <f>IF(OR('Price History'!I22="",'Price History'!I21="",'Price History'!I21=0),"",'Price History'!I22/'Price History'!I21-1)</f>
        <v>-1.227244835344643E-3</v>
      </c>
      <c r="J21" s="63">
        <f>IF(OR('Price History'!J22="",'Price History'!J21="",'Price History'!J21=0),"",'Price History'!J22/'Price History'!J21-1)</f>
        <v>-1.3853716669149252E-2</v>
      </c>
      <c r="K21" s="63">
        <f>IF(OR('Price History'!K22="",'Price History'!K21="",'Price History'!K21=0),"",'Price History'!K22/'Price History'!K21-1)</f>
        <v>-4.3406593406593363E-2</v>
      </c>
      <c r="L21" s="63">
        <f>IF(OR('Price History'!L22="",'Price History'!L21="",'Price History'!L21=0),"",'Price History'!L22/'Price History'!L21-1)</f>
        <v>5.9488979910278239E-3</v>
      </c>
      <c r="M21" s="63">
        <f>IF(OR('Price History'!M22="",'Price History'!M21="",'Price History'!M21=0),"",'Price History'!M22/'Price History'!M21-1)</f>
        <v>2.1998742928975634E-2</v>
      </c>
      <c r="N21" s="63">
        <f>IF(OR('Price History'!N22="",'Price History'!N21="",'Price History'!N21=0),"",'Price History'!N22/'Price History'!N21-1)</f>
        <v>-1.3221973312554813E-2</v>
      </c>
      <c r="O21" s="63" t="str">
        <f>IF(OR('Price History'!O22="",'Price History'!O21="",'Price History'!O21=0),"",'Price History'!O22/'Price History'!O21-1)</f>
        <v/>
      </c>
      <c r="P21" s="63" t="str">
        <f>IF(OR('Price History'!P22="",'Price History'!P21="",'Price History'!P21=0),"",'Price History'!P22/'Price History'!P21-1)</f>
        <v/>
      </c>
      <c r="Q21" s="63" t="str">
        <f>IF(OR('Price History'!Q22="",'Price History'!Q21="",'Price History'!Q21=0),"",'Price History'!Q22/'Price History'!Q21-1)</f>
        <v/>
      </c>
    </row>
    <row r="22" spans="1:17" ht="15" customHeight="1" x14ac:dyDescent="0.2">
      <c r="A22" s="49">
        <f>'Price History'!A23</f>
        <v>45289</v>
      </c>
      <c r="B22" s="63">
        <f>IF(OR('Price History'!B23="",'Price History'!B22="",'Price History'!B22=0),"",'Price History'!B23/'Price History'!B22-1)</f>
        <v>-3.5908141962421869E-3</v>
      </c>
      <c r="C22" s="63">
        <f>IF(OR('Price History'!C23="",'Price History'!C22="",'Price History'!C22=0),"",'Price History'!C23/'Price History'!C22-1)</f>
        <v>-1.158301158301156E-2</v>
      </c>
      <c r="D22" s="63">
        <f>IF(OR('Price History'!D23="",'Price History'!D22="",'Price History'!D22=0),"",'Price History'!D23/'Price History'!D22-1)</f>
        <v>5.8336544722470407E-3</v>
      </c>
      <c r="E22" s="63">
        <f>IF(OR('Price History'!E23="",'Price History'!E22="",'Price History'!E22=0),"",'Price History'!E23/'Price History'!E22-1)</f>
        <v>-5.080213903743358E-3</v>
      </c>
      <c r="F22" s="63">
        <f>IF(OR('Price History'!F23="",'Price History'!F22="",'Price History'!F22=0),"",'Price History'!F23/'Price History'!F22-1)</f>
        <v>-1.2517602879048573E-3</v>
      </c>
      <c r="G22" s="63">
        <f>IF(OR('Price History'!G23="",'Price History'!G22="",'Price History'!G22=0),"",'Price History'!G23/'Price History'!G22-1)</f>
        <v>-2.402608546421825E-3</v>
      </c>
      <c r="H22" s="63">
        <f>IF(OR('Price History'!H23="",'Price History'!H22="",'Price History'!H22=0),"",'Price History'!H23/'Price History'!H22-1)</f>
        <v>-1.3296334836397139E-2</v>
      </c>
      <c r="I22" s="63">
        <f>IF(OR('Price History'!I23="",'Price History'!I22="",'Price History'!I22=0),"",'Price History'!I23/'Price History'!I22-1)</f>
        <v>1.4130657382756651E-2</v>
      </c>
      <c r="J22" s="63">
        <f>IF(OR('Price History'!J23="",'Price History'!J22="",'Price History'!J22=0),"",'Price History'!J23/'Price History'!J22-1)</f>
        <v>6.7975830815709681E-3</v>
      </c>
      <c r="K22" s="63">
        <f>IF(OR('Price History'!K23="",'Price History'!K22="",'Price History'!K22=0),"",'Price History'!K23/'Price History'!K22-1)</f>
        <v>-1.378518093049963E-2</v>
      </c>
      <c r="L22" s="63">
        <f>IF(OR('Price History'!L23="",'Price History'!L22="",'Price History'!L22=0),"",'Price History'!L23/'Price History'!L22-1)</f>
        <v>8.2404265632574081E-3</v>
      </c>
      <c r="M22" s="63">
        <f>IF(OR('Price History'!M23="",'Price History'!M22="",'Price History'!M22=0),"",'Price History'!M23/'Price History'!M22-1)</f>
        <v>-1.5375153751537529E-2</v>
      </c>
      <c r="N22" s="63">
        <f>IF(OR('Price History'!N23="",'Price History'!N22="",'Price History'!N22=0),"",'Price History'!N23/'Price History'!N22-1)</f>
        <v>4.0468846391117363E-3</v>
      </c>
      <c r="O22" s="63" t="str">
        <f>IF(OR('Price History'!O23="",'Price History'!O22="",'Price History'!O22=0),"",'Price History'!O23/'Price History'!O22-1)</f>
        <v/>
      </c>
      <c r="P22" s="63" t="str">
        <f>IF(OR('Price History'!P23="",'Price History'!P22="",'Price History'!P22=0),"",'Price History'!P23/'Price History'!P22-1)</f>
        <v/>
      </c>
      <c r="Q22" s="63" t="str">
        <f>IF(OR('Price History'!Q23="",'Price History'!Q22="",'Price History'!Q22=0),"",'Price History'!Q23/'Price History'!Q22-1)</f>
        <v/>
      </c>
    </row>
    <row r="23" spans="1:17" ht="15" customHeight="1" x14ac:dyDescent="0.2">
      <c r="A23" s="49">
        <f>'Price History'!A24</f>
        <v>45296</v>
      </c>
      <c r="B23" s="63">
        <f>IF(OR('Price History'!B24="",'Price History'!B23="",'Price History'!B23=0),"",'Price History'!B24/'Price History'!B23-1)</f>
        <v>-5.3637277908146208E-2</v>
      </c>
      <c r="C23" s="63">
        <f>IF(OR('Price History'!C24="",'Price History'!C23="",'Price History'!C23=0),"",'Price History'!C24/'Price History'!C23-1)</f>
        <v>-1.9531250000000111E-2</v>
      </c>
      <c r="D23" s="63">
        <f>IF(OR('Price History'!D24="",'Price History'!D23="",'Price History'!D23=0),"",'Price History'!D24/'Price History'!D23-1)</f>
        <v>-7.0786873117370308E-2</v>
      </c>
      <c r="E23" s="63">
        <f>IF(OR('Price History'!E24="",'Price History'!E23="",'Price History'!E23=0),"",'Price History'!E24/'Price History'!E23-1)</f>
        <v>-6.0019707963808955E-2</v>
      </c>
      <c r="F23" s="63">
        <f>IF(OR('Price History'!F24="",'Price History'!F23="",'Price History'!F23=0),"",'Price History'!F24/'Price History'!F23-1)</f>
        <v>-3.0706564311452356E-2</v>
      </c>
      <c r="G23" s="63">
        <f>IF(OR('Price History'!G24="",'Price History'!G23="",'Price History'!G23=0),"",'Price History'!G24/'Price History'!G23-1)</f>
        <v>-6.36504386719422E-2</v>
      </c>
      <c r="H23" s="63">
        <f>IF(OR('Price History'!H24="",'Price History'!H23="",'Price History'!H23=0),"",'Price History'!H24/'Price History'!H23-1)</f>
        <v>-2.2146707288493106E-2</v>
      </c>
      <c r="I23" s="63">
        <f>IF(OR('Price History'!I24="",'Price History'!I23="",'Price History'!I23=0),"",'Price History'!I24/'Price History'!I23-1)</f>
        <v>-8.4814216478190652E-3</v>
      </c>
      <c r="J23" s="63">
        <f>IF(OR('Price History'!J24="",'Price History'!J23="",'Price History'!J23=0),"",'Price History'!J24/'Price History'!J23-1)</f>
        <v>-2.0555138784696281E-2</v>
      </c>
      <c r="K23" s="63">
        <f>IF(OR('Price History'!K24="",'Price History'!K23="",'Price History'!K23=0),"",'Price History'!K24/'Price History'!K23-1)</f>
        <v>-6.9306930693069368E-2</v>
      </c>
      <c r="L23" s="63">
        <f>IF(OR('Price History'!L24="",'Price History'!L23="",'Price History'!L23=0),"",'Price History'!L24/'Price History'!L23-1)</f>
        <v>-4.2211538461538467E-2</v>
      </c>
      <c r="M23" s="63">
        <f>IF(OR('Price History'!M24="",'Price History'!M23="",'Price History'!M23=0),"",'Price History'!M24/'Price History'!M23-1)</f>
        <v>-3.5810951488652876E-2</v>
      </c>
      <c r="N23" s="63">
        <f>IF(OR('Price History'!N24="",'Price History'!N23="",'Price History'!N23=0),"",'Price History'!N24/'Price History'!N23-1)</f>
        <v>2.3618176902848509E-2</v>
      </c>
      <c r="O23" s="63" t="str">
        <f>IF(OR('Price History'!O24="",'Price History'!O23="",'Price History'!O23=0),"",'Price History'!O24/'Price History'!O23-1)</f>
        <v/>
      </c>
      <c r="P23" s="63" t="str">
        <f>IF(OR('Price History'!P24="",'Price History'!P23="",'Price History'!P23=0),"",'Price History'!P24/'Price History'!P23-1)</f>
        <v/>
      </c>
      <c r="Q23" s="63" t="str">
        <f>IF(OR('Price History'!Q24="",'Price History'!Q23="",'Price History'!Q23=0),"",'Price History'!Q24/'Price History'!Q23-1)</f>
        <v/>
      </c>
    </row>
    <row r="24" spans="1:17" ht="15" customHeight="1" x14ac:dyDescent="0.2">
      <c r="A24" s="49">
        <f>'Price History'!A25</f>
        <v>45303</v>
      </c>
      <c r="B24" s="63">
        <f>IF(OR('Price History'!B25="",'Price History'!B24="",'Price History'!B24=0),"",'Price History'!B25/'Price History'!B24-1)</f>
        <v>5.6571023733616554E-2</v>
      </c>
      <c r="C24" s="63">
        <f>IF(OR('Price History'!C25="",'Price History'!C24="",'Price History'!C24=0),"",'Price History'!C25/'Price History'!C24-1)</f>
        <v>9.1460245972631249E-2</v>
      </c>
      <c r="D24" s="63">
        <f>IF(OR('Price History'!D25="",'Price History'!D24="",'Price History'!D24=0),"",'Price History'!D25/'Price History'!D24-1)</f>
        <v>1.4047260215543034E-2</v>
      </c>
      <c r="E24" s="63">
        <f>IF(OR('Price History'!E25="",'Price History'!E24="",'Price History'!E24=0),"",'Price History'!E25/'Price History'!E24-1)</f>
        <v>5.5656151720194336E-2</v>
      </c>
      <c r="F24" s="63">
        <f>IF(OR('Price History'!F25="",'Price History'!F24="",'Price History'!F24=0),"",'Price History'!F25/'Price History'!F24-1)</f>
        <v>0.14498141263940534</v>
      </c>
      <c r="G24" s="63">
        <f>IF(OR('Price History'!G25="",'Price History'!G24="",'Price History'!G24=0),"",'Price History'!G25/'Price History'!G24-1)</f>
        <v>2.9946720558515549E-2</v>
      </c>
      <c r="H24" s="63">
        <f>IF(OR('Price History'!H25="",'Price History'!H24="",'Price History'!H24=0),"",'Price History'!H25/'Price History'!H24-1)</f>
        <v>-1.2702216896345098E-2</v>
      </c>
      <c r="I24" s="63">
        <f>IF(OR('Price History'!I25="",'Price History'!I24="",'Price History'!I24=0),"",'Price History'!I25/'Price History'!I24-1)</f>
        <v>0.11425661914460283</v>
      </c>
      <c r="J24" s="63">
        <f>IF(OR('Price History'!J25="",'Price History'!J24="",'Price History'!J24=0),"",'Price History'!J25/'Price History'!J24-1)</f>
        <v>7.5827205882352811E-3</v>
      </c>
      <c r="K24" s="63">
        <f>IF(OR('Price History'!K25="",'Price History'!K24="",'Price History'!K24=0),"",'Price History'!K25/'Price History'!K24-1)</f>
        <v>4.8811013767209088E-2</v>
      </c>
      <c r="L24" s="63">
        <f>IF(OR('Price History'!L25="",'Price History'!L24="",'Price History'!L24=0),"",'Price History'!L25/'Price History'!L24-1)</f>
        <v>1.6363818893685433E-2</v>
      </c>
      <c r="M24" s="63">
        <f>IF(OR('Price History'!M25="",'Price History'!M24="",'Price History'!M24=0),"",'Price History'!M25/'Price History'!M24-1)</f>
        <v>6.9315482617145374E-2</v>
      </c>
      <c r="N24" s="63">
        <f>IF(OR('Price History'!N25="",'Price History'!N24="",'Price History'!N24=0),"",'Price History'!N25/'Price History'!N24-1)</f>
        <v>4.057623049219683E-2</v>
      </c>
      <c r="O24" s="63" t="str">
        <f>IF(OR('Price History'!O25="",'Price History'!O24="",'Price History'!O24=0),"",'Price History'!O25/'Price History'!O24-1)</f>
        <v/>
      </c>
      <c r="P24" s="63" t="str">
        <f>IF(OR('Price History'!P25="",'Price History'!P24="",'Price History'!P24=0),"",'Price History'!P25/'Price History'!P24-1)</f>
        <v/>
      </c>
      <c r="Q24" s="63" t="str">
        <f>IF(OR('Price History'!Q25="",'Price History'!Q24="",'Price History'!Q24=0),"",'Price History'!Q25/'Price History'!Q24-1)</f>
        <v/>
      </c>
    </row>
    <row r="25" spans="1:17" ht="15" customHeight="1" x14ac:dyDescent="0.2">
      <c r="A25" s="49">
        <f>'Price History'!A26</f>
        <v>45310</v>
      </c>
      <c r="B25" s="63">
        <f>IF(OR('Price History'!B26="",'Price History'!B25="",'Price History'!B25=0),"",'Price History'!B26/'Price History'!B25-1)</f>
        <v>2.5161766185000101E-2</v>
      </c>
      <c r="C25" s="63">
        <f>IF(OR('Price History'!C26="",'Price History'!C25="",'Price History'!C25=0),"",'Price History'!C26/'Price History'!C25-1)</f>
        <v>4.5548325662593259E-2</v>
      </c>
      <c r="D25" s="63">
        <f>IF(OR('Price History'!D26="",'Price History'!D25="",'Price History'!D25=0),"",'Price History'!D26/'Price History'!D25-1)</f>
        <v>6.2547320602338807E-2</v>
      </c>
      <c r="E25" s="63">
        <f>IF(OR('Price History'!E26="",'Price History'!E25="",'Price History'!E25=0),"",'Price History'!E26/'Price History'!E25-1)</f>
        <v>9.3436851132978394E-2</v>
      </c>
      <c r="F25" s="63">
        <f>IF(OR('Price History'!F26="",'Price History'!F25="",'Price History'!F25=0),"",'Price History'!F26/'Price History'!F25-1)</f>
        <v>2.5409373235460109E-2</v>
      </c>
      <c r="G25" s="63">
        <f>IF(OR('Price History'!G26="",'Price History'!G25="",'Price History'!G25=0),"",'Price History'!G26/'Price History'!G25-1)</f>
        <v>9.3471280770602849E-2</v>
      </c>
      <c r="H25" s="63">
        <f>IF(OR('Price History'!H26="",'Price History'!H25="",'Price History'!H25=0),"",'Price History'!H26/'Price History'!H25-1)</f>
        <v>6.2143464012623051E-2</v>
      </c>
      <c r="I25" s="63">
        <f>IF(OR('Price History'!I26="",'Price History'!I25="",'Price History'!I25=0),"",'Price History'!I26/'Price History'!I25-1)</f>
        <v>8.7369767866934733E-2</v>
      </c>
      <c r="J25" s="63">
        <f>IF(OR('Price History'!J26="",'Price History'!J25="",'Price History'!J25=0),"",'Price History'!J26/'Price History'!J25-1)</f>
        <v>-2.3641201064234285E-2</v>
      </c>
      <c r="K25" s="63">
        <f>IF(OR('Price History'!K26="",'Price History'!K25="",'Price History'!K25=0),"",'Price History'!K26/'Price History'!K25-1)</f>
        <v>1.1933174224343368E-3</v>
      </c>
      <c r="L25" s="63">
        <f>IF(OR('Price History'!L26="",'Price History'!L25="",'Price History'!L25=0),"",'Price History'!L26/'Price History'!L25-1)</f>
        <v>0.12801264322402228</v>
      </c>
      <c r="M25" s="63">
        <f>IF(OR('Price History'!M26="",'Price History'!M25="",'Price History'!M25=0),"",'Price History'!M26/'Price History'!M25-1)</f>
        <v>8.3804523424878763E-2</v>
      </c>
      <c r="N25" s="63">
        <f>IF(OR('Price History'!N26="",'Price History'!N25="",'Price History'!N25=0),"",'Price History'!N26/'Price History'!N25-1)</f>
        <v>3.737886479003194E-3</v>
      </c>
      <c r="O25" s="63" t="str">
        <f>IF(OR('Price History'!O26="",'Price History'!O25="",'Price History'!O25=0),"",'Price History'!O26/'Price History'!O25-1)</f>
        <v/>
      </c>
      <c r="P25" s="63" t="str">
        <f>IF(OR('Price History'!P26="",'Price History'!P25="",'Price History'!P25=0),"",'Price History'!P26/'Price History'!P25-1)</f>
        <v/>
      </c>
      <c r="Q25" s="63" t="str">
        <f>IF(OR('Price History'!Q26="",'Price History'!Q25="",'Price History'!Q25=0),"",'Price History'!Q26/'Price History'!Q25-1)</f>
        <v/>
      </c>
    </row>
    <row r="26" spans="1:17" ht="15" customHeight="1" x14ac:dyDescent="0.2">
      <c r="A26" s="49">
        <f>'Price History'!A27</f>
        <v>45317</v>
      </c>
      <c r="B26" s="63">
        <f>IF(OR('Price History'!B27="",'Price History'!B26="",'Price History'!B26=0),"",'Price History'!B27/'Price History'!B26-1)</f>
        <v>3.891750470116806E-3</v>
      </c>
      <c r="C26" s="63">
        <f>IF(OR('Price History'!C27="",'Price History'!C26="",'Price History'!C26=0),"",'Price History'!C27/'Price History'!C26-1)</f>
        <v>3.3394049787491831E-3</v>
      </c>
      <c r="D26" s="63">
        <f>IF(OR('Price History'!D27="",'Price History'!D26="",'Price History'!D26=0),"",'Price History'!D27/'Price History'!D26-1)</f>
        <v>0.14504572265547666</v>
      </c>
      <c r="E26" s="63">
        <f>IF(OR('Price History'!E27="",'Price History'!E26="",'Price History'!E26=0),"",'Price History'!E27/'Price History'!E26-1)</f>
        <v>-5.201453104359377E-3</v>
      </c>
      <c r="F26" s="63">
        <f>IF(OR('Price History'!F27="",'Price History'!F26="",'Price History'!F26=0),"",'Price History'!F27/'Price History'!F26-1)</f>
        <v>-8.2599118942738858E-4</v>
      </c>
      <c r="G26" s="63">
        <f>IF(OR('Price History'!G27="",'Price History'!G26="",'Price History'!G26=0),"",'Price History'!G27/'Price History'!G26-1)</f>
        <v>-2.2185970636215302E-2</v>
      </c>
      <c r="H26" s="63">
        <f>IF(OR('Price History'!H27="",'Price History'!H26="",'Price History'!H26=0),"",'Price History'!H27/'Price History'!H26-1)</f>
        <v>6.1707233459031841E-3</v>
      </c>
      <c r="I26" s="63">
        <f>IF(OR('Price History'!I27="",'Price History'!I26="",'Price History'!I26=0),"",'Price History'!I27/'Price History'!I26-1)</f>
        <v>2.588670364767176E-2</v>
      </c>
      <c r="J26" s="63">
        <f>IF(OR('Price History'!J27="",'Price History'!J26="",'Price History'!J26=0),"",'Price History'!J27/'Price History'!J26-1)</f>
        <v>-1.2223606353160998E-2</v>
      </c>
      <c r="K26" s="63">
        <f>IF(OR('Price History'!K27="",'Price History'!K26="",'Price History'!K26=0),"",'Price History'!K27/'Price History'!K26-1)</f>
        <v>-2.5625744934445804E-2</v>
      </c>
      <c r="L26" s="63">
        <f>IF(OR('Price History'!L27="",'Price History'!L26="",'Price History'!L26=0),"",'Price History'!L27/'Price History'!L26-1)</f>
        <v>2.6795096322241641E-2</v>
      </c>
      <c r="M26" s="63">
        <f>IF(OR('Price History'!M27="",'Price History'!M26="",'Price History'!M26=0),"",'Price History'!M27/'Price History'!M26-1)</f>
        <v>-3.9128004471772337E-3</v>
      </c>
      <c r="N26" s="63">
        <f>IF(OR('Price History'!N27="",'Price History'!N26="",'Price History'!N26=0),"",'Price History'!N27/'Price History'!N26-1)</f>
        <v>-1.1148912693669133E-2</v>
      </c>
      <c r="O26" s="63" t="str">
        <f>IF(OR('Price History'!O27="",'Price History'!O26="",'Price History'!O26=0),"",'Price History'!O27/'Price History'!O26-1)</f>
        <v/>
      </c>
      <c r="P26" s="63" t="str">
        <f>IF(OR('Price History'!P27="",'Price History'!P26="",'Price History'!P26=0),"",'Price History'!P27/'Price History'!P26-1)</f>
        <v/>
      </c>
      <c r="Q26" s="63" t="str">
        <f>IF(OR('Price History'!Q27="",'Price History'!Q26="",'Price History'!Q26=0),"",'Price History'!Q27/'Price History'!Q26-1)</f>
        <v/>
      </c>
    </row>
    <row r="27" spans="1:17" ht="15" customHeight="1" x14ac:dyDescent="0.2">
      <c r="A27" s="49">
        <f>'Price History'!A28</f>
        <v>45324</v>
      </c>
      <c r="B27" s="63">
        <f>IF(OR('Price History'!B28="",'Price History'!B27="",'Price History'!B27=0),"",'Price History'!B28/'Price History'!B27-1)</f>
        <v>3.3928949554509646E-2</v>
      </c>
      <c r="C27" s="63">
        <f>IF(OR('Price History'!C28="",'Price History'!C27="",'Price History'!C27=0),"",'Price History'!C28/'Price History'!C27-1)</f>
        <v>3.2980332829046999E-2</v>
      </c>
      <c r="D27" s="63">
        <f>IF(OR('Price History'!D28="",'Price History'!D27="",'Price History'!D27=0),"",'Price History'!D28/'Price History'!D27-1)</f>
        <v>2.6401613367905474E-2</v>
      </c>
      <c r="E27" s="63">
        <f>IF(OR('Price History'!E28="",'Price History'!E27="",'Price History'!E27=0),"",'Price History'!E28/'Price History'!E27-1)</f>
        <v>1.6100921238277222E-2</v>
      </c>
      <c r="F27" s="63">
        <f>IF(OR('Price History'!F28="",'Price History'!F27="",'Price History'!F27=0),"",'Price History'!F28/'Price History'!F27-1)</f>
        <v>4.5604849820887416E-2</v>
      </c>
      <c r="G27" s="63">
        <f>IF(OR('Price History'!G28="",'Price History'!G27="",'Price History'!G27=0),"",'Price History'!G28/'Price History'!G27-1)</f>
        <v>8.1748415081748238E-3</v>
      </c>
      <c r="H27" s="63">
        <f>IF(OR('Price History'!H28="",'Price History'!H27="",'Price History'!H27=0),"",'Price History'!H28/'Price History'!H27-1)</f>
        <v>-1.7830777967064115E-2</v>
      </c>
      <c r="I27" s="63">
        <f>IF(OR('Price History'!I28="",'Price History'!I27="",'Price History'!I27=0),"",'Price History'!I28/'Price History'!I27-1)</f>
        <v>8.4057021137145638E-2</v>
      </c>
      <c r="J27" s="63">
        <f>IF(OR('Price History'!J28="",'Price History'!J27="",'Price History'!J27=0),"",'Price History'!J28/'Price History'!J27-1)</f>
        <v>1.875935997477729E-2</v>
      </c>
      <c r="K27" s="63">
        <f>IF(OR('Price History'!K28="",'Price History'!K27="",'Price History'!K27=0),"",'Price History'!K28/'Price History'!K27-1)</f>
        <v>4.0978593272171127E-2</v>
      </c>
      <c r="L27" s="63">
        <f>IF(OR('Price History'!L28="",'Price History'!L27="",'Price History'!L27=0),"",'Price History'!L28/'Price History'!L27-1)</f>
        <v>-1.2877366535903212E-2</v>
      </c>
      <c r="M27" s="63">
        <f>IF(OR('Price History'!M28="",'Price History'!M27="",'Price History'!M27=0),"",'Price History'!M28/'Price History'!M27-1)</f>
        <v>0.14983164983164987</v>
      </c>
      <c r="N27" s="63">
        <f>IF(OR('Price History'!N28="",'Price History'!N27="",'Price History'!N27=0),"",'Price History'!N28/'Price History'!N27-1)</f>
        <v>-1.2762396261942976E-2</v>
      </c>
      <c r="O27" s="63" t="str">
        <f>IF(OR('Price History'!O28="",'Price History'!O27="",'Price History'!O27=0),"",'Price History'!O28/'Price History'!O27-1)</f>
        <v/>
      </c>
      <c r="P27" s="63" t="str">
        <f>IF(OR('Price History'!P28="",'Price History'!P27="",'Price History'!P27=0),"",'Price History'!P28/'Price History'!P27-1)</f>
        <v/>
      </c>
      <c r="Q27" s="63" t="str">
        <f>IF(OR('Price History'!Q28="",'Price History'!Q27="",'Price History'!Q27=0),"",'Price History'!Q28/'Price History'!Q27-1)</f>
        <v/>
      </c>
    </row>
    <row r="28" spans="1:17" ht="15" customHeight="1" x14ac:dyDescent="0.2">
      <c r="A28" s="49">
        <f>'Price History'!A29</f>
        <v>45331</v>
      </c>
      <c r="B28" s="63">
        <f>IF(OR('Price History'!B29="",'Price History'!B28="",'Price History'!B28=0),"",'Price History'!B29/'Price History'!B28-1)</f>
        <v>-1.1894259247589578E-2</v>
      </c>
      <c r="C28" s="63">
        <f>IF(OR('Price History'!C29="",'Price History'!C28="",'Price History'!C28=0),"",'Price History'!C29/'Price History'!C28-1)</f>
        <v>3.4124194493263094E-2</v>
      </c>
      <c r="D28" s="63">
        <f>IF(OR('Price History'!D29="",'Price History'!D28="",'Price History'!D28=0),"",'Price History'!D29/'Price History'!D28-1)</f>
        <v>6.6175645027283236E-2</v>
      </c>
      <c r="E28" s="63">
        <f>IF(OR('Price History'!E29="",'Price History'!E28="",'Price History'!E28=0),"",'Price History'!E29/'Price History'!E28-1)</f>
        <v>4.827248223474645E-2</v>
      </c>
      <c r="F28" s="63">
        <f>IF(OR('Price History'!F29="",'Price History'!F28="",'Price History'!F28=0),"",'Price History'!F29/'Price History'!F28-1)</f>
        <v>8.499143497166961E-2</v>
      </c>
      <c r="G28" s="63">
        <f>IF(OR('Price History'!G29="",'Price History'!G28="",'Price History'!G28=0),"",'Price History'!G29/'Price History'!G28-1)</f>
        <v>7.5293728280655392E-2</v>
      </c>
      <c r="H28" s="63">
        <f>IF(OR('Price History'!H29="",'Price History'!H28="",'Price History'!H28=0),"",'Price History'!H29/'Price History'!H28-1)</f>
        <v>-1.0638297872340496E-2</v>
      </c>
      <c r="I28" s="63">
        <f>IF(OR('Price History'!I29="",'Price History'!I28="",'Price History'!I28=0),"",'Price History'!I29/'Price History'!I28-1)</f>
        <v>9.0235792019347061E-2</v>
      </c>
      <c r="J28" s="63">
        <f>IF(OR('Price History'!J29="",'Price History'!J28="",'Price History'!J28=0),"",'Price History'!J29/'Price History'!J28-1)</f>
        <v>2.499032882011587E-2</v>
      </c>
      <c r="K28" s="63">
        <f>IF(OR('Price History'!K29="",'Price History'!K28="",'Price History'!K28=0),"",'Price History'!K29/'Price History'!K28-1)</f>
        <v>0.43243243243243246</v>
      </c>
      <c r="L28" s="63">
        <f>IF(OR('Price History'!L29="",'Price History'!L28="",'Price History'!L28=0),"",'Price History'!L29/'Price History'!L28-1)</f>
        <v>0.14997840172786181</v>
      </c>
      <c r="M28" s="63">
        <f>IF(OR('Price History'!M29="",'Price History'!M28="",'Price History'!M28=0),"",'Price History'!M29/'Price History'!M28-1)</f>
        <v>3.3349601431592824E-2</v>
      </c>
      <c r="N28" s="63">
        <f>IF(OR('Price History'!N29="",'Price History'!N28="",'Price History'!N28=0),"",'Price History'!N29/'Price History'!N28-1)</f>
        <v>-4.1678440237354897E-3</v>
      </c>
      <c r="O28" s="63" t="str">
        <f>IF(OR('Price History'!O29="",'Price History'!O28="",'Price History'!O28=0),"",'Price History'!O29/'Price History'!O28-1)</f>
        <v/>
      </c>
      <c r="P28" s="63" t="str">
        <f>IF(OR('Price History'!P29="",'Price History'!P28="",'Price History'!P28=0),"",'Price History'!P29/'Price History'!P28-1)</f>
        <v/>
      </c>
      <c r="Q28" s="63" t="str">
        <f>IF(OR('Price History'!Q29="",'Price History'!Q28="",'Price History'!Q28=0),"",'Price History'!Q29/'Price History'!Q28-1)</f>
        <v/>
      </c>
    </row>
    <row r="29" spans="1:17" ht="15" customHeight="1" x14ac:dyDescent="0.2">
      <c r="A29" s="49">
        <f>'Price History'!A30</f>
        <v>45338</v>
      </c>
      <c r="B29" s="63">
        <f>IF(OR('Price History'!B30="",'Price History'!B29="",'Price History'!B29=0),"",'Price History'!B30/'Price History'!B29-1)</f>
        <v>-0.12842588606686767</v>
      </c>
      <c r="C29" s="63">
        <f>IF(OR('Price History'!C30="",'Price History'!C29="",'Price History'!C29=0),"",'Price History'!C30/'Price History'!C29-1)</f>
        <v>-7.3219090780342722E-2</v>
      </c>
      <c r="D29" s="63">
        <f>IF(OR('Price History'!D30="",'Price History'!D29="",'Price History'!D29=0),"",'Price History'!D30/'Price History'!D29-1)</f>
        <v>-2.1756529064869357E-2</v>
      </c>
      <c r="E29" s="63">
        <f>IF(OR('Price History'!E30="",'Price History'!E29="",'Price History'!E29=0),"",'Price History'!E30/'Price History'!E29-1)</f>
        <v>-2.9530933458002284E-2</v>
      </c>
      <c r="F29" s="63">
        <f>IF(OR('Price History'!F30="",'Price History'!F29="",'Price History'!F29=0),"",'Price History'!F30/'Price History'!F29-1)</f>
        <v>-3.6434296818077527E-4</v>
      </c>
      <c r="G29" s="63">
        <f>IF(OR('Price History'!G30="",'Price History'!G29="",'Price History'!G29=0),"",'Price History'!G30/'Price History'!G29-1)</f>
        <v>1.7851646660510978E-2</v>
      </c>
      <c r="H29" s="63">
        <f>IF(OR('Price History'!H30="",'Price History'!H29="",'Price History'!H29=0),"",'Price History'!H30/'Price History'!H29-1)</f>
        <v>-7.0827489481065986E-2</v>
      </c>
      <c r="I29" s="63">
        <f>IF(OR('Price History'!I30="",'Price History'!I29="",'Price History'!I29=0),"",'Price History'!I30/'Price History'!I29-1)</f>
        <v>6.6546513239984506E-3</v>
      </c>
      <c r="J29" s="63">
        <f>IF(OR('Price History'!J30="",'Price History'!J29="",'Price History'!J29=0),"",'Price History'!J30/'Price History'!J29-1)</f>
        <v>6.8689613526569104E-3</v>
      </c>
      <c r="K29" s="63">
        <f>IF(OR('Price History'!K30="",'Price History'!K29="",'Price History'!K29=0),"",'Price History'!K30/'Price History'!K29-1)</f>
        <v>2.4610336341264194E-3</v>
      </c>
      <c r="L29" s="63">
        <f>IF(OR('Price History'!L30="",'Price History'!L29="",'Price History'!L29=0),"",'Price History'!L30/'Price History'!L29-1)</f>
        <v>-4.8230786567500683E-2</v>
      </c>
      <c r="M29" s="63">
        <f>IF(OR('Price History'!M30="",'Price History'!M29="",'Price History'!M29=0),"",'Price History'!M30/'Price History'!M29-1)</f>
        <v>-8.6586901763224811E-3</v>
      </c>
      <c r="N29" s="63">
        <f>IF(OR('Price History'!N30="",'Price History'!N29="",'Price History'!N29=0),"",'Price History'!N30/'Price History'!N29-1)</f>
        <v>-1.6788441985293723E-3</v>
      </c>
      <c r="O29" s="63" t="str">
        <f>IF(OR('Price History'!O30="",'Price History'!O29="",'Price History'!O29=0),"",'Price History'!O30/'Price History'!O29-1)</f>
        <v/>
      </c>
      <c r="P29" s="63" t="str">
        <f>IF(OR('Price History'!P30="",'Price History'!P29="",'Price History'!P29=0),"",'Price History'!P30/'Price History'!P29-1)</f>
        <v/>
      </c>
      <c r="Q29" s="63" t="str">
        <f>IF(OR('Price History'!Q30="",'Price History'!Q29="",'Price History'!Q29=0),"",'Price History'!Q30/'Price History'!Q29-1)</f>
        <v/>
      </c>
    </row>
    <row r="30" spans="1:17" ht="15" customHeight="1" x14ac:dyDescent="0.2">
      <c r="A30" s="49">
        <f>'Price History'!A31</f>
        <v>45345</v>
      </c>
      <c r="B30" s="63">
        <f>IF(OR('Price History'!B31="",'Price History'!B30="",'Price History'!B30=0),"",'Price History'!B31/'Price History'!B30-1)</f>
        <v>1.2402590275491399E-2</v>
      </c>
      <c r="C30" s="63">
        <f>IF(OR('Price History'!C31="",'Price History'!C30="",'Price History'!C30=0),"",'Price History'!C31/'Price History'!C30-1)</f>
        <v>2.261613691931541E-2</v>
      </c>
      <c r="D30" s="63">
        <f>IF(OR('Price History'!D31="",'Price History'!D30="",'Price History'!D30=0),"",'Price History'!D31/'Price History'!D30-1)</f>
        <v>4.6396968587851806E-3</v>
      </c>
      <c r="E30" s="63">
        <f>IF(OR('Price History'!E31="",'Price History'!E30="",'Price History'!E30=0),"",'Price History'!E31/'Price History'!E30-1)</f>
        <v>4.0867121637896409E-2</v>
      </c>
      <c r="F30" s="63">
        <f>IF(OR('Price History'!F31="",'Price History'!F30="",'Price History'!F30=0),"",'Price History'!F31/'Price History'!F30-1)</f>
        <v>-5.3942412829546815E-2</v>
      </c>
      <c r="G30" s="63">
        <f>IF(OR('Price History'!G31="",'Price History'!G30="",'Price History'!G30=0),"",'Price History'!G31/'Price History'!G30-1)</f>
        <v>1.1188388267311611E-2</v>
      </c>
      <c r="H30" s="63">
        <f>IF(OR('Price History'!H31="",'Price History'!H30="",'Price History'!H30=0),"",'Price History'!H31/'Price History'!H30-1)</f>
        <v>8.1761006289308158E-2</v>
      </c>
      <c r="I30" s="63">
        <f>IF(OR('Price History'!I31="",'Price History'!I30="",'Price History'!I30=0),"",'Price History'!I31/'Price History'!I30-1)</f>
        <v>8.5525409723178569E-2</v>
      </c>
      <c r="J30" s="63">
        <f>IF(OR('Price History'!J31="",'Price History'!J30="",'Price History'!J30=0),"",'Price History'!J31/'Price History'!J30-1)</f>
        <v>-1.3494264937400358E-3</v>
      </c>
      <c r="K30" s="63">
        <f>IF(OR('Price History'!K31="",'Price History'!K30="",'Price History'!K30=0),"",'Price History'!K31/'Price History'!K30-1)</f>
        <v>-6.0147299509001773E-2</v>
      </c>
      <c r="L30" s="63">
        <f>IF(OR('Price History'!L31="",'Price History'!L30="",'Price History'!L30=0),"",'Price History'!L31/'Price History'!L30-1)</f>
        <v>2.2416923198358196E-2</v>
      </c>
      <c r="M30" s="63">
        <f>IF(OR('Price History'!M31="",'Price History'!M30="",'Price History'!M30=0),"",'Price History'!M31/'Price History'!M30-1)</f>
        <v>-4.2877560743210807E-3</v>
      </c>
      <c r="N30" s="63">
        <f>IF(OR('Price History'!N31="",'Price History'!N30="",'Price History'!N30=0),"",'Price History'!N31/'Price History'!N30-1)</f>
        <v>1.8735196589294123E-2</v>
      </c>
      <c r="O30" s="63" t="str">
        <f>IF(OR('Price History'!O31="",'Price History'!O30="",'Price History'!O30=0),"",'Price History'!O31/'Price History'!O30-1)</f>
        <v/>
      </c>
      <c r="P30" s="63" t="str">
        <f>IF(OR('Price History'!P31="",'Price History'!P30="",'Price History'!P30=0),"",'Price History'!P31/'Price History'!P30-1)</f>
        <v/>
      </c>
      <c r="Q30" s="63" t="str">
        <f>IF(OR('Price History'!Q31="",'Price History'!Q30="",'Price History'!Q30=0),"",'Price History'!Q31/'Price History'!Q30-1)</f>
        <v/>
      </c>
    </row>
    <row r="31" spans="1:17" ht="15" customHeight="1" x14ac:dyDescent="0.2">
      <c r="A31" s="49">
        <f>'Price History'!A32</f>
        <v>45352</v>
      </c>
      <c r="B31" s="63">
        <f>IF(OR('Price History'!B32="",'Price History'!B31="",'Price History'!B31=0),"",'Price History'!B32/'Price History'!B31-1)</f>
        <v>3.1602341717259064E-2</v>
      </c>
      <c r="C31" s="63">
        <f>IF(OR('Price History'!C32="",'Price History'!C31="",'Price History'!C31=0),"",'Price History'!C32/'Price History'!C31-1)</f>
        <v>7.5014943215780061E-2</v>
      </c>
      <c r="D31" s="63">
        <f>IF(OR('Price History'!D32="",'Price History'!D31="",'Price History'!D31=0),"",'Price History'!D32/'Price History'!D31-1)</f>
        <v>6.1816233592285164E-2</v>
      </c>
      <c r="E31" s="63">
        <f>IF(OR('Price History'!E32="",'Price History'!E31="",'Price History'!E31=0),"",'Price History'!E32/'Price History'!E31-1)</f>
        <v>7.9296513421783343E-2</v>
      </c>
      <c r="F31" s="63">
        <f>IF(OR('Price History'!F32="",'Price History'!F31="",'Price History'!F31=0),"",'Price History'!F32/'Price History'!F31-1)</f>
        <v>1.001669449081799E-2</v>
      </c>
      <c r="G31" s="63">
        <f>IF(OR('Price History'!G32="",'Price History'!G31="",'Price History'!G31=0),"",'Price History'!G32/'Price History'!G31-1)</f>
        <v>7.2966507177033568E-2</v>
      </c>
      <c r="H31" s="63">
        <f>IF(OR('Price History'!H32="",'Price History'!H31="",'Price History'!H31=0),"",'Price History'!H32/'Price History'!H31-1)</f>
        <v>0.10639534883720936</v>
      </c>
      <c r="I31" s="63">
        <f>IF(OR('Price History'!I32="",'Price History'!I31="",'Price History'!I31=0),"",'Price History'!I32/'Price History'!I31-1)</f>
        <v>4.3897487947221592E-2</v>
      </c>
      <c r="J31" s="63">
        <f>IF(OR('Price History'!J32="",'Price History'!J31="",'Price History'!J31=0),"",'Price History'!J32/'Price History'!J31-1)</f>
        <v>1.0434652053149085E-2</v>
      </c>
      <c r="K31" s="63">
        <f>IF(OR('Price History'!K32="",'Price History'!K31="",'Price History'!K31=0),"",'Price History'!K32/'Price History'!K31-1)</f>
        <v>8.5328689595124185E-2</v>
      </c>
      <c r="L31" s="63">
        <f>IF(OR('Price History'!L32="",'Price History'!L31="",'Price History'!L31=0),"",'Price History'!L32/'Price History'!L31-1)</f>
        <v>3.373735814097123E-2</v>
      </c>
      <c r="M31" s="63">
        <f>IF(OR('Price History'!M32="",'Price History'!M31="",'Price History'!M31=0),"",'Price History'!M32/'Price History'!M31-1)</f>
        <v>0.12551834130781492</v>
      </c>
      <c r="N31" s="63">
        <f>IF(OR('Price History'!N32="",'Price History'!N31="",'Price History'!N31=0),"",'Price History'!N32/'Price History'!N31-1)</f>
        <v>6.161214573016105E-3</v>
      </c>
      <c r="O31" s="63" t="str">
        <f>IF(OR('Price History'!O32="",'Price History'!O31="",'Price History'!O31=0),"",'Price History'!O32/'Price History'!O31-1)</f>
        <v/>
      </c>
      <c r="P31" s="63" t="str">
        <f>IF(OR('Price History'!P32="",'Price History'!P31="",'Price History'!P31=0),"",'Price History'!P32/'Price History'!P31-1)</f>
        <v/>
      </c>
      <c r="Q31" s="63" t="str">
        <f>IF(OR('Price History'!Q32="",'Price History'!Q31="",'Price History'!Q31=0),"",'Price History'!Q32/'Price History'!Q31-1)</f>
        <v/>
      </c>
    </row>
    <row r="32" spans="1:17" ht="15" customHeight="1" x14ac:dyDescent="0.2">
      <c r="A32" s="49">
        <f>'Price History'!A33</f>
        <v>45359</v>
      </c>
      <c r="B32" s="63">
        <f>IF(OR('Price History'!B33="",'Price History'!B32="",'Price History'!B32=0),"",'Price History'!B33/'Price History'!B32-1)</f>
        <v>-3.3699402728880723E-2</v>
      </c>
      <c r="C32" s="63">
        <f>IF(OR('Price History'!C33="",'Price History'!C32="",'Price History'!C32=0),"",'Price History'!C33/'Price History'!C32-1)</f>
        <v>-5.0875729774812251E-2</v>
      </c>
      <c r="D32" s="63">
        <f>IF(OR('Price History'!D33="",'Price History'!D32="",'Price History'!D32=0),"",'Price History'!D33/'Price History'!D32-1)</f>
        <v>3.4209942075200672E-3</v>
      </c>
      <c r="E32" s="63">
        <f>IF(OR('Price History'!E33="",'Price History'!E32="",'Price History'!E32=0),"",'Price History'!E33/'Price History'!E32-1)</f>
        <v>-6.4679817038307497E-2</v>
      </c>
      <c r="F32" s="63">
        <f>IF(OR('Price History'!F33="",'Price History'!F32="",'Price History'!F32=0),"",'Price History'!F33/'Price History'!F32-1)</f>
        <v>2.6191989828353357E-2</v>
      </c>
      <c r="G32" s="63">
        <f>IF(OR('Price History'!G33="",'Price History'!G32="",'Price History'!G32=0),"",'Price History'!G33/'Price History'!G32-1)</f>
        <v>-2.5641025641025661E-2</v>
      </c>
      <c r="H32" s="63">
        <f>IF(OR('Price History'!H33="",'Price History'!H32="",'Price History'!H32=0),"",'Price History'!H33/'Price History'!H32-1)</f>
        <v>2.5959012086179678E-2</v>
      </c>
      <c r="I32" s="63">
        <f>IF(OR('Price History'!I33="",'Price History'!I32="",'Price History'!I32=0),"",'Price History'!I33/'Price History'!I32-1)</f>
        <v>6.3806514341273601E-2</v>
      </c>
      <c r="J32" s="63">
        <f>IF(OR('Price History'!J33="",'Price History'!J32="",'Price History'!J32=0),"",'Price History'!J33/'Price History'!J32-1)</f>
        <v>3.4918276374442669E-3</v>
      </c>
      <c r="K32" s="63">
        <f>IF(OR('Price History'!K33="",'Price History'!K32="",'Price History'!K32=0),"",'Price History'!K33/'Price History'!K32-1)</f>
        <v>4.4524669073405576E-2</v>
      </c>
      <c r="L32" s="63">
        <f>IF(OR('Price History'!L33="",'Price History'!L32="",'Price History'!L32=0),"",'Price History'!L33/'Price History'!L32-1)</f>
        <v>9.3129200896191255E-2</v>
      </c>
      <c r="M32" s="63">
        <f>IF(OR('Price History'!M33="",'Price History'!M32="",'Price History'!M32=0),"",'Price History'!M33/'Price History'!M32-1)</f>
        <v>-1.7004392801473589E-2</v>
      </c>
      <c r="N32" s="63">
        <f>IF(OR('Price History'!N33="",'Price History'!N32="",'Price History'!N32=0),"",'Price History'!N33/'Price History'!N32-1)</f>
        <v>-4.4297069969498115E-2</v>
      </c>
      <c r="O32" s="63" t="str">
        <f>IF(OR('Price History'!O33="",'Price History'!O32="",'Price History'!O32=0),"",'Price History'!O33/'Price History'!O32-1)</f>
        <v/>
      </c>
      <c r="P32" s="63" t="str">
        <f>IF(OR('Price History'!P33="",'Price History'!P32="",'Price History'!P32=0),"",'Price History'!P33/'Price History'!P32-1)</f>
        <v/>
      </c>
      <c r="Q32" s="63" t="str">
        <f>IF(OR('Price History'!Q33="",'Price History'!Q32="",'Price History'!Q32=0),"",'Price History'!Q33/'Price History'!Q32-1)</f>
        <v/>
      </c>
    </row>
    <row r="33" spans="1:17" ht="15" customHeight="1" x14ac:dyDescent="0.2">
      <c r="A33" s="49">
        <f>'Price History'!A34</f>
        <v>45366</v>
      </c>
      <c r="B33" s="63">
        <f>IF(OR('Price History'!B34="",'Price History'!B33="",'Price History'!B33=0),"",'Price History'!B34/'Price History'!B33-1)</f>
        <v>-0.10736101796298658</v>
      </c>
      <c r="C33" s="63">
        <f>IF(OR('Price History'!C34="",'Price History'!C33="",'Price History'!C33=0),"",'Price History'!C34/'Price History'!C33-1)</f>
        <v>1.6842413591095617E-2</v>
      </c>
      <c r="D33" s="63">
        <f>IF(OR('Price History'!D34="",'Price History'!D33="",'Price History'!D33=0),"",'Price History'!D34/'Price History'!D33-1)</f>
        <v>-5.4428610219947049E-2</v>
      </c>
      <c r="E33" s="63">
        <f>IF(OR('Price History'!E34="",'Price History'!E33="",'Price History'!E33=0),"",'Price History'!E34/'Price History'!E33-1)</f>
        <v>-5.593336899212964E-2</v>
      </c>
      <c r="F33" s="63">
        <f>IF(OR('Price History'!F34="",'Price History'!F33="",'Price History'!F33=0),"",'Price History'!F34/'Price History'!F33-1)</f>
        <v>-2.2302069136414304E-2</v>
      </c>
      <c r="G33" s="63">
        <f>IF(OR('Price History'!G34="",'Price History'!G33="",'Price History'!G33=0),"",'Price History'!G34/'Price History'!G33-1)</f>
        <v>-2.1882151029748331E-2</v>
      </c>
      <c r="H33" s="63">
        <f>IF(OR('Price History'!H34="",'Price History'!H33="",'Price History'!H33=0),"",'Price History'!H34/'Price History'!H33-1)</f>
        <v>-4.4765416922761814E-2</v>
      </c>
      <c r="I33" s="63">
        <f>IF(OR('Price History'!I34="",'Price History'!I33="",'Price History'!I33=0),"",'Price History'!I34/'Price History'!I33-1)</f>
        <v>3.5416428653034515E-3</v>
      </c>
      <c r="J33" s="63">
        <f>IF(OR('Price History'!J34="",'Price History'!J33="",'Price History'!J33=0),"",'Price History'!J34/'Price History'!J33-1)</f>
        <v>-4.4791589546161137E-2</v>
      </c>
      <c r="K33" s="63">
        <f>IF(OR('Price History'!K34="",'Price History'!K33="",'Price History'!K33=0),"",'Price History'!K34/'Price History'!K33-1)</f>
        <v>-9.7926267281105983E-2</v>
      </c>
      <c r="L33" s="63">
        <f>IF(OR('Price History'!L34="",'Price History'!L33="",'Price History'!L33=0),"",'Price History'!L34/'Price History'!L33-1)</f>
        <v>-6.415249026439851E-2</v>
      </c>
      <c r="M33" s="63">
        <f>IF(OR('Price History'!M34="",'Price History'!M33="",'Price History'!M33=0),"",'Price History'!M34/'Price History'!M33-1)</f>
        <v>6.9050021623179969E-2</v>
      </c>
      <c r="N33" s="63">
        <f>IF(OR('Price History'!N34="",'Price History'!N33="",'Price History'!N33=0),"",'Price History'!N34/'Price History'!N33-1)</f>
        <v>-1.4265335235377985E-2</v>
      </c>
      <c r="O33" s="63" t="str">
        <f>IF(OR('Price History'!O34="",'Price History'!O33="",'Price History'!O33=0),"",'Price History'!O34/'Price History'!O33-1)</f>
        <v/>
      </c>
      <c r="P33" s="63" t="str">
        <f>IF(OR('Price History'!P34="",'Price History'!P33="",'Price History'!P33=0),"",'Price History'!P34/'Price History'!P33-1)</f>
        <v/>
      </c>
      <c r="Q33" s="63" t="str">
        <f>IF(OR('Price History'!Q34="",'Price History'!Q33="",'Price History'!Q33=0),"",'Price History'!Q34/'Price History'!Q33-1)</f>
        <v/>
      </c>
    </row>
    <row r="34" spans="1:17" ht="15" customHeight="1" x14ac:dyDescent="0.2">
      <c r="A34" s="49">
        <f>'Price History'!A35</f>
        <v>45373</v>
      </c>
      <c r="B34" s="63">
        <f>IF(OR('Price History'!B35="",'Price History'!B34="",'Price History'!B34=0),"",'Price History'!B35/'Price History'!B34-1)</f>
        <v>1.4336189741298799E-2</v>
      </c>
      <c r="C34" s="63">
        <f>IF(OR('Price History'!C35="",'Price History'!C34="",'Price History'!C34=0),"",'Price History'!C35/'Price History'!C34-1)</f>
        <v>0.10341351001008192</v>
      </c>
      <c r="D34" s="63">
        <f>IF(OR('Price History'!D35="",'Price History'!D34="",'Price History'!D34=0),"",'Price History'!D35/'Price History'!D34-1)</f>
        <v>4.227778900458401E-2</v>
      </c>
      <c r="E34" s="63">
        <f>IF(OR('Price History'!E35="",'Price History'!E34="",'Price History'!E34=0),"",'Price History'!E35/'Price History'!E34-1)</f>
        <v>9.5507891541885881E-2</v>
      </c>
      <c r="F34" s="63">
        <f>IF(OR('Price History'!F35="",'Price History'!F34="",'Price History'!F34=0),"",'Price History'!F35/'Price History'!F34-1)</f>
        <v>3.7891268533772671E-2</v>
      </c>
      <c r="G34" s="63">
        <f>IF(OR('Price History'!G35="",'Price History'!G34="",'Price History'!G34=0),"",'Price History'!G35/'Price History'!G34-1)</f>
        <v>3.9040795437929487E-2</v>
      </c>
      <c r="H34" s="63">
        <f>IF(OR('Price History'!H35="",'Price History'!H34="",'Price History'!H34=0),"",'Price History'!H35/'Price History'!H34-1)</f>
        <v>0.18187667560321708</v>
      </c>
      <c r="I34" s="63">
        <f>IF(OR('Price History'!I35="",'Price History'!I34="",'Price History'!I34=0),"",'Price History'!I35/'Price History'!I34-1)</f>
        <v>7.3428961748633892E-2</v>
      </c>
      <c r="J34" s="63">
        <f>IF(OR('Price History'!J35="",'Price History'!J34="",'Price History'!J34=0),"",'Price History'!J35/'Price History'!J34-1)</f>
        <v>-3.1002945279802185E-3</v>
      </c>
      <c r="K34" s="63">
        <f>IF(OR('Price History'!K35="",'Price History'!K34="",'Price History'!K34=0),"",'Price History'!K35/'Price History'!K34-1)</f>
        <v>2.9374201787994991E-2</v>
      </c>
      <c r="L34" s="63">
        <f>IF(OR('Price History'!L35="",'Price History'!L34="",'Price History'!L34=0),"",'Price History'!L35/'Price History'!L34-1)</f>
        <v>2.5989195502993168E-2</v>
      </c>
      <c r="M34" s="63">
        <f>IF(OR('Price History'!M35="",'Price History'!M34="",'Price History'!M34=0),"",'Price History'!M35/'Price History'!M34-1)</f>
        <v>0.11245954692556648</v>
      </c>
      <c r="N34" s="63">
        <f>IF(OR('Price History'!N35="",'Price History'!N34="",'Price History'!N34=0),"",'Price History'!N35/'Price History'!N34-1)</f>
        <v>1.954916725943745E-2</v>
      </c>
      <c r="O34" s="63" t="str">
        <f>IF(OR('Price History'!O35="",'Price History'!O34="",'Price History'!O34=0),"",'Price History'!O35/'Price History'!O34-1)</f>
        <v/>
      </c>
      <c r="P34" s="63" t="str">
        <f>IF(OR('Price History'!P35="",'Price History'!P34="",'Price History'!P34=0),"",'Price History'!P35/'Price History'!P34-1)</f>
        <v/>
      </c>
      <c r="Q34" s="63" t="str">
        <f>IF(OR('Price History'!Q35="",'Price History'!Q34="",'Price History'!Q34=0),"",'Price History'!Q35/'Price History'!Q34-1)</f>
        <v/>
      </c>
    </row>
    <row r="35" spans="1:17" ht="15" customHeight="1" x14ac:dyDescent="0.2">
      <c r="A35" s="49">
        <f>'Price History'!A36</f>
        <v>45379</v>
      </c>
      <c r="B35" s="63">
        <f>IF(OR('Price History'!B36="",'Price History'!B35="",'Price History'!B35=0),"",'Price History'!B36/'Price History'!B35-1)</f>
        <v>1.0169762972453533E-2</v>
      </c>
      <c r="C35" s="63">
        <f>IF(OR('Price History'!C36="",'Price History'!C35="",'Price History'!C35=0),"",'Price History'!C36/'Price History'!C35-1)</f>
        <v>-5.3648348779532729E-2</v>
      </c>
      <c r="D35" s="63">
        <f>IF(OR('Price History'!D36="",'Price History'!D35="",'Price History'!D35=0),"",'Price History'!D36/'Price History'!D35-1)</f>
        <v>-9.684068737499496E-3</v>
      </c>
      <c r="E35" s="63">
        <f>IF(OR('Price History'!E36="",'Price History'!E35="",'Price History'!E35=0),"",'Price History'!E36/'Price History'!E35-1)</f>
        <v>-2.076099002585885E-2</v>
      </c>
      <c r="F35" s="63">
        <f>IF(OR('Price History'!F36="",'Price History'!F35="",'Price History'!F35=0),"",'Price History'!F36/'Price History'!F35-1)</f>
        <v>-2.1367521367521403E-2</v>
      </c>
      <c r="G35" s="63">
        <f>IF(OR('Price History'!G36="",'Price History'!G35="",'Price History'!G35=0),"",'Price History'!G36/'Price History'!G35-1)</f>
        <v>-1.6887137630171689E-2</v>
      </c>
      <c r="H35" s="63">
        <f>IF(OR('Price History'!H36="",'Price History'!H35="",'Price History'!H35=0),"",'Price History'!H36/'Price History'!H35-1)</f>
        <v>6.9685146538426723E-2</v>
      </c>
      <c r="I35" s="63">
        <f>IF(OR('Price History'!I36="",'Price History'!I35="",'Price History'!I35=0),"",'Price History'!I36/'Price History'!I35-1)</f>
        <v>-4.1679923639834637E-2</v>
      </c>
      <c r="J35" s="63">
        <f>IF(OR('Price History'!J36="",'Price History'!J35="",'Price History'!J35=0),"",'Price History'!J36/'Price History'!J35-1)</f>
        <v>1.2439744985227819E-2</v>
      </c>
      <c r="K35" s="63">
        <f>IF(OR('Price History'!K36="",'Price History'!K35="",'Price History'!K35=0),"",'Price History'!K36/'Price History'!K35-1)</f>
        <v>-4.8387096774193505E-2</v>
      </c>
      <c r="L35" s="63">
        <f>IF(OR('Price History'!L36="",'Price History'!L35="",'Price History'!L35=0),"",'Price History'!L36/'Price History'!L35-1)</f>
        <v>-3.1948199800768351E-2</v>
      </c>
      <c r="M35" s="63">
        <f>IF(OR('Price History'!M36="",'Price History'!M35="",'Price History'!M35=0),"",'Price History'!M36/'Price History'!M35-1)</f>
        <v>-1.0060606060605992E-2</v>
      </c>
      <c r="N35" s="63">
        <f>IF(OR('Price History'!N36="",'Price History'!N35="",'Price History'!N35=0),"",'Price History'!N36/'Price History'!N35-1)</f>
        <v>5.6536592407254727E-3</v>
      </c>
      <c r="O35" s="63" t="str">
        <f>IF(OR('Price History'!O36="",'Price History'!O35="",'Price History'!O35=0),"",'Price History'!O36/'Price History'!O35-1)</f>
        <v/>
      </c>
      <c r="P35" s="63" t="str">
        <f>IF(OR('Price History'!P36="",'Price History'!P35="",'Price History'!P35=0),"",'Price History'!P36/'Price History'!P35-1)</f>
        <v/>
      </c>
      <c r="Q35" s="63" t="str">
        <f>IF(OR('Price History'!Q36="",'Price History'!Q35="",'Price History'!Q35=0),"",'Price History'!Q36/'Price History'!Q35-1)</f>
        <v/>
      </c>
    </row>
    <row r="36" spans="1:17" ht="15" customHeight="1" x14ac:dyDescent="0.2">
      <c r="A36" s="49">
        <f>'Price History'!A37</f>
        <v>45387</v>
      </c>
      <c r="B36" s="63">
        <f>IF(OR('Price History'!B37="",'Price History'!B36="",'Price History'!B36=0),"",'Price History'!B37/'Price History'!B36-1)</f>
        <v>-3.8604835513277869E-2</v>
      </c>
      <c r="C36" s="63">
        <f>IF(OR('Price History'!C37="",'Price History'!C36="",'Price History'!C36=0),"",'Price History'!C37/'Price History'!C36-1)</f>
        <v>2.6206896551724146E-2</v>
      </c>
      <c r="D36" s="63">
        <f>IF(OR('Price History'!D37="",'Price History'!D36="",'Price History'!D36=0),"",'Price History'!D37/'Price History'!D36-1)</f>
        <v>9.3562912815439159E-3</v>
      </c>
      <c r="E36" s="63">
        <f>IF(OR('Price History'!E37="",'Price History'!E36="",'Price History'!E36=0),"",'Price History'!E37/'Price History'!E36-1)</f>
        <v>1.056284895126014E-2</v>
      </c>
      <c r="F36" s="63">
        <f>IF(OR('Price History'!F37="",'Price History'!F36="",'Price History'!F36=0),"",'Price History'!F37/'Price History'!F36-1)</f>
        <v>-1.5845290081098029E-2</v>
      </c>
      <c r="G36" s="63">
        <f>IF(OR('Price History'!G37="",'Price History'!G36="",'Price History'!G36=0),"",'Price History'!G37/'Price History'!G36-1)</f>
        <v>-2.2616661895218937E-2</v>
      </c>
      <c r="H36" s="63">
        <f>IF(OR('Price History'!H37="",'Price History'!H36="",'Price History'!H36=0),"",'Price History'!H37/'Price History'!H36-1)</f>
        <v>4.8265332089235669E-2</v>
      </c>
      <c r="I36" s="63">
        <f>IF(OR('Price History'!I37="",'Price History'!I36="",'Price History'!I36=0),"",'Price History'!I37/'Price History'!I36-1)</f>
        <v>-2.6007082779991086E-2</v>
      </c>
      <c r="J36" s="63">
        <f>IF(OR('Price History'!J37="",'Price History'!J36="",'Price History'!J36=0),"",'Price History'!J37/'Price History'!J36-1)</f>
        <v>-4.2082629396406168E-2</v>
      </c>
      <c r="K36" s="63">
        <f>IF(OR('Price History'!K37="",'Price History'!K36="",'Price History'!K36=0),"",'Price History'!K37/'Price History'!K36-1)</f>
        <v>-2.1729682746631784E-3</v>
      </c>
      <c r="L36" s="63">
        <f>IF(OR('Price History'!L37="",'Price History'!L36="",'Price History'!L36=0),"",'Price History'!L37/'Price History'!L36-1)</f>
        <v>3.902976846747519E-2</v>
      </c>
      <c r="M36" s="63">
        <f>IF(OR('Price History'!M37="",'Price History'!M36="",'Price History'!M36=0),"",'Price History'!M37/'Price History'!M36-1)</f>
        <v>4.4936941349332793E-2</v>
      </c>
      <c r="N36" s="63">
        <f>IF(OR('Price History'!N37="",'Price History'!N36="",'Price History'!N36=0),"",'Price History'!N37/'Price History'!N36-1)</f>
        <v>-2.7128537594794278E-2</v>
      </c>
      <c r="O36" s="63" t="str">
        <f>IF(OR('Price History'!O37="",'Price History'!O36="",'Price History'!O36=0),"",'Price History'!O37/'Price History'!O36-1)</f>
        <v/>
      </c>
      <c r="P36" s="63" t="str">
        <f>IF(OR('Price History'!P37="",'Price History'!P36="",'Price History'!P36=0),"",'Price History'!P37/'Price History'!P36-1)</f>
        <v/>
      </c>
      <c r="Q36" s="63" t="str">
        <f>IF(OR('Price History'!Q37="",'Price History'!Q36="",'Price History'!Q36=0),"",'Price History'!Q37/'Price History'!Q36-1)</f>
        <v/>
      </c>
    </row>
    <row r="37" spans="1:17" ht="15" customHeight="1" x14ac:dyDescent="0.2">
      <c r="A37" s="49">
        <f>'Price History'!A38</f>
        <v>45394</v>
      </c>
      <c r="B37" s="63">
        <f>IF(OR('Price History'!B38="",'Price History'!B37="",'Price History'!B37=0),"",'Price History'!B38/'Price History'!B37-1)</f>
        <v>-2.2736642480211122E-2</v>
      </c>
      <c r="C37" s="63">
        <f>IF(OR('Price History'!C38="",'Price History'!C37="",'Price History'!C37=0),"",'Price History'!C38/'Price History'!C37-1)</f>
        <v>-8.8575268817204345E-2</v>
      </c>
      <c r="D37" s="63">
        <f>IF(OR('Price History'!D38="",'Price History'!D37="",'Price History'!D37=0),"",'Price History'!D38/'Price History'!D37-1)</f>
        <v>-1.8079730488489543E-2</v>
      </c>
      <c r="E37" s="63">
        <f>IF(OR('Price History'!E38="",'Price History'!E37="",'Price History'!E37=0),"",'Price History'!E38/'Price History'!E37-1)</f>
        <v>3.5090338957741718E-3</v>
      </c>
      <c r="F37" s="63">
        <f>IF(OR('Price History'!F38="",'Price History'!F37="",'Price History'!F37=0),"",'Price History'!F38/'Price History'!F37-1)</f>
        <v>-2.0537525354969444E-2</v>
      </c>
      <c r="G37" s="63">
        <f>IF(OR('Price History'!G38="",'Price History'!G37="",'Price History'!G37=0),"",'Price History'!G38/'Price History'!G37-1)</f>
        <v>-2.9291154071471315E-3</v>
      </c>
      <c r="H37" s="63">
        <f>IF(OR('Price History'!H38="",'Price History'!H37="",'Price History'!H37=0),"",'Price History'!H38/'Price History'!H37-1)</f>
        <v>-8.5774397151643367E-3</v>
      </c>
      <c r="I37" s="63">
        <f>IF(OR('Price History'!I38="",'Price History'!I37="",'Price History'!I37=0),"",'Price History'!I38/'Price History'!I37-1)</f>
        <v>2.045222133848279E-3</v>
      </c>
      <c r="J37" s="63">
        <f>IF(OR('Price History'!J38="",'Price History'!J37="",'Price History'!J37=0),"",'Price History'!J38/'Price History'!J37-1)</f>
        <v>-4.6015712682379362E-2</v>
      </c>
      <c r="K37" s="63">
        <f>IF(OR('Price History'!K38="",'Price History'!K37="",'Price History'!K37=0),"",'Price History'!K38/'Price History'!K37-1)</f>
        <v>-1.2630662020905903E-2</v>
      </c>
      <c r="L37" s="63">
        <f>IF(OR('Price History'!L38="",'Price History'!L37="",'Price History'!L37=0),"",'Price History'!L38/'Price History'!L37-1)</f>
        <v>8.2059988681379981E-3</v>
      </c>
      <c r="M37" s="63">
        <f>IF(OR('Price History'!M38="",'Price History'!M37="",'Price History'!M37=0),"",'Price History'!M38/'Price History'!M37-1)</f>
        <v>-1.6990860089055593E-2</v>
      </c>
      <c r="N37" s="63">
        <f>IF(OR('Price History'!N38="",'Price History'!N37="",'Price History'!N37=0),"",'Price History'!N38/'Price History'!N37-1)</f>
        <v>-2.4885041925885809E-2</v>
      </c>
      <c r="O37" s="63" t="str">
        <f>IF(OR('Price History'!O38="",'Price History'!O37="",'Price History'!O37=0),"",'Price History'!O38/'Price History'!O37-1)</f>
        <v/>
      </c>
      <c r="P37" s="63" t="str">
        <f>IF(OR('Price History'!P38="",'Price History'!P37="",'Price History'!P37=0),"",'Price History'!P38/'Price History'!P37-1)</f>
        <v/>
      </c>
      <c r="Q37" s="63" t="str">
        <f>IF(OR('Price History'!Q38="",'Price History'!Q37="",'Price History'!Q37=0),"",'Price History'!Q38/'Price History'!Q37-1)</f>
        <v/>
      </c>
    </row>
    <row r="38" spans="1:17" ht="15" customHeight="1" x14ac:dyDescent="0.2">
      <c r="A38" s="49">
        <f>'Price History'!A39</f>
        <v>45401</v>
      </c>
      <c r="B38" s="63">
        <f>IF(OR('Price History'!B39="",'Price History'!B38="",'Price History'!B38=0),"",'Price History'!B39/'Price History'!B38-1)</f>
        <v>-1.9131388554915696E-2</v>
      </c>
      <c r="C38" s="63">
        <f>IF(OR('Price History'!C39="",'Price History'!C38="",'Price History'!C38=0),"",'Price History'!C39/'Price History'!C38-1)</f>
        <v>-9.2759180061937729E-2</v>
      </c>
      <c r="D38" s="63">
        <f>IF(OR('Price History'!D39="",'Price History'!D38="",'Price History'!D38=0),"",'Price History'!D39/'Price History'!D38-1)</f>
        <v>-0.10635864592863686</v>
      </c>
      <c r="E38" s="63">
        <f>IF(OR('Price History'!E39="",'Price History'!E38="",'Price History'!E38=0),"",'Price History'!E39/'Price History'!E38-1)</f>
        <v>-0.10371252138977749</v>
      </c>
      <c r="F38" s="63">
        <f>IF(OR('Price History'!F39="",'Price History'!F38="",'Price History'!F38=0),"",'Price History'!F39/'Price History'!F38-1)</f>
        <v>-8.5425834843386061E-2</v>
      </c>
      <c r="G38" s="63">
        <f>IF(OR('Price History'!G39="",'Price History'!G38="",'Price History'!G38=0),"",'Price History'!G39/'Price History'!G38-1)</f>
        <v>-7.726204465334896E-2</v>
      </c>
      <c r="H38" s="63">
        <f>IF(OR('Price History'!H39="",'Price History'!H38="",'Price History'!H38=0),"",'Price History'!H39/'Price History'!H38-1)</f>
        <v>-0.12855044074436828</v>
      </c>
      <c r="I38" s="63">
        <f>IF(OR('Price History'!I39="",'Price History'!I38="",'Price History'!I38=0),"",'Price History'!I39/'Price History'!I38-1)</f>
        <v>-0.13595645764825937</v>
      </c>
      <c r="J38" s="63">
        <f>IF(OR('Price History'!J39="",'Price History'!J38="",'Price History'!J38=0),"",'Price History'!J39/'Price History'!J38-1)</f>
        <v>-0.13033613445378156</v>
      </c>
      <c r="K38" s="63">
        <f>IF(OR('Price History'!K39="",'Price History'!K38="",'Price History'!K38=0),"",'Price History'!K39/'Price History'!K38-1)</f>
        <v>-9.7044552271724815E-2</v>
      </c>
      <c r="L38" s="63">
        <f>IF(OR('Price History'!L39="",'Price History'!L38="",'Price History'!L38=0),"",'Price History'!L39/'Price History'!L38-1)</f>
        <v>-0.10398540555711488</v>
      </c>
      <c r="M38" s="63">
        <f>IF(OR('Price History'!M39="",'Price History'!M38="",'Price History'!M38=0),"",'Price History'!M39/'Price History'!M38-1)</f>
        <v>-0.10585290261056135</v>
      </c>
      <c r="N38" s="63">
        <f>IF(OR('Price History'!N39="",'Price History'!N38="",'Price History'!N38=0),"",'Price History'!N39/'Price History'!N38-1)</f>
        <v>-5.7243727146640833E-3</v>
      </c>
      <c r="O38" s="63" t="str">
        <f>IF(OR('Price History'!O39="",'Price History'!O38="",'Price History'!O38=0),"",'Price History'!O39/'Price History'!O38-1)</f>
        <v/>
      </c>
      <c r="P38" s="63" t="str">
        <f>IF(OR('Price History'!P39="",'Price History'!P38="",'Price History'!P38=0),"",'Price History'!P39/'Price History'!P38-1)</f>
        <v/>
      </c>
      <c r="Q38" s="63" t="str">
        <f>IF(OR('Price History'!Q39="",'Price History'!Q38="",'Price History'!Q38=0),"",'Price History'!Q39/'Price History'!Q38-1)</f>
        <v/>
      </c>
    </row>
    <row r="39" spans="1:17" ht="15" customHeight="1" x14ac:dyDescent="0.2">
      <c r="A39" s="49">
        <f>'Price History'!A40</f>
        <v>45408</v>
      </c>
      <c r="B39" s="63">
        <f>IF(OR('Price History'!B40="",'Price History'!B39="",'Price History'!B39=0),"",'Price History'!B40/'Price History'!B39-1)</f>
        <v>2.6966582082491142E-2</v>
      </c>
      <c r="C39" s="63">
        <f>IF(OR('Price History'!C40="",'Price History'!C39="",'Price History'!C39=0),"",'Price History'!C40/'Price History'!C39-1)</f>
        <v>7.5747724317295262E-2</v>
      </c>
      <c r="D39" s="63">
        <f>IF(OR('Price History'!D40="",'Price History'!D39="",'Price History'!D39=0),"",'Price History'!D40/'Price History'!D39-1)</f>
        <v>6.9141633897200849E-2</v>
      </c>
      <c r="E39" s="63">
        <f>IF(OR('Price History'!E40="",'Price History'!E39="",'Price History'!E39=0),"",'Price History'!E40/'Price History'!E39-1)</f>
        <v>0.11571345563210755</v>
      </c>
      <c r="F39" s="63">
        <f>IF(OR('Price History'!F40="",'Price History'!F39="",'Price History'!F39=0),"",'Price History'!F40/'Price History'!F39-1)</f>
        <v>7.5856212850268889E-2</v>
      </c>
      <c r="G39" s="63">
        <f>IF(OR('Price History'!G40="",'Price History'!G39="",'Price History'!G39=0),"",'Price History'!G40/'Price History'!G39-1)</f>
        <v>0.12432346386501103</v>
      </c>
      <c r="H39" s="63">
        <f>IF(OR('Price History'!H40="",'Price History'!H39="",'Price History'!H39=0),"",'Price History'!H40/'Price History'!H39-1)</f>
        <v>7.5583028940713781E-2</v>
      </c>
      <c r="I39" s="63">
        <f>IF(OR('Price History'!I40="",'Price History'!I39="",'Price History'!I39=0),"",'Price History'!I40/'Price History'!I39-1)</f>
        <v>0.15144356955380567</v>
      </c>
      <c r="J39" s="63">
        <f>IF(OR('Price History'!J40="",'Price History'!J39="",'Price History'!J39=0),"",'Price History'!J40/'Price History'!J39-1)</f>
        <v>5.5077785293264903E-3</v>
      </c>
      <c r="K39" s="63">
        <f>IF(OR('Price History'!K40="",'Price History'!K39="",'Price History'!K39=0),"",'Price History'!K40/'Price History'!K39-1)</f>
        <v>0.10014655593551547</v>
      </c>
      <c r="L39" s="63">
        <f>IF(OR('Price History'!L40="",'Price History'!L39="",'Price History'!L39=0),"",'Price History'!L40/'Price History'!L39-1)</f>
        <v>8.3007047768206776E-2</v>
      </c>
      <c r="M39" s="63">
        <f>IF(OR('Price History'!M40="",'Price History'!M39="",'Price History'!M39=0),"",'Price History'!M40/'Price History'!M39-1)</f>
        <v>0.24636715104652707</v>
      </c>
      <c r="N39" s="63">
        <f>IF(OR('Price History'!N40="",'Price History'!N39="",'Price History'!N39=0),"",'Price History'!N40/'Price History'!N39-1)</f>
        <v>8.1160596530385209E-3</v>
      </c>
      <c r="O39" s="63" t="str">
        <f>IF(OR('Price History'!O40="",'Price History'!O39="",'Price History'!O39=0),"",'Price History'!O40/'Price History'!O39-1)</f>
        <v/>
      </c>
      <c r="P39" s="63" t="str">
        <f>IF(OR('Price History'!P40="",'Price History'!P39="",'Price History'!P39=0),"",'Price History'!P40/'Price History'!P39-1)</f>
        <v/>
      </c>
      <c r="Q39" s="63" t="str">
        <f>IF(OR('Price History'!Q40="",'Price History'!Q39="",'Price History'!Q39=0),"",'Price History'!Q40/'Price History'!Q39-1)</f>
        <v/>
      </c>
    </row>
    <row r="40" spans="1:17" ht="15" customHeight="1" x14ac:dyDescent="0.2">
      <c r="A40" s="49">
        <f>'Price History'!A41</f>
        <v>45415</v>
      </c>
      <c r="B40" s="63">
        <f>IF(OR('Price History'!B41="",'Price History'!B40="",'Price History'!B40=0),"",'Price History'!B41/'Price History'!B40-1)</f>
        <v>1.8050087947064197E-2</v>
      </c>
      <c r="C40" s="63">
        <f>IF(OR('Price History'!C41="",'Price History'!C40="",'Price History'!C40=0),"",'Price History'!C41/'Price History'!C40-1)</f>
        <v>3.6566938652160541E-2</v>
      </c>
      <c r="D40" s="63">
        <f>IF(OR('Price History'!D41="",'Price History'!D40="",'Price History'!D40=0),"",'Price History'!D41/'Price History'!D40-1)</f>
        <v>-1.8868951108306109E-2</v>
      </c>
      <c r="E40" s="63">
        <f>IF(OR('Price History'!E41="",'Price History'!E40="",'Price History'!E40=0),"",'Price History'!E41/'Price History'!E40-1)</f>
        <v>-4.9103489323711003E-2</v>
      </c>
      <c r="F40" s="63">
        <f>IF(OR('Price History'!F41="",'Price History'!F40="",'Price History'!F40=0),"",'Price History'!F41/'Price History'!F40-1)</f>
        <v>2.0126282557221709E-2</v>
      </c>
      <c r="G40" s="63">
        <f>IF(OR('Price History'!G41="",'Price History'!G40="",'Price History'!G40=0),"",'Price History'!G41/'Price History'!G40-1)</f>
        <v>-1.3733540988248638E-2</v>
      </c>
      <c r="H40" s="63">
        <f>IF(OR('Price History'!H41="",'Price History'!H40="",'Price History'!H40=0),"",'Price History'!H41/'Price History'!H40-1)</f>
        <v>-1.2190874259839779E-3</v>
      </c>
      <c r="I40" s="63">
        <f>IF(OR('Price History'!I41="",'Price History'!I40="",'Price History'!I40=0),"",'Price History'!I41/'Price History'!I40-1)</f>
        <v>1.1967175746524061E-2</v>
      </c>
      <c r="J40" s="63">
        <f>IF(OR('Price History'!J41="",'Price History'!J40="",'Price History'!J40=0),"",'Price History'!J41/'Price History'!J40-1)</f>
        <v>1.7586008072266068E-2</v>
      </c>
      <c r="K40" s="63">
        <f>IF(OR('Price History'!K41="",'Price History'!K40="",'Price History'!K40=0),"",'Price History'!K41/'Price History'!K40-1)</f>
        <v>3.5968028419182785E-2</v>
      </c>
      <c r="L40" s="63">
        <f>IF(OR('Price History'!L41="",'Price History'!L40="",'Price History'!L40=0),"",'Price History'!L41/'Price History'!L40-1)</f>
        <v>2.357194504699911E-2</v>
      </c>
      <c r="M40" s="63">
        <f>IF(OR('Price History'!M41="",'Price History'!M40="",'Price History'!M40=0),"",'Price History'!M41/'Price History'!M40-1)</f>
        <v>-5.1342389560379287E-3</v>
      </c>
      <c r="N40" s="63">
        <f>IF(OR('Price History'!N41="",'Price History'!N40="",'Price History'!N40=0),"",'Price History'!N41/'Price History'!N40-1)</f>
        <v>9.0570594746903765E-3</v>
      </c>
      <c r="O40" s="63" t="str">
        <f>IF(OR('Price History'!O41="",'Price History'!O40="",'Price History'!O40=0),"",'Price History'!O41/'Price History'!O40-1)</f>
        <v/>
      </c>
      <c r="P40" s="63" t="str">
        <f>IF(OR('Price History'!P41="",'Price History'!P40="",'Price History'!P40=0),"",'Price History'!P41/'Price History'!P40-1)</f>
        <v/>
      </c>
      <c r="Q40" s="63" t="str">
        <f>IF(OR('Price History'!Q41="",'Price History'!Q40="",'Price History'!Q40=0),"",'Price History'!Q41/'Price History'!Q40-1)</f>
        <v/>
      </c>
    </row>
    <row r="41" spans="1:17" ht="15" customHeight="1" x14ac:dyDescent="0.2">
      <c r="A41" s="49">
        <f>'Price History'!A42</f>
        <v>45422</v>
      </c>
      <c r="B41" s="63">
        <f>IF(OR('Price History'!B42="",'Price History'!B41="",'Price History'!B41=0),"",'Price History'!B42/'Price History'!B41-1)</f>
        <v>-8.0011518367681944E-3</v>
      </c>
      <c r="C41" s="63">
        <f>IF(OR('Price History'!C42="",'Price History'!C41="",'Price History'!C41=0),"",'Price History'!C42/'Price History'!C41-1)</f>
        <v>0.14446064139941717</v>
      </c>
      <c r="D41" s="63">
        <f>IF(OR('Price History'!D42="",'Price History'!D41="",'Price History'!D41=0),"",'Price History'!D42/'Price History'!D41-1)</f>
        <v>3.1786874882157923E-2</v>
      </c>
      <c r="E41" s="63">
        <f>IF(OR('Price History'!E42="",'Price History'!E41="",'Price History'!E41=0),"",'Price History'!E42/'Price History'!E41-1)</f>
        <v>4.2797903137469673E-2</v>
      </c>
      <c r="F41" s="63">
        <f>IF(OR('Price History'!F42="",'Price History'!F41="",'Price History'!F41=0),"",'Price History'!F42/'Price History'!F41-1)</f>
        <v>3.4042553191489411E-2</v>
      </c>
      <c r="G41" s="63">
        <f>IF(OR('Price History'!G42="",'Price History'!G41="",'Price History'!G41=0),"",'Price History'!G42/'Price History'!G41-1)</f>
        <v>3.1151306345104768E-2</v>
      </c>
      <c r="H41" s="63">
        <f>IF(OR('Price History'!H42="",'Price History'!H41="",'Price History'!H41=0),"",'Price History'!H42/'Price History'!H41-1)</f>
        <v>5.7018308631211712E-2</v>
      </c>
      <c r="I41" s="63">
        <f>IF(OR('Price History'!I42="",'Price History'!I41="",'Price History'!I41=0),"",'Price History'!I42/'Price History'!I41-1)</f>
        <v>1.2276157224912598E-2</v>
      </c>
      <c r="J41" s="63">
        <f>IF(OR('Price History'!J42="",'Price History'!J41="",'Price History'!J41=0),"",'Price History'!J42/'Price History'!J41-1)</f>
        <v>1.5110019831900967E-2</v>
      </c>
      <c r="K41" s="63">
        <f>IF(OR('Price History'!K42="",'Price History'!K41="",'Price History'!K41=0),"",'Price History'!K42/'Price History'!K41-1)</f>
        <v>-0.11701671667381042</v>
      </c>
      <c r="L41" s="63">
        <f>IF(OR('Price History'!L42="",'Price History'!L41="",'Price History'!L41=0),"",'Price History'!L42/'Price History'!L41-1)</f>
        <v>5.4393896580954948E-2</v>
      </c>
      <c r="M41" s="63">
        <f>IF(OR('Price History'!M42="",'Price History'!M41="",'Price History'!M41=0),"",'Price History'!M42/'Price History'!M41-1)</f>
        <v>2.5696161703042675E-2</v>
      </c>
      <c r="N41" s="63">
        <f>IF(OR('Price History'!N42="",'Price History'!N41="",'Price History'!N41=0),"",'Price History'!N42/'Price History'!N41-1)</f>
        <v>5.4103919417572532E-2</v>
      </c>
      <c r="O41" s="63" t="str">
        <f>IF(OR('Price History'!O42="",'Price History'!O41="",'Price History'!O41=0),"",'Price History'!O42/'Price History'!O41-1)</f>
        <v/>
      </c>
      <c r="P41" s="63" t="str">
        <f>IF(OR('Price History'!P42="",'Price History'!P41="",'Price History'!P41=0),"",'Price History'!P42/'Price History'!P41-1)</f>
        <v/>
      </c>
      <c r="Q41" s="63" t="str">
        <f>IF(OR('Price History'!Q42="",'Price History'!Q41="",'Price History'!Q41=0),"",'Price History'!Q42/'Price History'!Q41-1)</f>
        <v/>
      </c>
    </row>
    <row r="42" spans="1:17" ht="15" customHeight="1" x14ac:dyDescent="0.2">
      <c r="A42" s="49">
        <f>'Price History'!A43</f>
        <v>45429</v>
      </c>
      <c r="B42" s="63">
        <f>IF(OR('Price History'!B43="",'Price History'!B42="",'Price History'!B42=0),"",'Price History'!B43/'Price History'!B42-1)</f>
        <v>2.3637230711812673E-3</v>
      </c>
      <c r="C42" s="63">
        <f>IF(OR('Price History'!C43="",'Price History'!C42="",'Price History'!C42=0),"",'Price History'!C43/'Price History'!C42-1)</f>
        <v>1.8596357151955178E-2</v>
      </c>
      <c r="D42" s="63">
        <f>IF(OR('Price History'!D43="",'Price History'!D42="",'Price History'!D42=0),"",'Price History'!D43/'Price History'!D42-1)</f>
        <v>-5.7186468735554996E-3</v>
      </c>
      <c r="E42" s="63">
        <f>IF(OR('Price History'!E43="",'Price History'!E42="",'Price History'!E42=0),"",'Price History'!E43/'Price History'!E42-1)</f>
        <v>4.6893757503001288E-2</v>
      </c>
      <c r="F42" s="63">
        <f>IF(OR('Price History'!F43="",'Price History'!F42="",'Price History'!F42=0),"",'Price History'!F43/'Price History'!F42-1)</f>
        <v>7.8438708068337748E-2</v>
      </c>
      <c r="G42" s="63">
        <f>IF(OR('Price History'!G43="",'Price History'!G42="",'Price History'!G42=0),"",'Price History'!G43/'Price History'!G42-1)</f>
        <v>4.0929973548656573E-2</v>
      </c>
      <c r="H42" s="63">
        <f>IF(OR('Price History'!H43="",'Price History'!H42="",'Price History'!H42=0),"",'Price History'!H43/'Price History'!H42-1)</f>
        <v>3.340481689211483E-2</v>
      </c>
      <c r="I42" s="63">
        <f>IF(OR('Price History'!I43="",'Price History'!I42="",'Price History'!I42=0),"",'Price History'!I43/'Price History'!I42-1)</f>
        <v>2.8927458834000941E-2</v>
      </c>
      <c r="J42" s="63">
        <f>IF(OR('Price History'!J43="",'Price History'!J42="",'Price History'!J42=0),"",'Price History'!J43/'Price History'!J42-1)</f>
        <v>3.7305795887989657E-2</v>
      </c>
      <c r="K42" s="63">
        <f>IF(OR('Price History'!K43="",'Price History'!K42="",'Price History'!K42=0),"",'Price History'!K43/'Price History'!K42-1)</f>
        <v>5.6310679611650594E-2</v>
      </c>
      <c r="L42" s="63">
        <f>IF(OR('Price History'!L43="",'Price History'!L42="",'Price History'!L42=0),"",'Price History'!L43/'Price History'!L42-1)</f>
        <v>1.6213319040600416E-2</v>
      </c>
      <c r="M42" s="63">
        <f>IF(OR('Price History'!M43="",'Price History'!M42="",'Price History'!M42=0),"",'Price History'!M43/'Price History'!M42-1)</f>
        <v>1.477987421383653E-2</v>
      </c>
      <c r="N42" s="63">
        <f>IF(OR('Price History'!N43="",'Price History'!N42="",'Price History'!N42=0),"",'Price History'!N43/'Price History'!N42-1)</f>
        <v>5.3053597615781323E-2</v>
      </c>
      <c r="O42" s="63" t="str">
        <f>IF(OR('Price History'!O43="",'Price History'!O42="",'Price History'!O42=0),"",'Price History'!O43/'Price History'!O42-1)</f>
        <v/>
      </c>
      <c r="P42" s="63" t="str">
        <f>IF(OR('Price History'!P43="",'Price History'!P42="",'Price History'!P42=0),"",'Price History'!P43/'Price History'!P42-1)</f>
        <v/>
      </c>
      <c r="Q42" s="63" t="str">
        <f>IF(OR('Price History'!Q43="",'Price History'!Q42="",'Price History'!Q42=0),"",'Price History'!Q43/'Price History'!Q42-1)</f>
        <v/>
      </c>
    </row>
    <row r="43" spans="1:17" ht="15" customHeight="1" x14ac:dyDescent="0.2">
      <c r="A43" s="49">
        <f>'Price History'!A44</f>
        <v>45436</v>
      </c>
      <c r="B43" s="63">
        <f>IF(OR('Price History'!B44="",'Price History'!B43="",'Price History'!B43=0),"",'Price History'!B44/'Price History'!B43-1)</f>
        <v>-1.6548414455040072E-2</v>
      </c>
      <c r="C43" s="63">
        <f>IF(OR('Price History'!C44="",'Price History'!C43="",'Price History'!C43=0),"",'Price History'!C44/'Price History'!C43-1)</f>
        <v>-4.1640615230711497E-2</v>
      </c>
      <c r="D43" s="63">
        <f>IF(OR('Price History'!D44="",'Price History'!D43="",'Price History'!D43=0),"",'Price History'!D44/'Price History'!D43-1)</f>
        <v>3.3784879509605625E-2</v>
      </c>
      <c r="E43" s="63">
        <f>IF(OR('Price History'!E44="",'Price History'!E43="",'Price History'!E43=0),"",'Price History'!E44/'Price History'!E43-1)</f>
        <v>8.958646885974364E-3</v>
      </c>
      <c r="F43" s="63">
        <f>IF(OR('Price History'!F44="",'Price History'!F43="",'Price History'!F43=0),"",'Price History'!F44/'Price History'!F43-1)</f>
        <v>1.6073080481036062E-2</v>
      </c>
      <c r="G43" s="63">
        <f>IF(OR('Price History'!G44="",'Price History'!G43="",'Price History'!G43=0),"",'Price History'!G44/'Price History'!G43-1)</f>
        <v>4.1995452721679927E-2</v>
      </c>
      <c r="H43" s="63">
        <f>IF(OR('Price History'!H44="",'Price History'!H43="",'Price History'!H43=0),"",'Price History'!H44/'Price History'!H43-1)</f>
        <v>3.3522228430042267E-2</v>
      </c>
      <c r="I43" s="63">
        <f>IF(OR('Price History'!I44="",'Price History'!I43="",'Price History'!I43=0),"",'Price History'!I44/'Price History'!I43-1)</f>
        <v>0.15127595155709339</v>
      </c>
      <c r="J43" s="63">
        <f>IF(OR('Price History'!J44="",'Price History'!J43="",'Price History'!J43=0),"",'Price History'!J44/'Price History'!J43-1)</f>
        <v>-6.0538116591928204E-2</v>
      </c>
      <c r="K43" s="63">
        <f>IF(OR('Price History'!K44="",'Price History'!K43="",'Price History'!K43=0),"",'Price History'!K44/'Price History'!K43-1)</f>
        <v>-3.4466911764705843E-2</v>
      </c>
      <c r="L43" s="63">
        <f>IF(OR('Price History'!L44="",'Price History'!L43="",'Price History'!L43=0),"",'Price History'!L44/'Price History'!L43-1)</f>
        <v>5.4852320675105481E-2</v>
      </c>
      <c r="M43" s="63">
        <f>IF(OR('Price History'!M44="",'Price History'!M43="",'Price History'!M43=0),"",'Price History'!M44/'Price History'!M43-1)</f>
        <v>9.6684226836070586E-2</v>
      </c>
      <c r="N43" s="63">
        <f>IF(OR('Price History'!N44="",'Price History'!N43="",'Price History'!N43=0),"",'Price History'!N44/'Price History'!N43-1)</f>
        <v>2.6369578401203908E-2</v>
      </c>
      <c r="O43" s="63" t="str">
        <f>IF(OR('Price History'!O44="",'Price History'!O43="",'Price History'!O43=0),"",'Price History'!O44/'Price History'!O43-1)</f>
        <v/>
      </c>
      <c r="P43" s="63" t="str">
        <f>IF(OR('Price History'!P44="",'Price History'!P43="",'Price History'!P43=0),"",'Price History'!P44/'Price History'!P43-1)</f>
        <v/>
      </c>
      <c r="Q43" s="63" t="str">
        <f>IF(OR('Price History'!Q44="",'Price History'!Q43="",'Price History'!Q43=0),"",'Price History'!Q44/'Price History'!Q43-1)</f>
        <v/>
      </c>
    </row>
    <row r="44" spans="1:17" ht="15" customHeight="1" x14ac:dyDescent="0.2">
      <c r="A44" s="49">
        <f>'Price History'!A45</f>
        <v>45443</v>
      </c>
      <c r="B44" s="63">
        <f>IF(OR('Price History'!B45="",'Price History'!B44="",'Price History'!B44=0),"",'Price History'!B45/'Price History'!B44-1)</f>
        <v>-6.4510022505942066E-2</v>
      </c>
      <c r="C44" s="63">
        <f>IF(OR('Price History'!C45="",'Price History'!C44="",'Price History'!C44=0),"",'Price History'!C45/'Price History'!C44-1)</f>
        <v>-2.9097077244258918E-2</v>
      </c>
      <c r="D44" s="63">
        <f>IF(OR('Price History'!D45="",'Price History'!D44="",'Price History'!D44=0),"",'Price History'!D45/'Price History'!D44-1)</f>
        <v>4.3190897492209057E-3</v>
      </c>
      <c r="E44" s="63">
        <f>IF(OR('Price History'!E45="",'Price History'!E44="",'Price History'!E44=0),"",'Price History'!E45/'Price History'!E44-1)</f>
        <v>-5.6329024009092232E-2</v>
      </c>
      <c r="F44" s="63">
        <f>IF(OR('Price History'!F45="",'Price History'!F44="",'Price History'!F44=0),"",'Price History'!F45/'Price History'!F44-1)</f>
        <v>-0.10754523728234899</v>
      </c>
      <c r="G44" s="63">
        <f>IF(OR('Price History'!G45="",'Price History'!G44="",'Price History'!G44=0),"",'Price History'!G45/'Price History'!G44-1)</f>
        <v>-2.5157232704402399E-2</v>
      </c>
      <c r="H44" s="63">
        <f>IF(OR('Price History'!H45="",'Price History'!H44="",'Price History'!H44=0),"",'Price History'!H45/'Price History'!H44-1)</f>
        <v>-3.4674492238782939E-2</v>
      </c>
      <c r="I44" s="63">
        <f>IF(OR('Price History'!I45="",'Price History'!I44="",'Price History'!I44=0),"",'Price History'!I45/'Price History'!I44-1)</f>
        <v>2.9679721987414309E-2</v>
      </c>
      <c r="J44" s="63">
        <f>IF(OR('Price History'!J45="",'Price History'!J44="",'Price History'!J44=0),"",'Price History'!J45/'Price History'!J44-1)</f>
        <v>5.4797136038186034E-2</v>
      </c>
      <c r="K44" s="63">
        <f>IF(OR('Price History'!K45="",'Price History'!K44="",'Price History'!K44=0),"",'Price History'!K45/'Price History'!K44-1)</f>
        <v>3.188957639219403E-2</v>
      </c>
      <c r="L44" s="63">
        <f>IF(OR('Price History'!L45="",'Price History'!L44="",'Price History'!L44=0),"",'Price History'!L45/'Price History'!L44-1)</f>
        <v>-5.600000000000005E-2</v>
      </c>
      <c r="M44" s="63">
        <f>IF(OR('Price History'!M45="",'Price History'!M44="",'Price History'!M44=0),"",'Price History'!M45/'Price History'!M44-1)</f>
        <v>-7.6292738061599419E-2</v>
      </c>
      <c r="N44" s="63">
        <f>IF(OR('Price History'!N45="",'Price History'!N44="",'Price History'!N44=0),"",'Price History'!N45/'Price History'!N44-1)</f>
        <v>-3.5233614180982809E-3</v>
      </c>
      <c r="O44" s="63" t="str">
        <f>IF(OR('Price History'!O45="",'Price History'!O44="",'Price History'!O44=0),"",'Price History'!O45/'Price History'!O44-1)</f>
        <v/>
      </c>
      <c r="P44" s="63" t="str">
        <f>IF(OR('Price History'!P45="",'Price History'!P44="",'Price History'!P44=0),"",'Price History'!P45/'Price History'!P44-1)</f>
        <v/>
      </c>
      <c r="Q44" s="63" t="str">
        <f>IF(OR('Price History'!Q45="",'Price History'!Q44="",'Price History'!Q44=0),"",'Price History'!Q45/'Price History'!Q44-1)</f>
        <v/>
      </c>
    </row>
    <row r="45" spans="1:17" ht="15" customHeight="1" x14ac:dyDescent="0.2">
      <c r="A45" s="49">
        <f>'Price History'!A46</f>
        <v>45450</v>
      </c>
      <c r="B45" s="63">
        <f>IF(OR('Price History'!B46="",'Price History'!B45="",'Price History'!B45=0),"",'Price History'!B46/'Price History'!B45-1)</f>
        <v>4.6474503102797105E-2</v>
      </c>
      <c r="C45" s="63">
        <f>IF(OR('Price History'!C46="",'Price History'!C45="",'Price History'!C45=0),"",'Price History'!C46/'Price History'!C45-1)</f>
        <v>-2.8222013170271509E-3</v>
      </c>
      <c r="D45" s="63">
        <f>IF(OR('Price History'!D46="",'Price History'!D45="",'Price History'!D45=0),"",'Price History'!D46/'Price History'!D45-1)</f>
        <v>7.0880408184516019E-2</v>
      </c>
      <c r="E45" s="63">
        <f>IF(OR('Price History'!E46="",'Price History'!E45="",'Price History'!E45=0),"",'Price History'!E46/'Price History'!E45-1)</f>
        <v>5.8788106887467162E-2</v>
      </c>
      <c r="F45" s="63">
        <f>IF(OR('Price History'!F46="",'Price History'!F45="",'Price History'!F45=0),"",'Price History'!F46/'Price History'!F45-1)</f>
        <v>0.11298138230043353</v>
      </c>
      <c r="G45" s="63">
        <f>IF(OR('Price History'!G46="",'Price History'!G45="",'Price History'!G45=0),"",'Price History'!G46/'Price History'!G45-1)</f>
        <v>1.2508229098090906E-2</v>
      </c>
      <c r="H45" s="63">
        <f>IF(OR('Price History'!H46="",'Price History'!H45="",'Price History'!H45=0),"",'Price History'!H46/'Price History'!H45-1)</f>
        <v>4.7520000000000007E-2</v>
      </c>
      <c r="I45" s="63">
        <f>IF(OR('Price History'!I46="",'Price History'!I45="",'Price History'!I45=0),"",'Price History'!I46/'Price History'!I45-1)</f>
        <v>0.10270911246921477</v>
      </c>
      <c r="J45" s="63">
        <f>IF(OR('Price History'!J46="",'Price History'!J45="",'Price History'!J45=0),"",'Price History'!J46/'Price History'!J45-1)</f>
        <v>-2.624671916010457E-3</v>
      </c>
      <c r="K45" s="63">
        <f>IF(OR('Price History'!K46="",'Price History'!K45="",'Price History'!K45=0),"",'Price History'!K46/'Price History'!K45-1)</f>
        <v>7.5184501845018348E-2</v>
      </c>
      <c r="L45" s="63">
        <f>IF(OR('Price History'!L46="",'Price History'!L45="",'Price History'!L45=0),"",'Price History'!L46/'Price History'!L45-1)</f>
        <v>8.8387182203389703E-2</v>
      </c>
      <c r="M45" s="63">
        <f>IF(OR('Price History'!M46="",'Price History'!M45="",'Price History'!M45=0),"",'Price History'!M46/'Price History'!M45-1)</f>
        <v>-0.10594473335372678</v>
      </c>
      <c r="N45" s="63">
        <f>IF(OR('Price History'!N46="",'Price History'!N45="",'Price History'!N45=0),"",'Price History'!N46/'Price History'!N45-1)</f>
        <v>6.0833662757499907E-2</v>
      </c>
      <c r="O45" s="63" t="str">
        <f>IF(OR('Price History'!O46="",'Price History'!O45="",'Price History'!O45=0),"",'Price History'!O46/'Price History'!O45-1)</f>
        <v/>
      </c>
      <c r="P45" s="63" t="str">
        <f>IF(OR('Price History'!P46="",'Price History'!P45="",'Price History'!P45=0),"",'Price History'!P46/'Price History'!P45-1)</f>
        <v/>
      </c>
      <c r="Q45" s="63" t="str">
        <f>IF(OR('Price History'!Q46="",'Price History'!Q45="",'Price History'!Q45=0),"",'Price History'!Q46/'Price History'!Q45-1)</f>
        <v/>
      </c>
    </row>
    <row r="46" spans="1:17" ht="15" customHeight="1" x14ac:dyDescent="0.2">
      <c r="A46" s="49">
        <f>'Price History'!A47</f>
        <v>45457</v>
      </c>
      <c r="B46" s="63">
        <f>IF(OR('Price History'!B47="",'Price History'!B46="",'Price History'!B46=0),"",'Price History'!B47/'Price History'!B46-1)</f>
        <v>0.12865522205272528</v>
      </c>
      <c r="C46" s="63">
        <f>IF(OR('Price History'!C47="",'Price History'!C46="",'Price History'!C46=0),"",'Price History'!C47/'Price History'!C46-1)</f>
        <v>0.10687331536388123</v>
      </c>
      <c r="D46" s="63">
        <f>IF(OR('Price History'!D47="",'Price History'!D46="",'Price History'!D46=0),"",'Price History'!D47/'Price History'!D46-1)</f>
        <v>-5.0562999552705712E-4</v>
      </c>
      <c r="E46" s="63">
        <f>IF(OR('Price History'!E47="",'Price History'!E46="",'Price History'!E46=0),"",'Price History'!E47/'Price History'!E46-1)</f>
        <v>0.23347078060571591</v>
      </c>
      <c r="F46" s="63">
        <f>IF(OR('Price History'!F47="",'Price History'!F46="",'Price History'!F46=0),"",'Price History'!F47/'Price History'!F46-1)</f>
        <v>0.10403299725022919</v>
      </c>
      <c r="G46" s="63">
        <f>IF(OR('Price History'!G47="",'Price History'!G46="",'Price History'!G46=0),"",'Price History'!G47/'Price History'!G46-1)</f>
        <v>7.2561768530559068E-2</v>
      </c>
      <c r="H46" s="63">
        <f>IF(OR('Price History'!H47="",'Price History'!H46="",'Price History'!H46=0),"",'Price History'!H47/'Price History'!H46-1)</f>
        <v>7.9578432870016869E-2</v>
      </c>
      <c r="I46" s="63">
        <f>IF(OR('Price History'!I47="",'Price History'!I46="",'Price History'!I46=0),"",'Price History'!I47/'Price History'!I46-1)</f>
        <v>9.0909090909090828E-2</v>
      </c>
      <c r="J46" s="63">
        <f>IF(OR('Price History'!J47="",'Price History'!J46="",'Price History'!J46=0),"",'Price History'!J47/'Price History'!J46-1)</f>
        <v>1.8965517241379404E-2</v>
      </c>
      <c r="K46" s="63">
        <f>IF(OR('Price History'!K47="",'Price History'!K46="",'Price History'!K46=0),"",'Price History'!K47/'Price History'!K46-1)</f>
        <v>1.1154011154011156E-2</v>
      </c>
      <c r="L46" s="63">
        <f>IF(OR('Price History'!L47="",'Price History'!L46="",'Price History'!L46=0),"",'Price History'!L47/'Price History'!L46-1)</f>
        <v>4.9394732039661715E-2</v>
      </c>
      <c r="M46" s="63">
        <f>IF(OR('Price History'!M47="",'Price History'!M46="",'Price History'!M46=0),"",'Price History'!M47/'Price History'!M46-1)</f>
        <v>4.3339416058394198E-2</v>
      </c>
      <c r="N46" s="63">
        <f>IF(OR('Price History'!N47="",'Price History'!N46="",'Price History'!N46=0),"",'Price History'!N47/'Price History'!N46-1)</f>
        <v>-4.7822126531964493E-3</v>
      </c>
      <c r="O46" s="63" t="str">
        <f>IF(OR('Price History'!O47="",'Price History'!O46="",'Price History'!O46=0),"",'Price History'!O47/'Price History'!O46-1)</f>
        <v/>
      </c>
      <c r="P46" s="63" t="str">
        <f>IF(OR('Price History'!P47="",'Price History'!P46="",'Price History'!P46=0),"",'Price History'!P47/'Price History'!P46-1)</f>
        <v/>
      </c>
      <c r="Q46" s="63" t="str">
        <f>IF(OR('Price History'!Q47="",'Price History'!Q46="",'Price History'!Q46=0),"",'Price History'!Q47/'Price History'!Q46-1)</f>
        <v/>
      </c>
    </row>
    <row r="47" spans="1:17" ht="15" customHeight="1" x14ac:dyDescent="0.2">
      <c r="A47" s="49">
        <f>'Price History'!A48</f>
        <v>45464</v>
      </c>
      <c r="B47" s="63">
        <f>IF(OR('Price History'!B48="",'Price History'!B47="",'Price History'!B47=0),"",'Price History'!B48/'Price History'!B47-1)</f>
        <v>1.5476575736232068E-2</v>
      </c>
      <c r="C47" s="63">
        <f>IF(OR('Price History'!C48="",'Price History'!C47="",'Price History'!C47=0),"",'Price History'!C48/'Price History'!C47-1)</f>
        <v>2.6908559600633319E-2</v>
      </c>
      <c r="D47" s="63">
        <f>IF(OR('Price History'!D48="",'Price History'!D47="",'Price History'!D47=0),"",'Price History'!D48/'Price History'!D47-1)</f>
        <v>8.4638583519796029E-3</v>
      </c>
      <c r="E47" s="63">
        <f>IF(OR('Price History'!E48="",'Price History'!E47="",'Price History'!E47=0),"",'Price History'!E48/'Price History'!E47-1)</f>
        <v>-4.4034582132564726E-2</v>
      </c>
      <c r="F47" s="63">
        <f>IF(OR('Price History'!F48="",'Price History'!F47="",'Price History'!F47=0),"",'Price History'!F48/'Price History'!F47-1)</f>
        <v>-1.2453300124533051E-2</v>
      </c>
      <c r="G47" s="63">
        <f>IF(OR('Price History'!G48="",'Price History'!G47="",'Price History'!G47=0),"",'Price History'!G48/'Price History'!G47-1)</f>
        <v>-9.9418040737149216E-3</v>
      </c>
      <c r="H47" s="63">
        <f>IF(OR('Price History'!H48="",'Price History'!H47="",'Price History'!H47=0),"",'Price History'!H48/'Price History'!H47-1)</f>
        <v>-1.2874929258630652E-2</v>
      </c>
      <c r="I47" s="63">
        <f>IF(OR('Price History'!I48="",'Price History'!I47="",'Price History'!I47=0),"",'Price History'!I48/'Price History'!I47-1)</f>
        <v>-4.0263876251137365E-2</v>
      </c>
      <c r="J47" s="63">
        <f>IF(OR('Price History'!J48="",'Price History'!J47="",'Price History'!J47=0),"",'Price History'!J48/'Price History'!J47-1)</f>
        <v>-2.5736931160388332E-2</v>
      </c>
      <c r="K47" s="63">
        <f>IF(OR('Price History'!K48="",'Price History'!K47="",'Price History'!K47=0),"",'Price History'!K48/'Price History'!K47-1)</f>
        <v>1.1455239711497756E-2</v>
      </c>
      <c r="L47" s="63">
        <f>IF(OR('Price History'!L48="",'Price History'!L47="",'Price History'!L47=0),"",'Price History'!L48/'Price History'!L47-1)</f>
        <v>8.4053098371110746E-3</v>
      </c>
      <c r="M47" s="63">
        <f>IF(OR('Price History'!M48="",'Price History'!M47="",'Price History'!M47=0),"",'Price History'!M48/'Price History'!M47-1)</f>
        <v>-9.4009619588981685E-3</v>
      </c>
      <c r="N47" s="63">
        <f>IF(OR('Price History'!N48="",'Price History'!N47="",'Price History'!N47=0),"",'Price History'!N48/'Price History'!N47-1)</f>
        <v>-2.5003640297048269E-2</v>
      </c>
      <c r="O47" s="63" t="str">
        <f>IF(OR('Price History'!O48="",'Price History'!O47="",'Price History'!O47=0),"",'Price History'!O48/'Price History'!O47-1)</f>
        <v/>
      </c>
      <c r="P47" s="63" t="str">
        <f>IF(OR('Price History'!P48="",'Price History'!P47="",'Price History'!P47=0),"",'Price History'!P48/'Price History'!P47-1)</f>
        <v/>
      </c>
      <c r="Q47" s="63" t="str">
        <f>IF(OR('Price History'!Q48="",'Price History'!Q47="",'Price History'!Q47=0),"",'Price History'!Q48/'Price History'!Q47-1)</f>
        <v/>
      </c>
    </row>
    <row r="48" spans="1:17" ht="15" customHeight="1" x14ac:dyDescent="0.2">
      <c r="A48" s="49">
        <f>'Price History'!A49</f>
        <v>45471</v>
      </c>
      <c r="B48" s="63">
        <f>IF(OR('Price History'!B49="",'Price History'!B48="",'Price History'!B48=0),"",'Price History'!B49/'Price History'!B48-1)</f>
        <v>4.1429214157168381E-2</v>
      </c>
      <c r="C48" s="63">
        <f>IF(OR('Price History'!C49="",'Price History'!C48="",'Price History'!C48=0),"",'Price History'!C49/'Price History'!C48-1)</f>
        <v>3.8890206307801822E-2</v>
      </c>
      <c r="D48" s="63">
        <f>IF(OR('Price History'!D49="",'Price History'!D48="",'Price History'!D48=0),"",'Price History'!D49/'Price History'!D48-1)</f>
        <v>-1.3380281690140716E-2</v>
      </c>
      <c r="E48" s="63">
        <f>IF(OR('Price History'!E49="",'Price History'!E48="",'Price History'!E48=0),"",'Price History'!E49/'Price History'!E48-1)</f>
        <v>-3.2014952369468275E-2</v>
      </c>
      <c r="F48" s="63">
        <f>IF(OR('Price History'!F49="",'Price History'!F48="",'Price History'!F48=0),"",'Price History'!F49/'Price History'!F48-1)</f>
        <v>6.7255149222362753E-3</v>
      </c>
      <c r="G48" s="63">
        <f>IF(OR('Price History'!G49="",'Price History'!G48="",'Price History'!G48=0),"",'Price History'!G49/'Price History'!G48-1)</f>
        <v>9.6742591231937514E-3</v>
      </c>
      <c r="H48" s="63">
        <f>IF(OR('Price History'!H49="",'Price History'!H48="",'Price History'!H48=0),"",'Price History'!H49/'Price History'!H48-1)</f>
        <v>-5.7402895227174899E-2</v>
      </c>
      <c r="I48" s="63">
        <f>IF(OR('Price History'!I49="",'Price History'!I48="",'Price History'!I48=0),"",'Price History'!I49/'Price History'!I48-1)</f>
        <v>-2.3939322114244987E-2</v>
      </c>
      <c r="J48" s="63">
        <f>IF(OR('Price History'!J49="",'Price History'!J48="",'Price History'!J48=0),"",'Price History'!J49/'Price History'!J48-1)</f>
        <v>2.6599634369286917E-2</v>
      </c>
      <c r="K48" s="63">
        <f>IF(OR('Price History'!K49="",'Price History'!K48="",'Price History'!K48=0),"",'Price History'!K49/'Price History'!K48-1)</f>
        <v>6.25E-2</v>
      </c>
      <c r="L48" s="63">
        <f>IF(OR('Price History'!L49="",'Price History'!L48="",'Price History'!L48=0),"",'Price History'!L49/'Price History'!L48-1)</f>
        <v>-8.6226718785931133E-4</v>
      </c>
      <c r="M48" s="63">
        <f>IF(OR('Price History'!M49="",'Price History'!M48="",'Price History'!M48=0),"",'Price History'!M49/'Price History'!M48-1)</f>
        <v>-4.4692120944603952E-2</v>
      </c>
      <c r="N48" s="63">
        <f>IF(OR('Price History'!N49="",'Price History'!N48="",'Price History'!N48=0),"",'Price History'!N49/'Price History'!N48-1)</f>
        <v>2.1335153933321749E-5</v>
      </c>
      <c r="O48" s="63" t="str">
        <f>IF(OR('Price History'!O49="",'Price History'!O48="",'Price History'!O48=0),"",'Price History'!O49/'Price History'!O48-1)</f>
        <v/>
      </c>
      <c r="P48" s="63" t="str">
        <f>IF(OR('Price History'!P49="",'Price History'!P48="",'Price History'!P48=0),"",'Price History'!P49/'Price History'!P48-1)</f>
        <v/>
      </c>
      <c r="Q48" s="63" t="str">
        <f>IF(OR('Price History'!Q49="",'Price History'!Q48="",'Price History'!Q48=0),"",'Price History'!Q49/'Price History'!Q48-1)</f>
        <v/>
      </c>
    </row>
    <row r="49" spans="1:17" ht="15" customHeight="1" x14ac:dyDescent="0.2">
      <c r="A49" s="49">
        <f>'Price History'!A50</f>
        <v>45478</v>
      </c>
      <c r="B49" s="63">
        <f>IF(OR('Price History'!B50="",'Price History'!B49="",'Price History'!B49=0),"",'Price History'!B50/'Price History'!B49-1)</f>
        <v>4.1041149152176493E-2</v>
      </c>
      <c r="C49" s="63">
        <f>IF(OR('Price History'!C50="",'Price History'!C49="",'Price History'!C49=0),"",'Price History'!C50/'Price History'!C49-1)</f>
        <v>4.4738644145172257E-2</v>
      </c>
      <c r="D49" s="63">
        <f>IF(OR('Price History'!D50="",'Price History'!D49="",'Price History'!D49=0),"",'Price History'!D50/'Price History'!D49-1)</f>
        <v>5.0599865067026517E-2</v>
      </c>
      <c r="E49" s="63">
        <f>IF(OR('Price History'!E50="",'Price History'!E49="",'Price History'!E49=0),"",'Price History'!E50/'Price History'!E49-1)</f>
        <v>6.0915602616007369E-2</v>
      </c>
      <c r="F49" s="63">
        <f>IF(OR('Price History'!F50="",'Price History'!F49="",'Price History'!F49=0),"",'Price History'!F50/'Price History'!F49-1)</f>
        <v>1.6910229645094033E-2</v>
      </c>
      <c r="G49" s="63">
        <f>IF(OR('Price History'!G50="",'Price History'!G49="",'Price History'!G49=0),"",'Price History'!G50/'Price History'!G49-1)</f>
        <v>3.7234687689508661E-2</v>
      </c>
      <c r="H49" s="63">
        <f>IF(OR('Price History'!H50="",'Price History'!H49="",'Price History'!H49=0),"",'Price History'!H50/'Price History'!H49-1)</f>
        <v>5.3219797764758603E-4</v>
      </c>
      <c r="I49" s="63">
        <f>IF(OR('Price History'!I50="",'Price History'!I49="",'Price History'!I49=0),"",'Price History'!I50/'Price History'!I49-1)</f>
        <v>1.8536506394689845E-2</v>
      </c>
      <c r="J49" s="63">
        <f>IF(OR('Price History'!J50="",'Price History'!J49="",'Price History'!J49=0),"",'Price History'!J50/'Price History'!J49-1)</f>
        <v>1.9143442258035659E-2</v>
      </c>
      <c r="K49" s="63">
        <f>IF(OR('Price History'!K50="",'Price History'!K49="",'Price History'!K49=0),"",'Price History'!K50/'Price History'!K49-1)</f>
        <v>7.500986971970014E-2</v>
      </c>
      <c r="L49" s="63">
        <f>IF(OR('Price History'!L50="",'Price History'!L49="",'Price History'!L49=0),"",'Price History'!L50/'Price History'!L49-1)</f>
        <v>5.856970254876015E-2</v>
      </c>
      <c r="M49" s="63">
        <f>IF(OR('Price History'!M50="",'Price History'!M49="",'Price History'!M49=0),"",'Price History'!M50/'Price History'!M49-1)</f>
        <v>6.0182511262562244E-2</v>
      </c>
      <c r="N49" s="63">
        <f>IF(OR('Price History'!N50="",'Price History'!N49="",'Price History'!N49=0),"",'Price History'!N50/'Price History'!N49-1)</f>
        <v>1.2480798771121293E-2</v>
      </c>
      <c r="O49" s="63" t="str">
        <f>IF(OR('Price History'!O50="",'Price History'!O49="",'Price History'!O49=0),"",'Price History'!O50/'Price History'!O49-1)</f>
        <v/>
      </c>
      <c r="P49" s="63" t="str">
        <f>IF(OR('Price History'!P50="",'Price History'!P49="",'Price History'!P49=0),"",'Price History'!P50/'Price History'!P49-1)</f>
        <v/>
      </c>
      <c r="Q49" s="63" t="str">
        <f>IF(OR('Price History'!Q50="",'Price History'!Q49="",'Price History'!Q49=0),"",'Price History'!Q50/'Price History'!Q49-1)</f>
        <v/>
      </c>
    </row>
    <row r="50" spans="1:17" ht="15" customHeight="1" x14ac:dyDescent="0.2">
      <c r="A50" s="49">
        <f>'Price History'!A51</f>
        <v>45485</v>
      </c>
      <c r="B50" s="63">
        <f>IF(OR('Price History'!B51="",'Price History'!B50="",'Price History'!B50=0),"",'Price History'!B51/'Price History'!B50-1)</f>
        <v>-3.3354082373690308E-2</v>
      </c>
      <c r="C50" s="63">
        <f>IF(OR('Price History'!C51="",'Price History'!C50="",'Price History'!C50=0),"",'Price History'!C51/'Price History'!C50-1)</f>
        <v>-1.1579637317019942E-2</v>
      </c>
      <c r="D50" s="63">
        <f>IF(OR('Price History'!D51="",'Price History'!D50="",'Price History'!D50=0),"",'Price History'!D51/'Price History'!D50-1)</f>
        <v>1.0032760032760102E-2</v>
      </c>
      <c r="E50" s="63">
        <f>IF(OR('Price History'!E51="",'Price History'!E50="",'Price History'!E50=0),"",'Price History'!E51/'Price History'!E50-1)</f>
        <v>-1.5264486584866122E-3</v>
      </c>
      <c r="F50" s="63">
        <f>IF(OR('Price History'!F51="",'Price History'!F50="",'Price History'!F50=0),"",'Price History'!F51/'Price History'!F50-1)</f>
        <v>-4.711558201601318E-2</v>
      </c>
      <c r="G50" s="63">
        <f>IF(OR('Price History'!G51="",'Price History'!G50="",'Price History'!G50=0),"",'Price History'!G51/'Price History'!G50-1)</f>
        <v>2.9232927970066491E-3</v>
      </c>
      <c r="H50" s="63">
        <f>IF(OR('Price History'!H51="",'Price History'!H50="",'Price History'!H50=0),"",'Price History'!H51/'Price History'!H50-1)</f>
        <v>1.4817629179331382E-2</v>
      </c>
      <c r="I50" s="63">
        <f>IF(OR('Price History'!I51="",'Price History'!I50="",'Price History'!I50=0),"",'Price History'!I51/'Price History'!I50-1)</f>
        <v>2.7100055630612907E-2</v>
      </c>
      <c r="J50" s="63">
        <f>IF(OR('Price History'!J51="",'Price History'!J50="",'Price History'!J50=0),"",'Price History'!J51/'Price History'!J50-1)</f>
        <v>4.9711689673248349E-2</v>
      </c>
      <c r="K50" s="63">
        <f>IF(OR('Price History'!K51="",'Price History'!K50="",'Price History'!K50=0),"",'Price History'!K51/'Price History'!K50-1)</f>
        <v>3.084832904884327E-2</v>
      </c>
      <c r="L50" s="63">
        <f>IF(OR('Price History'!L51="",'Price History'!L50="",'Price History'!L50=0),"",'Price History'!L51/'Price History'!L50-1)</f>
        <v>1.8261862057720402E-2</v>
      </c>
      <c r="M50" s="63">
        <f>IF(OR('Price History'!M51="",'Price History'!M50="",'Price History'!M50=0),"",'Price History'!M51/'Price History'!M50-1)</f>
        <v>-2.2989758117236914E-2</v>
      </c>
      <c r="N50" s="63">
        <f>IF(OR('Price History'!N51="",'Price History'!N50="",'Price History'!N50=0),"",'Price History'!N51/'Price History'!N50-1)</f>
        <v>2.9858608845902745E-2</v>
      </c>
      <c r="O50" s="63" t="str">
        <f>IF(OR('Price History'!O51="",'Price History'!O50="",'Price History'!O50=0),"",'Price History'!O51/'Price History'!O50-1)</f>
        <v/>
      </c>
      <c r="P50" s="63" t="str">
        <f>IF(OR('Price History'!P51="",'Price History'!P50="",'Price History'!P50=0),"",'Price History'!P51/'Price History'!P50-1)</f>
        <v/>
      </c>
      <c r="Q50" s="63" t="str">
        <f>IF(OR('Price History'!Q51="",'Price History'!Q50="",'Price History'!Q50=0),"",'Price History'!Q51/'Price History'!Q50-1)</f>
        <v/>
      </c>
    </row>
    <row r="51" spans="1:17" ht="15" customHeight="1" x14ac:dyDescent="0.2">
      <c r="A51" s="49">
        <f>'Price History'!A52</f>
        <v>45492</v>
      </c>
      <c r="B51" s="63">
        <f>IF(OR('Price History'!B52="",'Price History'!B51="",'Price History'!B51=0),"",'Price History'!B52/'Price History'!B51-1)</f>
        <v>-1.4399427600393477E-2</v>
      </c>
      <c r="C51" s="63">
        <f>IF(OR('Price History'!C52="",'Price History'!C51="",'Price History'!C51=0),"",'Price History'!C52/'Price History'!C51-1)</f>
        <v>-8.6648983200707352E-2</v>
      </c>
      <c r="D51" s="63">
        <f>IF(OR('Price History'!D52="",'Price History'!D51="",'Price History'!D51=0),"",'Price History'!D52/'Price History'!D51-1)</f>
        <v>-0.17497189613548825</v>
      </c>
      <c r="E51" s="63">
        <f>IF(OR('Price History'!E52="",'Price History'!E51="",'Price History'!E51=0),"",'Price History'!E52/'Price History'!E51-1)</f>
        <v>-7.4792732404304063E-2</v>
      </c>
      <c r="F51" s="63">
        <f>IF(OR('Price History'!F52="",'Price History'!F51="",'Price History'!F51=0),"",'Price History'!F52/'Price History'!F51-1)</f>
        <v>-0.17871377787353226</v>
      </c>
      <c r="G51" s="63">
        <f>IF(OR('Price History'!G52="",'Price History'!G51="",'Price History'!G51=0),"",'Price History'!G52/'Price History'!G51-1)</f>
        <v>-0.110877929345925</v>
      </c>
      <c r="H51" s="63">
        <f>IF(OR('Price History'!H52="",'Price History'!H51="",'Price History'!H51=0),"",'Price History'!H52/'Price History'!H51-1)</f>
        <v>-0.14444028453762636</v>
      </c>
      <c r="I51" s="63">
        <f>IF(OR('Price History'!I52="",'Price History'!I51="",'Price History'!I51=0),"",'Price History'!I52/'Price History'!I51-1)</f>
        <v>-8.75116063138347E-2</v>
      </c>
      <c r="J51" s="63">
        <f>IF(OR('Price History'!J52="",'Price History'!J51="",'Price History'!J51=0),"",'Price History'!J52/'Price History'!J51-1)</f>
        <v>2.9962546816479252E-2</v>
      </c>
      <c r="K51" s="63">
        <f>IF(OR('Price History'!K52="",'Price History'!K51="",'Price History'!K51=0),"",'Price History'!K52/'Price History'!K51-1)</f>
        <v>1.8168863555397152E-2</v>
      </c>
      <c r="L51" s="63">
        <f>IF(OR('Price History'!L52="",'Price History'!L51="",'Price History'!L51=0),"",'Price History'!L52/'Price History'!L51-1)</f>
        <v>-0.11518548171870824</v>
      </c>
      <c r="M51" s="63">
        <f>IF(OR('Price History'!M52="",'Price History'!M51="",'Price History'!M51=0),"",'Price History'!M52/'Price History'!M51-1)</f>
        <v>-4.8622727779636388E-2</v>
      </c>
      <c r="N51" s="63">
        <f>IF(OR('Price History'!N52="",'Price History'!N51="",'Price History'!N51=0),"",'Price History'!N52/'Price History'!N51-1)</f>
        <v>5.7903998035764292E-3</v>
      </c>
      <c r="O51" s="63" t="str">
        <f>IF(OR('Price History'!O52="",'Price History'!O51="",'Price History'!O51=0),"",'Price History'!O52/'Price History'!O51-1)</f>
        <v/>
      </c>
      <c r="P51" s="63" t="str">
        <f>IF(OR('Price History'!P52="",'Price History'!P51="",'Price History'!P51=0),"",'Price History'!P52/'Price History'!P51-1)</f>
        <v/>
      </c>
      <c r="Q51" s="63" t="str">
        <f>IF(OR('Price History'!Q52="",'Price History'!Q51="",'Price History'!Q51=0),"",'Price History'!Q52/'Price History'!Q51-1)</f>
        <v/>
      </c>
    </row>
    <row r="52" spans="1:17" ht="15" customHeight="1" x14ac:dyDescent="0.2">
      <c r="A52" s="49">
        <f>'Price History'!A53</f>
        <v>45499</v>
      </c>
      <c r="B52" s="63">
        <f>IF(OR('Price History'!B53="",'Price History'!B52="",'Price History'!B52=0),"",'Price History'!B53/'Price History'!B52-1)</f>
        <v>-1.55353901996369E-2</v>
      </c>
      <c r="C52" s="63">
        <f>IF(OR('Price History'!C53="",'Price History'!C52="",'Price History'!C52=0),"",'Price History'!C53/'Price History'!C52-1)</f>
        <v>-3.436592449177156E-2</v>
      </c>
      <c r="D52" s="63">
        <f>IF(OR('Price History'!D53="",'Price History'!D52="",'Price History'!D52=0),"",'Price History'!D53/'Price History'!D52-1)</f>
        <v>-7.7956598947921396E-3</v>
      </c>
      <c r="E52" s="63">
        <f>IF(OR('Price History'!E53="",'Price History'!E52="",'Price History'!E52=0),"",'Price History'!E53/'Price History'!E52-1)</f>
        <v>-3.6352081347314935E-2</v>
      </c>
      <c r="F52" s="63">
        <f>IF(OR('Price History'!F53="",'Price History'!F52="",'Price History'!F52=0),"",'Price History'!F53/'Price History'!F52-1)</f>
        <v>-0.16002098635886663</v>
      </c>
      <c r="G52" s="63">
        <f>IF(OR('Price History'!G53="",'Price History'!G52="",'Price History'!G52=0),"",'Price History'!G53/'Price History'!G52-1)</f>
        <v>3.2520325203251987E-2</v>
      </c>
      <c r="H52" s="63">
        <f>IF(OR('Price History'!H53="",'Price History'!H52="",'Price History'!H52=0),"",'Price History'!H53/'Price History'!H52-1)</f>
        <v>-4.2447050586381985E-2</v>
      </c>
      <c r="I52" s="63">
        <f>IF(OR('Price History'!I53="",'Price History'!I52="",'Price History'!I52=0),"",'Price History'!I53/'Price History'!I52-1)</f>
        <v>-4.1295683880267942E-2</v>
      </c>
      <c r="J52" s="63">
        <f>IF(OR('Price History'!J53="",'Price History'!J52="",'Price History'!J52=0),"",'Price History'!J53/'Price History'!J52-1)</f>
        <v>-8.6464646464645689E-3</v>
      </c>
      <c r="K52" s="63">
        <f>IF(OR('Price History'!K53="",'Price History'!K52="",'Price History'!K52=0),"",'Price History'!K53/'Price History'!K52-1)</f>
        <v>-4.8985304408677321E-2</v>
      </c>
      <c r="L52" s="63">
        <f>IF(OR('Price History'!L53="",'Price History'!L52="",'Price History'!L52=0),"",'Price History'!L53/'Price History'!L52-1)</f>
        <v>-2.3104301140133954E-2</v>
      </c>
      <c r="M52" s="63">
        <f>IF(OR('Price History'!M53="",'Price History'!M52="",'Price History'!M52=0),"",'Price History'!M53/'Price History'!M52-1)</f>
        <v>-9.6002813269253306E-2</v>
      </c>
      <c r="N52" s="63">
        <f>IF(OR('Price History'!N53="",'Price History'!N52="",'Price History'!N52=0),"",'Price History'!N53/'Price History'!N52-1)</f>
        <v>7.5065606119169015E-3</v>
      </c>
      <c r="O52" s="63" t="str">
        <f>IF(OR('Price History'!O53="",'Price History'!O52="",'Price History'!O52=0),"",'Price History'!O53/'Price History'!O52-1)</f>
        <v/>
      </c>
      <c r="P52" s="63" t="str">
        <f>IF(OR('Price History'!P53="",'Price History'!P52="",'Price History'!P52=0),"",'Price History'!P53/'Price History'!P52-1)</f>
        <v/>
      </c>
      <c r="Q52" s="63" t="str">
        <f>IF(OR('Price History'!Q53="",'Price History'!Q52="",'Price History'!Q52=0),"",'Price History'!Q53/'Price History'!Q52-1)</f>
        <v/>
      </c>
    </row>
    <row r="53" spans="1:17" ht="15" customHeight="1" x14ac:dyDescent="0.2">
      <c r="A53" s="49">
        <f>'Price History'!A54</f>
        <v>45506</v>
      </c>
      <c r="B53" s="63">
        <f>IF(OR('Price History'!B54="",'Price History'!B53="",'Price History'!B53=0),"",'Price History'!B54/'Price History'!B53-1)</f>
        <v>-2.9994100730034834E-2</v>
      </c>
      <c r="C53" s="63">
        <f>IF(OR('Price History'!C54="",'Price History'!C53="",'Price History'!C53=0),"",'Price History'!C54/'Price History'!C53-1)</f>
        <v>3.7593984962414062E-4</v>
      </c>
      <c r="D53" s="63">
        <f>IF(OR('Price History'!D54="",'Price History'!D53="",'Price History'!D53=0),"",'Price History'!D54/'Price History'!D53-1)</f>
        <v>-8.8969934375668358E-2</v>
      </c>
      <c r="E53" s="63">
        <f>IF(OR('Price History'!E54="",'Price History'!E53="",'Price History'!E53=0),"",'Price History'!E54/'Price History'!E53-1)</f>
        <v>-5.1506957726043634E-2</v>
      </c>
      <c r="F53" s="63">
        <f>IF(OR('Price History'!F54="",'Price History'!F53="",'Price History'!F53=0),"",'Price History'!F54/'Price History'!F53-1)</f>
        <v>-0.14943785134291077</v>
      </c>
      <c r="G53" s="63">
        <f>IF(OR('Price History'!G54="",'Price History'!G53="",'Price History'!G53=0),"",'Price History'!G54/'Price History'!G53-1)</f>
        <v>-0.11582423164846323</v>
      </c>
      <c r="H53" s="63">
        <f>IF(OR('Price History'!H54="",'Price History'!H53="",'Price History'!H53=0),"",'Price History'!H54/'Price History'!H53-1)</f>
        <v>-0.15272826981080334</v>
      </c>
      <c r="I53" s="63">
        <f>IF(OR('Price History'!I54="",'Price History'!I53="",'Price History'!I53=0),"",'Price History'!I54/'Price History'!I53-1)</f>
        <v>-5.1211745975588197E-2</v>
      </c>
      <c r="J53" s="63">
        <f>IF(OR('Price History'!J54="",'Price History'!J53="",'Price History'!J53=0),"",'Price History'!J54/'Price History'!J53-1)</f>
        <v>1.0596674274535367E-2</v>
      </c>
      <c r="K53" s="63">
        <f>IF(OR('Price History'!K54="",'Price History'!K53="",'Price History'!K53=0),"",'Price History'!K54/'Price History'!K53-1)</f>
        <v>-8.9771891096394496E-2</v>
      </c>
      <c r="L53" s="63">
        <f>IF(OR('Price History'!L54="",'Price History'!L53="",'Price History'!L53=0),"",'Price History'!L54/'Price History'!L53-1)</f>
        <v>-7.4595529208348665E-2</v>
      </c>
      <c r="M53" s="63">
        <f>IF(OR('Price History'!M54="",'Price History'!M53="",'Price History'!M53=0),"",'Price History'!M54/'Price History'!M53-1)</f>
        <v>-9.9325726141078929E-2</v>
      </c>
      <c r="N53" s="63">
        <f>IF(OR('Price History'!N54="",'Price History'!N53="",'Price History'!N53=0),"",'Price History'!N54/'Price History'!N53-1)</f>
        <v>-1.6153131688406708E-3</v>
      </c>
      <c r="O53" s="63" t="str">
        <f>IF(OR('Price History'!O54="",'Price History'!O53="",'Price History'!O53=0),"",'Price History'!O54/'Price History'!O53-1)</f>
        <v/>
      </c>
      <c r="P53" s="63" t="str">
        <f>IF(OR('Price History'!P54="",'Price History'!P53="",'Price History'!P53=0),"",'Price History'!P54/'Price History'!P53-1)</f>
        <v/>
      </c>
      <c r="Q53" s="63" t="str">
        <f>IF(OR('Price History'!Q54="",'Price History'!Q53="",'Price History'!Q53=0),"",'Price History'!Q54/'Price History'!Q53-1)</f>
        <v/>
      </c>
    </row>
    <row r="54" spans="1:17" ht="15" customHeight="1" x14ac:dyDescent="0.2">
      <c r="A54" s="49">
        <f>'Price History'!A55</f>
        <v>45513</v>
      </c>
      <c r="B54" s="63">
        <f>IF(OR('Price History'!B55="",'Price History'!B54="",'Price History'!B54=0),"",'Price History'!B55/'Price History'!B54-1)</f>
        <v>1.9252332896212199E-2</v>
      </c>
      <c r="C54" s="63">
        <f>IF(OR('Price History'!C55="",'Price History'!C54="",'Price History'!C54=0),"",'Price History'!C55/'Price History'!C54-1)</f>
        <v>5.1609670549918718E-2</v>
      </c>
      <c r="D54" s="63">
        <f>IF(OR('Price History'!D55="",'Price History'!D54="",'Price History'!D54=0),"",'Price History'!D55/'Price History'!D54-1)</f>
        <v>6.3260641255328265E-2</v>
      </c>
      <c r="E54" s="63">
        <f>IF(OR('Price History'!E55="",'Price History'!E54="",'Price History'!E54=0),"",'Price History'!E55/'Price History'!E54-1)</f>
        <v>3.0871923237379972E-2</v>
      </c>
      <c r="F54" s="63">
        <f>IF(OR('Price History'!F55="",'Price History'!F54="",'Price History'!F54=0),"",'Price History'!F55/'Price History'!F54-1)</f>
        <v>0.1057462823572608</v>
      </c>
      <c r="G54" s="63">
        <f>IF(OR('Price History'!G55="",'Price History'!G54="",'Price History'!G54=0),"",'Price History'!G55/'Price History'!G54-1)</f>
        <v>7.2680264291870245E-2</v>
      </c>
      <c r="H54" s="63">
        <f>IF(OR('Price History'!H55="",'Price History'!H54="",'Price History'!H54=0),"",'Price History'!H55/'Price History'!H54-1)</f>
        <v>4.0992448759438194E-3</v>
      </c>
      <c r="I54" s="63">
        <f>IF(OR('Price History'!I55="",'Price History'!I54="",'Price History'!I54=0),"",'Price History'!I55/'Price History'!I54-1)</f>
        <v>-2.3492122681085026E-2</v>
      </c>
      <c r="J54" s="63">
        <f>IF(OR('Price History'!J55="",'Price History'!J54="",'Price History'!J54=0),"",'Price History'!J55/'Price History'!J54-1)</f>
        <v>-1.677689949991934E-2</v>
      </c>
      <c r="K54" s="63">
        <f>IF(OR('Price History'!K55="",'Price History'!K54="",'Price History'!K54=0),"",'Price History'!K55/'Price History'!K54-1)</f>
        <v>0.21301535974130981</v>
      </c>
      <c r="L54" s="63">
        <f>IF(OR('Price History'!L55="",'Price History'!L54="",'Price History'!L54=0),"",'Price History'!L55/'Price History'!L54-1)</f>
        <v>0.11517416255171486</v>
      </c>
      <c r="M54" s="63">
        <f>IF(OR('Price History'!M55="",'Price History'!M54="",'Price History'!M54=0),"",'Price History'!M55/'Price History'!M54-1)</f>
        <v>2.879355024474517E-2</v>
      </c>
      <c r="N54" s="63">
        <f>IF(OR('Price History'!N55="",'Price History'!N54="",'Price History'!N54=0),"",'Price History'!N55/'Price History'!N54-1)</f>
        <v>-5.2602839461230455E-2</v>
      </c>
      <c r="O54" s="63" t="str">
        <f>IF(OR('Price History'!O55="",'Price History'!O54="",'Price History'!O54=0),"",'Price History'!O55/'Price History'!O54-1)</f>
        <v/>
      </c>
      <c r="P54" s="63" t="str">
        <f>IF(OR('Price History'!P55="",'Price History'!P54="",'Price History'!P54=0),"",'Price History'!P55/'Price History'!P54-1)</f>
        <v/>
      </c>
      <c r="Q54" s="63" t="str">
        <f>IF(OR('Price History'!Q55="",'Price History'!Q54="",'Price History'!Q54=0),"",'Price History'!Q55/'Price History'!Q54-1)</f>
        <v/>
      </c>
    </row>
    <row r="55" spans="1:17" ht="15" customHeight="1" x14ac:dyDescent="0.2">
      <c r="A55" s="49">
        <f>'Price History'!A56</f>
        <v>45520</v>
      </c>
      <c r="B55" s="63">
        <f>IF(OR('Price History'!B56="",'Price History'!B55="",'Price History'!B55=0),"",'Price History'!B56/'Price History'!B55-1)</f>
        <v>3.1997016595189498E-2</v>
      </c>
      <c r="C55" s="63">
        <f>IF(OR('Price History'!C56="",'Price History'!C55="",'Price History'!C55=0),"",'Price History'!C56/'Price History'!C55-1)</f>
        <v>5.384157236450271E-2</v>
      </c>
      <c r="D55" s="63">
        <f>IF(OR('Price History'!D56="",'Price History'!D55="",'Price History'!D55=0),"",'Price History'!D56/'Price History'!D55-1)</f>
        <v>6.7526581837197064E-2</v>
      </c>
      <c r="E55" s="63">
        <f>IF(OR('Price History'!E56="",'Price History'!E55="",'Price History'!E55=0),"",'Price History'!E56/'Price History'!E55-1)</f>
        <v>0.11776608660461352</v>
      </c>
      <c r="F55" s="63">
        <f>IF(OR('Price History'!F56="",'Price History'!F55="",'Price History'!F55=0),"",'Price History'!F56/'Price History'!F55-1)</f>
        <v>8.9822347667275482E-2</v>
      </c>
      <c r="G55" s="63">
        <f>IF(OR('Price History'!G56="",'Price History'!G55="",'Price History'!G55=0),"",'Price History'!G56/'Price History'!G55-1)</f>
        <v>9.7482592394215084E-2</v>
      </c>
      <c r="H55" s="63">
        <f>IF(OR('Price History'!H56="",'Price History'!H55="",'Price History'!H55=0),"",'Price History'!H56/'Price History'!H55-1)</f>
        <v>0.16018478727975927</v>
      </c>
      <c r="I55" s="63">
        <f>IF(OR('Price History'!I56="",'Price History'!I55="",'Price History'!I55=0),"",'Price History'!I56/'Price History'!I55-1)</f>
        <v>0.18930787589498799</v>
      </c>
      <c r="J55" s="63">
        <f>IF(OR('Price History'!J56="",'Price History'!J55="",'Price History'!J55=0),"",'Price History'!J56/'Price History'!J55-1)</f>
        <v>7.7932731747332173E-3</v>
      </c>
      <c r="K55" s="63">
        <f>IF(OR('Price History'!K56="",'Price History'!K55="",'Price History'!K55=0),"",'Price History'!K56/'Price History'!K55-1)</f>
        <v>6.8977007664111856E-2</v>
      </c>
      <c r="L55" s="63">
        <f>IF(OR('Price History'!L56="",'Price History'!L55="",'Price History'!L55=0),"",'Price History'!L56/'Price History'!L55-1)</f>
        <v>4.4399234083293271E-2</v>
      </c>
      <c r="M55" s="63">
        <f>IF(OR('Price History'!M56="",'Price History'!M55="",'Price History'!M55=0),"",'Price History'!M56/'Price History'!M55-1)</f>
        <v>0.11139098796529545</v>
      </c>
      <c r="N55" s="63">
        <f>IF(OR('Price History'!N56="",'Price History'!N55="",'Price History'!N55=0),"",'Price History'!N56/'Price History'!N55-1)</f>
        <v>1.9041519906073168E-2</v>
      </c>
      <c r="O55" s="63" t="str">
        <f>IF(OR('Price History'!O56="",'Price History'!O55="",'Price History'!O55=0),"",'Price History'!O56/'Price History'!O55-1)</f>
        <v/>
      </c>
      <c r="P55" s="63" t="str">
        <f>IF(OR('Price History'!P56="",'Price History'!P55="",'Price History'!P55=0),"",'Price History'!P56/'Price History'!P55-1)</f>
        <v/>
      </c>
      <c r="Q55" s="63" t="str">
        <f>IF(OR('Price History'!Q56="",'Price History'!Q55="",'Price History'!Q55=0),"",'Price History'!Q56/'Price History'!Q55-1)</f>
        <v/>
      </c>
    </row>
    <row r="56" spans="1:17" ht="15" customHeight="1" x14ac:dyDescent="0.2">
      <c r="A56" s="49">
        <f>'Price History'!A57</f>
        <v>45527</v>
      </c>
      <c r="B56" s="63">
        <f>IF(OR('Price History'!B57="",'Price History'!B56="",'Price History'!B56=0),"",'Price History'!B57/'Price History'!B56-1)</f>
        <v>8.7449860875219443E-3</v>
      </c>
      <c r="C56" s="63">
        <f>IF(OR('Price History'!C57="",'Price History'!C56="",'Price History'!C56=0),"",'Price History'!C57/'Price History'!C56-1)</f>
        <v>3.5040126596586063E-3</v>
      </c>
      <c r="D56" s="63">
        <f>IF(OR('Price History'!D57="",'Price History'!D56="",'Price History'!D56=0),"",'Price History'!D57/'Price History'!D56-1)</f>
        <v>-1.2409378877930921E-2</v>
      </c>
      <c r="E56" s="63">
        <f>IF(OR('Price History'!E57="",'Price History'!E56="",'Price History'!E56=0),"",'Price History'!E57/'Price History'!E56-1)</f>
        <v>3.8619357953175726E-3</v>
      </c>
      <c r="F56" s="63">
        <f>IF(OR('Price History'!F57="",'Price History'!F56="",'Price History'!F56=0),"",'Price History'!F57/'Price History'!F56-1)</f>
        <v>3.427787934186477E-2</v>
      </c>
      <c r="G56" s="63">
        <f>IF(OR('Price History'!G57="",'Price History'!G56="",'Price History'!G56=0),"",'Price History'!G57/'Price History'!G56-1)</f>
        <v>-2.1961932650071958E-3</v>
      </c>
      <c r="H56" s="63">
        <f>IF(OR('Price History'!H57="",'Price History'!H56="",'Price History'!H56=0),"",'Price History'!H57/'Price History'!H56-1)</f>
        <v>-4.7596999722196554E-2</v>
      </c>
      <c r="I56" s="63">
        <f>IF(OR('Price History'!I57="",'Price History'!I56="",'Price History'!I56=0),"",'Price History'!I57/'Price History'!I56-1)</f>
        <v>3.8449189275967299E-2</v>
      </c>
      <c r="J56" s="63">
        <f>IF(OR('Price History'!J57="",'Price History'!J56="",'Price History'!J56=0),"",'Price History'!J57/'Price History'!J56-1)</f>
        <v>4.8921448921449118E-2</v>
      </c>
      <c r="K56" s="63">
        <f>IF(OR('Price History'!K57="",'Price History'!K56="",'Price History'!K56=0),"",'Price History'!K57/'Price History'!K56-1)</f>
        <v>-9.3516209476308676E-3</v>
      </c>
      <c r="L56" s="63">
        <f>IF(OR('Price History'!L57="",'Price History'!L56="",'Price History'!L56=0),"",'Price History'!L57/'Price History'!L56-1)</f>
        <v>-1.867766701042739E-2</v>
      </c>
      <c r="M56" s="63">
        <f>IF(OR('Price History'!M57="",'Price History'!M56="",'Price History'!M56=0),"",'Price History'!M57/'Price History'!M56-1)</f>
        <v>-1.0954419541677196E-2</v>
      </c>
      <c r="N56" s="63">
        <f>IF(OR('Price History'!N57="",'Price History'!N56="",'Price History'!N56=0),"",'Price History'!N57/'Price History'!N56-1)</f>
        <v>8.1069191612375135E-3</v>
      </c>
      <c r="O56" s="63" t="str">
        <f>IF(OR('Price History'!O57="",'Price History'!O56="",'Price History'!O56=0),"",'Price History'!O57/'Price History'!O56-1)</f>
        <v/>
      </c>
      <c r="P56" s="63" t="str">
        <f>IF(OR('Price History'!P57="",'Price History'!P56="",'Price History'!P56=0),"",'Price History'!P57/'Price History'!P56-1)</f>
        <v/>
      </c>
      <c r="Q56" s="63" t="str">
        <f>IF(OR('Price History'!Q57="",'Price History'!Q56="",'Price History'!Q56=0),"",'Price History'!Q57/'Price History'!Q56-1)</f>
        <v/>
      </c>
    </row>
    <row r="57" spans="1:17" ht="15" customHeight="1" x14ac:dyDescent="0.2">
      <c r="A57" s="49">
        <f>'Price History'!A58</f>
        <v>45534</v>
      </c>
      <c r="B57" s="63">
        <f>IF(OR('Price History'!B58="",'Price History'!B57="",'Price History'!B57=0),"",'Price History'!B58/'Price History'!B57-1)</f>
        <v>2.8855454056958552E-2</v>
      </c>
      <c r="C57" s="63">
        <f>IF(OR('Price History'!C58="",'Price History'!C57="",'Price History'!C57=0),"",'Price History'!C58/'Price History'!C57-1)</f>
        <v>-4.8434332056770391E-3</v>
      </c>
      <c r="D57" s="63">
        <f>IF(OR('Price History'!D58="",'Price History'!D57="",'Price History'!D57=0),"",'Price History'!D58/'Price History'!D57-1)</f>
        <v>-3.736525362079246E-3</v>
      </c>
      <c r="E57" s="63">
        <f>IF(OR('Price History'!E58="",'Price History'!E57="",'Price History'!E57=0),"",'Price History'!E58/'Price History'!E57-1)</f>
        <v>-2.1279153642702719E-2</v>
      </c>
      <c r="F57" s="63">
        <f>IF(OR('Price History'!F58="",'Price History'!F57="",'Price History'!F57=0),"",'Price History'!F58/'Price History'!F57-1)</f>
        <v>2.1063485049344521E-2</v>
      </c>
      <c r="G57" s="63">
        <f>IF(OR('Price History'!G58="",'Price History'!G57="",'Price History'!G57=0),"",'Price History'!G58/'Price History'!G57-1)</f>
        <v>1.9564685742234911E-3</v>
      </c>
      <c r="H57" s="63">
        <f>IF(OR('Price History'!H58="",'Price History'!H57="",'Price History'!H57=0),"",'Price History'!H58/'Price History'!H57-1)</f>
        <v>-6.4268351968886694E-2</v>
      </c>
      <c r="I57" s="63">
        <f>IF(OR('Price History'!I58="",'Price History'!I57="",'Price History'!I57=0),"",'Price History'!I58/'Price History'!I57-1)</f>
        <v>-7.7297673340032458E-2</v>
      </c>
      <c r="J57" s="63">
        <f>IF(OR('Price History'!J58="",'Price History'!J57="",'Price History'!J57=0),"",'Price History'!J58/'Price History'!J57-1)</f>
        <v>-8.0707744839362272E-3</v>
      </c>
      <c r="K57" s="63">
        <f>IF(OR('Price History'!K58="",'Price History'!K57="",'Price History'!K57=0),"",'Price History'!K58/'Price History'!K57-1)</f>
        <v>-9.4398993077406956E-3</v>
      </c>
      <c r="L57" s="63">
        <f>IF(OR('Price History'!L58="",'Price History'!L57="",'Price History'!L57=0),"",'Price History'!L58/'Price History'!L57-1)</f>
        <v>2.4521251751516981E-3</v>
      </c>
      <c r="M57" s="63">
        <f>IF(OR('Price History'!M58="",'Price History'!M57="",'Price History'!M57=0),"",'Price History'!M58/'Price History'!M57-1)</f>
        <v>5.7033736473583785E-2</v>
      </c>
      <c r="N57" s="63">
        <f>IF(OR('Price History'!N58="",'Price History'!N57="",'Price History'!N57=0),"",'Price History'!N58/'Price History'!N57-1)</f>
        <v>3.0442191006566421E-2</v>
      </c>
      <c r="O57" s="63" t="str">
        <f>IF(OR('Price History'!O58="",'Price History'!O57="",'Price History'!O57=0),"",'Price History'!O58/'Price History'!O57-1)</f>
        <v/>
      </c>
      <c r="P57" s="63" t="str">
        <f>IF(OR('Price History'!P58="",'Price History'!P57="",'Price History'!P57=0),"",'Price History'!P58/'Price History'!P57-1)</f>
        <v/>
      </c>
      <c r="Q57" s="63" t="str">
        <f>IF(OR('Price History'!Q58="",'Price History'!Q57="",'Price History'!Q57=0),"",'Price History'!Q58/'Price History'!Q57-1)</f>
        <v/>
      </c>
    </row>
    <row r="58" spans="1:17" ht="15" customHeight="1" x14ac:dyDescent="0.2">
      <c r="A58" s="49">
        <f>'Price History'!A59</f>
        <v>45541</v>
      </c>
      <c r="B58" s="63">
        <f>IF(OR('Price History'!B59="",'Price History'!B58="",'Price History'!B58=0),"",'Price History'!B59/'Price History'!B58-1)</f>
        <v>-1.9150084434463199E-2</v>
      </c>
      <c r="C58" s="63">
        <f>IF(OR('Price History'!C59="",'Price History'!C58="",'Price History'!C58=0),"",'Price History'!C59/'Price History'!C58-1)</f>
        <v>-0.11058290888511602</v>
      </c>
      <c r="D58" s="63">
        <f>IF(OR('Price History'!D59="",'Price History'!D58="",'Price History'!D58=0),"",'Price History'!D59/'Price History'!D58-1)</f>
        <v>-0.16714793056523625</v>
      </c>
      <c r="E58" s="63">
        <f>IF(OR('Price History'!E59="",'Price History'!E58="",'Price History'!E58=0),"",'Price History'!E59/'Price History'!E58-1)</f>
        <v>-0.1585800270237071</v>
      </c>
      <c r="F58" s="63">
        <f>IF(OR('Price History'!F59="",'Price History'!F58="",'Price History'!F58=0),"",'Price History'!F59/'Price History'!F58-1)</f>
        <v>-0.11136757068667036</v>
      </c>
      <c r="G58" s="63">
        <f>IF(OR('Price History'!G59="",'Price History'!G58="",'Price History'!G58=0),"",'Price History'!G59/'Price History'!G58-1)</f>
        <v>-0.14229924334879174</v>
      </c>
      <c r="H58" s="63">
        <f>IF(OR('Price History'!H59="",'Price History'!H58="",'Price History'!H58=0),"",'Price History'!H59/'Price History'!H58-1)</f>
        <v>-0.10245220282626766</v>
      </c>
      <c r="I58" s="63">
        <f>IF(OR('Price History'!I59="",'Price History'!I58="",'Price History'!I58=0),"",'Price History'!I59/'Price History'!I58-1)</f>
        <v>-0.13856077741476092</v>
      </c>
      <c r="J58" s="63">
        <f>IF(OR('Price History'!J59="",'Price History'!J58="",'Price History'!J58=0),"",'Price History'!J59/'Price History'!J58-1)</f>
        <v>-4.6158660616490987E-3</v>
      </c>
      <c r="K58" s="63">
        <f>IF(OR('Price History'!K59="",'Price History'!K58="",'Price History'!K58=0),"",'Price History'!K59/'Price History'!K58-1)</f>
        <v>-3.6531130876747198E-2</v>
      </c>
      <c r="L58" s="63">
        <f>IF(OR('Price History'!L59="",'Price History'!L58="",'Price History'!L58=0),"",'Price History'!L59/'Price History'!L58-1)</f>
        <v>-8.6662783925451348E-2</v>
      </c>
      <c r="M58" s="63">
        <f>IF(OR('Price History'!M59="",'Price History'!M58="",'Price History'!M58=0),"",'Price History'!M59/'Price History'!M58-1)</f>
        <v>-0.13561363362640011</v>
      </c>
      <c r="N58" s="63">
        <f>IF(OR('Price History'!N59="",'Price History'!N58="",'Price History'!N58=0),"",'Price History'!N59/'Price History'!N58-1)</f>
        <v>-5.624231180302075E-2</v>
      </c>
      <c r="O58" s="63" t="str">
        <f>IF(OR('Price History'!O59="",'Price History'!O58="",'Price History'!O58=0),"",'Price History'!O59/'Price History'!O58-1)</f>
        <v/>
      </c>
      <c r="P58" s="63" t="str">
        <f>IF(OR('Price History'!P59="",'Price History'!P58="",'Price History'!P58=0),"",'Price History'!P59/'Price History'!P58-1)</f>
        <v/>
      </c>
      <c r="Q58" s="63" t="str">
        <f>IF(OR('Price History'!Q59="",'Price History'!Q58="",'Price History'!Q58=0),"",'Price History'!Q59/'Price History'!Q58-1)</f>
        <v/>
      </c>
    </row>
    <row r="59" spans="1:17" ht="15" customHeight="1" x14ac:dyDescent="0.2">
      <c r="A59" s="49">
        <f>'Price History'!A60</f>
        <v>45548</v>
      </c>
      <c r="B59" s="63">
        <f>IF(OR('Price History'!B60="",'Price History'!B59="",'Price History'!B59=0),"",'Price History'!B60/'Price History'!B59-1)</f>
        <v>-4.7106015157700409E-2</v>
      </c>
      <c r="C59" s="63">
        <f>IF(OR('Price History'!C60="",'Price History'!C59="",'Price History'!C59=0),"",'Price History'!C60/'Price History'!C59-1)</f>
        <v>0.1445660473402901</v>
      </c>
      <c r="D59" s="63">
        <f>IF(OR('Price History'!D60="",'Price History'!D59="",'Price History'!D59=0),"",'Price History'!D60/'Price History'!D59-1)</f>
        <v>8.4445861395608501E-2</v>
      </c>
      <c r="E59" s="63">
        <f>IF(OR('Price History'!E60="",'Price History'!E59="",'Price History'!E59=0),"",'Price History'!E60/'Price History'!E59-1)</f>
        <v>0.22401459854014605</v>
      </c>
      <c r="F59" s="63">
        <f>IF(OR('Price History'!F60="",'Price History'!F59="",'Price History'!F59=0),"",'Price History'!F60/'Price History'!F59-1)</f>
        <v>5.1623376623376682E-2</v>
      </c>
      <c r="G59" s="63">
        <f>IF(OR('Price History'!G60="",'Price History'!G59="",'Price History'!G59=0),"",'Price History'!G60/'Price History'!G59-1)</f>
        <v>6.9294251565167997E-2</v>
      </c>
      <c r="H59" s="63">
        <f>IF(OR('Price History'!H60="",'Price History'!H59="",'Price History'!H59=0),"",'Price History'!H60/'Price History'!H59-1)</f>
        <v>5.6031488770548865E-2</v>
      </c>
      <c r="I59" s="63">
        <f>IF(OR('Price History'!I60="",'Price History'!I59="",'Price History'!I59=0),"",'Price History'!I60/'Price History'!I59-1)</f>
        <v>0.15822230866478648</v>
      </c>
      <c r="J59" s="63">
        <f>IF(OR('Price History'!J60="",'Price History'!J59="",'Price History'!J59=0),"",'Price History'!J60/'Price History'!J59-1)</f>
        <v>2.1614399119704419E-2</v>
      </c>
      <c r="K59" s="63">
        <f>IF(OR('Price History'!K60="",'Price History'!K59="",'Price History'!K59=0),"",'Price History'!K60/'Price History'!K59-1)</f>
        <v>0.17342565117045838</v>
      </c>
      <c r="L59" s="63">
        <f>IF(OR('Price History'!L60="",'Price History'!L59="",'Price History'!L59=0),"",'Price History'!L60/'Price History'!L59-1)</f>
        <v>9.9987246524678053E-2</v>
      </c>
      <c r="M59" s="63">
        <f>IF(OR('Price History'!M60="",'Price History'!M59="",'Price History'!M59=0),"",'Price History'!M60/'Price History'!M59-1)</f>
        <v>0.19492824299846756</v>
      </c>
      <c r="N59" s="63">
        <f>IF(OR('Price History'!N60="",'Price History'!N59="",'Price History'!N59=0),"",'Price History'!N60/'Price History'!N59-1)</f>
        <v>3.7115384615384661E-2</v>
      </c>
      <c r="O59" s="63" t="str">
        <f>IF(OR('Price History'!O60="",'Price History'!O59="",'Price History'!O59=0),"",'Price History'!O60/'Price History'!O59-1)</f>
        <v/>
      </c>
      <c r="P59" s="63" t="str">
        <f>IF(OR('Price History'!P60="",'Price History'!P59="",'Price History'!P59=0),"",'Price History'!P60/'Price History'!P59-1)</f>
        <v/>
      </c>
      <c r="Q59" s="63" t="str">
        <f>IF(OR('Price History'!Q60="",'Price History'!Q59="",'Price History'!Q59=0),"",'Price History'!Q60/'Price History'!Q59-1)</f>
        <v/>
      </c>
    </row>
    <row r="60" spans="1:17" ht="15" customHeight="1" x14ac:dyDescent="0.2">
      <c r="A60" s="49">
        <f>'Price History'!A61</f>
        <v>45555</v>
      </c>
      <c r="B60" s="63">
        <f>IF(OR('Price History'!B61="",'Price History'!B60="",'Price History'!B60=0),"",'Price History'!B61/'Price History'!B60-1)</f>
        <v>-2.7138785925829412E-2</v>
      </c>
      <c r="C60" s="63">
        <f>IF(OR('Price History'!C61="",'Price History'!C60="",'Price History'!C60=0),"",'Price History'!C61/'Price History'!C60-1)</f>
        <v>6.8712474983322336E-2</v>
      </c>
      <c r="D60" s="63">
        <f>IF(OR('Price History'!D61="",'Price History'!D60="",'Price History'!D60=0),"",'Price History'!D61/'Price History'!D60-1)</f>
        <v>-2.5821941300406714E-2</v>
      </c>
      <c r="E60" s="63">
        <f>IF(OR('Price History'!E61="",'Price History'!E60="",'Price History'!E60=0),"",'Price History'!E61/'Price History'!E60-1)</f>
        <v>2.0335142226727942E-2</v>
      </c>
      <c r="F60" s="63">
        <f>IF(OR('Price History'!F61="",'Price History'!F60="",'Price History'!F60=0),"",'Price History'!F61/'Price History'!F60-1)</f>
        <v>0.15714726767520837</v>
      </c>
      <c r="G60" s="63">
        <f>IF(OR('Price History'!G61="",'Price History'!G60="",'Price History'!G60=0),"",'Price History'!G61/'Price History'!G60-1)</f>
        <v>9.8469727212242564E-3</v>
      </c>
      <c r="H60" s="63">
        <f>IF(OR('Price History'!H61="",'Price History'!H60="",'Price History'!H60=0),"",'Price History'!H61/'Price History'!H60-1)</f>
        <v>-3.5080026310019274E-3</v>
      </c>
      <c r="I60" s="63">
        <f>IF(OR('Price History'!I61="",'Price History'!I60="",'Price History'!I60=0),"",'Price History'!I61/'Price History'!I60-1)</f>
        <v>-2.6028547439126748E-2</v>
      </c>
      <c r="J60" s="63">
        <f>IF(OR('Price History'!J61="",'Price History'!J60="",'Price History'!J60=0),"",'Price History'!J61/'Price History'!J60-1)</f>
        <v>-3.4697645791660237E-2</v>
      </c>
      <c r="K60" s="63">
        <f>IF(OR('Price History'!K61="",'Price History'!K60="",'Price History'!K60=0),"",'Price History'!K61/'Price History'!K60-1)</f>
        <v>4.5237426243326828E-2</v>
      </c>
      <c r="L60" s="63">
        <f>IF(OR('Price History'!L61="",'Price History'!L60="",'Price History'!L60=0),"",'Price History'!L61/'Price History'!L60-1)</f>
        <v>9.1594202898550581E-3</v>
      </c>
      <c r="M60" s="63">
        <f>IF(OR('Price History'!M61="",'Price History'!M60="",'Price History'!M60=0),"",'Price History'!M61/'Price History'!M60-1)</f>
        <v>0.10237873134328357</v>
      </c>
      <c r="N60" s="63">
        <f>IF(OR('Price History'!N61="",'Price History'!N60="",'Price History'!N60=0),"",'Price History'!N61/'Price History'!N60-1)</f>
        <v>-4.2132805900653048E-2</v>
      </c>
      <c r="O60" s="63" t="str">
        <f>IF(OR('Price History'!O61="",'Price History'!O60="",'Price History'!O60=0),"",'Price History'!O61/'Price History'!O60-1)</f>
        <v/>
      </c>
      <c r="P60" s="63" t="str">
        <f>IF(OR('Price History'!P61="",'Price History'!P60="",'Price History'!P60=0),"",'Price History'!P61/'Price History'!P60-1)</f>
        <v/>
      </c>
      <c r="Q60" s="63" t="str">
        <f>IF(OR('Price History'!Q61="",'Price History'!Q60="",'Price History'!Q60=0),"",'Price History'!Q61/'Price History'!Q60-1)</f>
        <v/>
      </c>
    </row>
    <row r="61" spans="1:17" ht="15" customHeight="1" x14ac:dyDescent="0.2">
      <c r="A61" s="49">
        <f>'Price History'!A62</f>
        <v>45562</v>
      </c>
      <c r="B61" s="63">
        <f>IF(OR('Price History'!B62="",'Price History'!B61="",'Price History'!B61=0),"",'Price History'!B62/'Price History'!B61-1)</f>
        <v>-1.305762971472324E-2</v>
      </c>
      <c r="C61" s="63">
        <f>IF(OR('Price History'!C62="",'Price History'!C61="",'Price History'!C61=0),"",'Price History'!C62/'Price History'!C61-1)</f>
        <v>-1.0923845193508197E-2</v>
      </c>
      <c r="D61" s="63">
        <f>IF(OR('Price History'!D62="",'Price History'!D61="",'Price History'!D61=0),"",'Price History'!D62/'Price History'!D61-1)</f>
        <v>5.8168192334775215E-2</v>
      </c>
      <c r="E61" s="63">
        <f>IF(OR('Price History'!E62="",'Price History'!E61="",'Price History'!E61=0),"",'Price History'!E62/'Price History'!E61-1)</f>
        <v>9.292811221507824E-3</v>
      </c>
      <c r="F61" s="63">
        <f>IF(OR('Price History'!F62="",'Price History'!F61="",'Price History'!F61=0),"",'Price History'!F62/'Price History'!F61-1)</f>
        <v>-4.6558164354322251E-2</v>
      </c>
      <c r="G61" s="63">
        <f>IF(OR('Price History'!G62="",'Price History'!G61="",'Price History'!G61=0),"",'Price History'!G62/'Price History'!G61-1)</f>
        <v>3.0965871656344568E-2</v>
      </c>
      <c r="H61" s="63">
        <f>IF(OR('Price History'!H62="",'Price History'!H61="",'Price History'!H61=0),"",'Price History'!H62/'Price History'!H61-1)</f>
        <v>0.18261826182618246</v>
      </c>
      <c r="I61" s="63">
        <f>IF(OR('Price History'!I62="",'Price History'!I61="",'Price History'!I61=0),"",'Price History'!I62/'Price History'!I61-1)</f>
        <v>4.6551724137931183E-2</v>
      </c>
      <c r="J61" s="63">
        <f>IF(OR('Price History'!J62="",'Price History'!J61="",'Price History'!J61=0),"",'Price History'!J62/'Price History'!J61-1)</f>
        <v>9.5640392125617701E-4</v>
      </c>
      <c r="K61" s="63">
        <f>IF(OR('Price History'!K62="",'Price History'!K61="",'Price History'!K61=0),"",'Price History'!K62/'Price History'!K61-1)</f>
        <v>-9.6774193548386789E-3</v>
      </c>
      <c r="L61" s="63">
        <f>IF(OR('Price History'!L62="",'Price History'!L61="",'Price History'!L61=0),"",'Price History'!L62/'Price History'!L61-1)</f>
        <v>2.234604779411753E-2</v>
      </c>
      <c r="M61" s="63">
        <f>IF(OR('Price History'!M62="",'Price History'!M61="",'Price History'!M61=0),"",'Price History'!M62/'Price History'!M61-1)</f>
        <v>4.0935053945419853E-2</v>
      </c>
      <c r="N61" s="63">
        <f>IF(OR('Price History'!N62="",'Price History'!N61="",'Price History'!N61=0),"",'Price History'!N62/'Price History'!N61-1)</f>
        <v>-4.3878516734062734E-3</v>
      </c>
      <c r="O61" s="63" t="str">
        <f>IF(OR('Price History'!O62="",'Price History'!O61="",'Price History'!O61=0),"",'Price History'!O62/'Price History'!O61-1)</f>
        <v/>
      </c>
      <c r="P61" s="63" t="str">
        <f>IF(OR('Price History'!P62="",'Price History'!P61="",'Price History'!P61=0),"",'Price History'!P62/'Price History'!P61-1)</f>
        <v/>
      </c>
      <c r="Q61" s="63" t="str">
        <f>IF(OR('Price History'!Q62="",'Price History'!Q61="",'Price History'!Q61=0),"",'Price History'!Q62/'Price History'!Q61-1)</f>
        <v/>
      </c>
    </row>
    <row r="62" spans="1:17" ht="15" customHeight="1" x14ac:dyDescent="0.2">
      <c r="A62" s="49">
        <f>'Price History'!A63</f>
        <v>45569</v>
      </c>
      <c r="B62" s="63">
        <f>IF(OR('Price History'!B63="",'Price History'!B62="",'Price History'!B62=0),"",'Price History'!B63/'Price History'!B62-1)</f>
        <v>-1.6023900054318307E-2</v>
      </c>
      <c r="C62" s="63">
        <f>IF(OR('Price History'!C63="",'Price History'!C62="",'Price History'!C62=0),"",'Price History'!C63/'Price History'!C62-1)</f>
        <v>4.1232775849374237E-2</v>
      </c>
      <c r="D62" s="63">
        <f>IF(OR('Price History'!D63="",'Price History'!D62="",'Price History'!D62=0),"",'Price History'!D63/'Price History'!D62-1)</f>
        <v>-1.0148061886541271E-2</v>
      </c>
      <c r="E62" s="63">
        <f>IF(OR('Price History'!E63="",'Price History'!E62="",'Price History'!E62=0),"",'Price History'!E63/'Price History'!E62-1)</f>
        <v>2.2873356882274543E-2</v>
      </c>
      <c r="F62" s="63">
        <f>IF(OR('Price History'!F63="",'Price History'!F62="",'Price History'!F62=0),"",'Price History'!F63/'Price History'!F62-1)</f>
        <v>2.224709668392344E-2</v>
      </c>
      <c r="G62" s="63">
        <f>IF(OR('Price History'!G63="",'Price History'!G62="",'Price History'!G62=0),"",'Price History'!G63/'Price History'!G62-1)</f>
        <v>6.3905930470347094E-3</v>
      </c>
      <c r="H62" s="63">
        <f>IF(OR('Price History'!H63="",'Price History'!H62="",'Price History'!H62=0),"",'Price History'!H63/'Price History'!H62-1)</f>
        <v>-4.8837209302325602E-2</v>
      </c>
      <c r="I62" s="63">
        <f>IF(OR('Price History'!I63="",'Price History'!I62="",'Price History'!I62=0),"",'Price History'!I63/'Price History'!I62-1)</f>
        <v>2.8995057660625934E-2</v>
      </c>
      <c r="J62" s="63">
        <f>IF(OR('Price History'!J63="",'Price History'!J62="",'Price History'!J62=0),"",'Price History'!J63/'Price History'!J62-1)</f>
        <v>-2.5240863126045121E-2</v>
      </c>
      <c r="K62" s="63">
        <f>IF(OR('Price History'!K63="",'Price History'!K62="",'Price History'!K62=0),"",'Price History'!K63/'Price History'!K62-1)</f>
        <v>8.6047774158523271E-2</v>
      </c>
      <c r="L62" s="63">
        <f>IF(OR('Price History'!L63="",'Price History'!L62="",'Price History'!L62=0),"",'Price History'!L63/'Price History'!L62-1)</f>
        <v>1.792436927572072E-2</v>
      </c>
      <c r="M62" s="63">
        <f>IF(OR('Price History'!M63="",'Price History'!M62="",'Price History'!M62=0),"",'Price History'!M63/'Price History'!M62-1)</f>
        <v>6.8997053145005705E-2</v>
      </c>
      <c r="N62" s="63">
        <f>IF(OR('Price History'!N63="",'Price History'!N62="",'Price History'!N62=0),"",'Price History'!N63/'Price History'!N62-1)</f>
        <v>-1.6354130660214294E-2</v>
      </c>
      <c r="O62" s="63" t="str">
        <f>IF(OR('Price History'!O63="",'Price History'!O62="",'Price History'!O62=0),"",'Price History'!O63/'Price History'!O62-1)</f>
        <v/>
      </c>
      <c r="P62" s="63" t="str">
        <f>IF(OR('Price History'!P63="",'Price History'!P62="",'Price History'!P62=0),"",'Price History'!P63/'Price History'!P62-1)</f>
        <v/>
      </c>
      <c r="Q62" s="63" t="str">
        <f>IF(OR('Price History'!Q63="",'Price History'!Q62="",'Price History'!Q62=0),"",'Price History'!Q63/'Price History'!Q62-1)</f>
        <v/>
      </c>
    </row>
    <row r="63" spans="1:17" ht="15" customHeight="1" x14ac:dyDescent="0.2">
      <c r="A63" s="49">
        <f>'Price History'!A64</f>
        <v>45576</v>
      </c>
      <c r="B63" s="63">
        <f>IF(OR('Price History'!B64="",'Price History'!B63="",'Price History'!B63=0),"",'Price History'!B64/'Price History'!B63-1)</f>
        <v>-2.3264066874334577E-2</v>
      </c>
      <c r="C63" s="63">
        <f>IF(OR('Price History'!C64="",'Price History'!C63="",'Price History'!C63=0),"",'Price History'!C64/'Price History'!C63-1)</f>
        <v>5.2934639862612487E-2</v>
      </c>
      <c r="D63" s="63">
        <f>IF(OR('Price History'!D64="",'Price History'!D63="",'Price History'!D63=0),"",'Price History'!D64/'Price History'!D63-1)</f>
        <v>9.2316926770708019E-3</v>
      </c>
      <c r="E63" s="63">
        <f>IF(OR('Price History'!E64="",'Price History'!E63="",'Price History'!E63=0),"",'Price History'!E64/'Price History'!E63-1)</f>
        <v>2.7400362318840576E-2</v>
      </c>
      <c r="F63" s="63">
        <f>IF(OR('Price History'!F64="",'Price History'!F63="",'Price History'!F63=0),"",'Price History'!F64/'Price History'!F63-1)</f>
        <v>9.5674787845606346E-2</v>
      </c>
      <c r="G63" s="63">
        <f>IF(OR('Price History'!G64="",'Price History'!G63="",'Price History'!G63=0),"",'Price History'!G64/'Price History'!G63-1)</f>
        <v>2.0701041402082954E-2</v>
      </c>
      <c r="H63" s="63">
        <f>IF(OR('Price History'!H64="",'Price History'!H63="",'Price History'!H63=0),"",'Price History'!H64/'Price History'!H63-1)</f>
        <v>4.5672371638141751E-2</v>
      </c>
      <c r="I63" s="63">
        <f>IF(OR('Price History'!I64="",'Price History'!I63="",'Price History'!I63=0),"",'Price History'!I64/'Price History'!I63-1)</f>
        <v>7.9090617995517309E-2</v>
      </c>
      <c r="J63" s="63">
        <f>IF(OR('Price History'!J64="",'Price History'!J63="",'Price History'!J63=0),"",'Price History'!J64/'Price History'!J63-1)</f>
        <v>-1.7807547786309441E-2</v>
      </c>
      <c r="K63" s="63">
        <f>IF(OR('Price History'!K64="",'Price History'!K63="",'Price History'!K63=0),"",'Price History'!K64/'Price History'!K63-1)</f>
        <v>8.7478130467383064E-2</v>
      </c>
      <c r="L63" s="63">
        <f>IF(OR('Price History'!L64="",'Price History'!L63="",'Price History'!L63=0),"",'Price History'!L64/'Price History'!L63-1)</f>
        <v>5.32678295429454E-2</v>
      </c>
      <c r="M63" s="63">
        <f>IF(OR('Price History'!M64="",'Price History'!M63="",'Price History'!M63=0),"",'Price History'!M64/'Price History'!M63-1)</f>
        <v>6.3117870722433356E-2</v>
      </c>
      <c r="N63" s="63">
        <f>IF(OR('Price History'!N64="",'Price History'!N63="",'Price History'!N63=0),"",'Price History'!N64/'Price History'!N63-1)</f>
        <v>5.7982473479607277E-2</v>
      </c>
      <c r="O63" s="63" t="str">
        <f>IF(OR('Price History'!O64="",'Price History'!O63="",'Price History'!O63=0),"",'Price History'!O64/'Price History'!O63-1)</f>
        <v/>
      </c>
      <c r="P63" s="63" t="str">
        <f>IF(OR('Price History'!P64="",'Price History'!P63="",'Price History'!P63=0),"",'Price History'!P64/'Price History'!P63-1)</f>
        <v/>
      </c>
      <c r="Q63" s="63" t="str">
        <f>IF(OR('Price History'!Q64="",'Price History'!Q63="",'Price History'!Q63=0),"",'Price History'!Q64/'Price History'!Q63-1)</f>
        <v/>
      </c>
    </row>
    <row r="64" spans="1:17" ht="15" customHeight="1" x14ac:dyDescent="0.2">
      <c r="A64" s="49">
        <f>'Price History'!A65</f>
        <v>45583</v>
      </c>
      <c r="B64" s="63">
        <f>IF(OR('Price History'!B65="",'Price History'!B64="",'Price History'!B64=0),"",'Price History'!B65/'Price History'!B64-1)</f>
        <v>-1.049614468531801E-3</v>
      </c>
      <c r="C64" s="63">
        <f>IF(OR('Price History'!C65="",'Price History'!C64="",'Price History'!C64=0),"",'Price History'!C65/'Price History'!C64-1)</f>
        <v>-3.5786241964885335E-2</v>
      </c>
      <c r="D64" s="63">
        <f>IF(OR('Price History'!D65="",'Price History'!D64="",'Price History'!D64=0),"",'Price History'!D65/'Price History'!D64-1)</f>
        <v>-0.13968287953942604</v>
      </c>
      <c r="E64" s="63">
        <f>IF(OR('Price History'!E65="",'Price History'!E64="",'Price History'!E64=0),"",'Price History'!E65/'Price History'!E64-1)</f>
        <v>-8.7612960105797333E-3</v>
      </c>
      <c r="F64" s="63">
        <f>IF(OR('Price History'!F65="",'Price History'!F64="",'Price History'!F64=0),"",'Price History'!F65/'Price History'!F64-1)</f>
        <v>-3.1355402873204152E-2</v>
      </c>
      <c r="G64" s="63">
        <f>IF(OR('Price History'!G65="",'Price History'!G64="",'Price History'!G64=0),"",'Price History'!G65/'Price History'!G64-1)</f>
        <v>-0.15577951972128912</v>
      </c>
      <c r="H64" s="63">
        <f>IF(OR('Price History'!H65="",'Price History'!H64="",'Price History'!H64=0),"",'Price History'!H65/'Price History'!H64-1)</f>
        <v>3.9562289562289576E-2</v>
      </c>
      <c r="I64" s="63">
        <f>IF(OR('Price History'!I65="",'Price History'!I64="",'Price History'!I64=0),"",'Price History'!I65/'Price History'!I64-1)</f>
        <v>2.3738872403560762E-2</v>
      </c>
      <c r="J64" s="63">
        <f>IF(OR('Price History'!J65="",'Price History'!J64="",'Price History'!J64=0),"",'Price History'!J65/'Price History'!J64-1)</f>
        <v>1.8795741849634062E-2</v>
      </c>
      <c r="K64" s="63">
        <f>IF(OR('Price History'!K65="",'Price History'!K64="",'Price History'!K64=0),"",'Price History'!K65/'Price History'!K64-1)</f>
        <v>-1.2410940013789951E-2</v>
      </c>
      <c r="L64" s="63">
        <f>IF(OR('Price History'!L65="",'Price History'!L64="",'Price History'!L64=0),"",'Price History'!L65/'Price History'!L64-1)</f>
        <v>5.225093024474603E-2</v>
      </c>
      <c r="M64" s="63">
        <f>IF(OR('Price History'!M65="",'Price History'!M64="",'Price History'!M64=0),"",'Price History'!M65/'Price History'!M64-1)</f>
        <v>3.6659513590844295E-3</v>
      </c>
      <c r="N64" s="63">
        <f>IF(OR('Price History'!N65="",'Price History'!N64="",'Price History'!N64=0),"",'Price History'!N65/'Price History'!N64-1)</f>
        <v>2.6779597683252998E-3</v>
      </c>
      <c r="O64" s="63" t="str">
        <f>IF(OR('Price History'!O65="",'Price History'!O64="",'Price History'!O64=0),"",'Price History'!O65/'Price History'!O64-1)</f>
        <v/>
      </c>
      <c r="P64" s="63" t="str">
        <f>IF(OR('Price History'!P65="",'Price History'!P64="",'Price History'!P64=0),"",'Price History'!P65/'Price History'!P64-1)</f>
        <v/>
      </c>
      <c r="Q64" s="63" t="str">
        <f>IF(OR('Price History'!Q65="",'Price History'!Q64="",'Price History'!Q64=0),"",'Price History'!Q65/'Price History'!Q64-1)</f>
        <v/>
      </c>
    </row>
    <row r="65" spans="1:17" ht="15" customHeight="1" x14ac:dyDescent="0.2">
      <c r="A65" s="49">
        <f>'Price History'!A66</f>
        <v>45590</v>
      </c>
      <c r="B65" s="63">
        <f>IF(OR('Price History'!B66="",'Price History'!B65="",'Price History'!B65=0),"",'Price History'!B66/'Price History'!B65-1)</f>
        <v>-2.2590422307536828E-2</v>
      </c>
      <c r="C65" s="63">
        <f>IF(OR('Price History'!C66="",'Price History'!C65="",'Price History'!C65=0),"",'Price History'!C66/'Price History'!C65-1)</f>
        <v>-1.9701492537313459E-2</v>
      </c>
      <c r="D65" s="63">
        <f>IF(OR('Price History'!D66="",'Price History'!D65="",'Price History'!D65=0),"",'Price History'!D66/'Price History'!D65-1)</f>
        <v>-1.5983187235572238E-2</v>
      </c>
      <c r="E65" s="63">
        <f>IF(OR('Price History'!E66="",'Price History'!E65="",'Price History'!E65=0),"",'Price History'!E66/'Price History'!E65-1)</f>
        <v>-3.8301184056923621E-2</v>
      </c>
      <c r="F65" s="63">
        <f>IF(OR('Price History'!F66="",'Price History'!F65="",'Price History'!F65=0),"",'Price History'!F66/'Price History'!F65-1)</f>
        <v>-3.0693835439773109E-2</v>
      </c>
      <c r="G65" s="63">
        <f>IF(OR('Price History'!G66="",'Price History'!G65="",'Price History'!G65=0),"",'Price History'!G66/'Price History'!G65-1)</f>
        <v>-7.9587324981575946E-3</v>
      </c>
      <c r="H65" s="63">
        <f>IF(OR('Price History'!H66="",'Price History'!H65="",'Price History'!H65=0),"",'Price History'!H66/'Price History'!H65-1)</f>
        <v>-2.9149797570850233E-2</v>
      </c>
      <c r="I65" s="63">
        <f>IF(OR('Price History'!I66="",'Price History'!I65="",'Price History'!I65=0),"",'Price History'!I66/'Price History'!I65-1)</f>
        <v>2.565217391304353E-2</v>
      </c>
      <c r="J65" s="63">
        <f>IF(OR('Price History'!J66="",'Price History'!J65="",'Price History'!J65=0),"",'Price History'!J66/'Price History'!J65-1)</f>
        <v>-4.0489795918367322E-2</v>
      </c>
      <c r="K65" s="63">
        <f>IF(OR('Price History'!K66="",'Price History'!K65="",'Price History'!K65=0),"",'Price History'!K66/'Price History'!K65-1)</f>
        <v>4.3984175005818082E-2</v>
      </c>
      <c r="L65" s="63">
        <f>IF(OR('Price History'!L66="",'Price History'!L65="",'Price History'!L65=0),"",'Price History'!L66/'Price History'!L65-1)</f>
        <v>1.3248331507122124E-2</v>
      </c>
      <c r="M65" s="63">
        <f>IF(OR('Price History'!M66="",'Price History'!M65="",'Price History'!M65=0),"",'Price History'!M66/'Price History'!M65-1)</f>
        <v>-7.1269487750558191E-4</v>
      </c>
      <c r="N65" s="63">
        <f>IF(OR('Price History'!N66="",'Price History'!N65="",'Price History'!N65=0),"",'Price History'!N66/'Price History'!N65-1)</f>
        <v>-1.0973084886128359E-2</v>
      </c>
      <c r="O65" s="63" t="str">
        <f>IF(OR('Price History'!O66="",'Price History'!O65="",'Price History'!O65=0),"",'Price History'!O66/'Price History'!O65-1)</f>
        <v/>
      </c>
      <c r="P65" s="63" t="str">
        <f>IF(OR('Price History'!P66="",'Price History'!P65="",'Price History'!P65=0),"",'Price History'!P66/'Price History'!P65-1)</f>
        <v/>
      </c>
      <c r="Q65" s="63" t="str">
        <f>IF(OR('Price History'!Q66="",'Price History'!Q65="",'Price History'!Q65=0),"",'Price History'!Q66/'Price History'!Q65-1)</f>
        <v/>
      </c>
    </row>
    <row r="66" spans="1:17" ht="15" customHeight="1" x14ac:dyDescent="0.2">
      <c r="A66" s="49">
        <f>'Price History'!A67</f>
        <v>45597</v>
      </c>
      <c r="B66" s="63">
        <f>IF(OR('Price History'!B67="",'Price History'!B66="",'Price History'!B66=0),"",'Price History'!B67/'Price History'!B66-1)</f>
        <v>-1.901926734474535E-3</v>
      </c>
      <c r="C66" s="63">
        <f>IF(OR('Price History'!C67="",'Price History'!C66="",'Price History'!C66=0),"",'Price History'!C67/'Price History'!C66-1)</f>
        <v>2.0300446609833322E-4</v>
      </c>
      <c r="D66" s="63">
        <f>IF(OR('Price History'!D67="",'Price History'!D66="",'Price History'!D66=0),"",'Price History'!D67/'Price History'!D66-1)</f>
        <v>-5.1946044681748016E-2</v>
      </c>
      <c r="E66" s="63">
        <f>IF(OR('Price History'!E67="",'Price History'!E66="",'Price History'!E66=0),"",'Price History'!E67/'Price History'!E66-1)</f>
        <v>-2.3583815028901833E-2</v>
      </c>
      <c r="F66" s="63">
        <f>IF(OR('Price History'!F67="",'Price History'!F66="",'Price History'!F66=0),"",'Price History'!F67/'Price History'!F66-1)</f>
        <v>8.2490686535392488E-3</v>
      </c>
      <c r="G66" s="63">
        <f>IF(OR('Price History'!G67="",'Price History'!G66="",'Price History'!G66=0),"",'Price History'!G67/'Price History'!G66-1)</f>
        <v>-5.4969543901353113E-3</v>
      </c>
      <c r="H66" s="63">
        <f>IF(OR('Price History'!H67="",'Price History'!H66="",'Price History'!H66=0),"",'Price History'!H67/'Price History'!H66-1)</f>
        <v>-7.5803910666295882E-2</v>
      </c>
      <c r="I66" s="63">
        <f>IF(OR('Price History'!I67="",'Price History'!I66="",'Price History'!I66=0),"",'Price History'!I67/'Price History'!I66-1)</f>
        <v>-4.3379963261268806E-2</v>
      </c>
      <c r="J66" s="63">
        <f>IF(OR('Price History'!J67="",'Price History'!J66="",'Price History'!J66=0),"",'Price History'!J67/'Price History'!J66-1)</f>
        <v>-3.5222052067381271E-2</v>
      </c>
      <c r="K66" s="63">
        <f>IF(OR('Price History'!K67="",'Price History'!K66="",'Price History'!K66=0),"",'Price History'!K67/'Price History'!K66-1)</f>
        <v>-6.553722692822106E-2</v>
      </c>
      <c r="L66" s="63">
        <f>IF(OR('Price History'!L67="",'Price History'!L66="",'Price History'!L66=0),"",'Price History'!L67/'Price History'!L66-1)</f>
        <v>-5.1563114431773527E-2</v>
      </c>
      <c r="M66" s="63">
        <f>IF(OR('Price History'!M67="",'Price History'!M66="",'Price History'!M66=0),"",'Price History'!M67/'Price History'!M66-1)</f>
        <v>-4.6982259071052801E-2</v>
      </c>
      <c r="N66" s="63">
        <f>IF(OR('Price History'!N67="",'Price History'!N66="",'Price History'!N66=0),"",'Price History'!N67/'Price History'!N66-1)</f>
        <v>-1.3774335356918521E-2</v>
      </c>
      <c r="O66" s="63" t="str">
        <f>IF(OR('Price History'!O67="",'Price History'!O66="",'Price History'!O66=0),"",'Price History'!O67/'Price History'!O66-1)</f>
        <v/>
      </c>
      <c r="P66" s="63" t="str">
        <f>IF(OR('Price History'!P67="",'Price History'!P66="",'Price History'!P66=0),"",'Price History'!P67/'Price History'!P66-1)</f>
        <v/>
      </c>
      <c r="Q66" s="63" t="str">
        <f>IF(OR('Price History'!Q67="",'Price History'!Q66="",'Price History'!Q66=0),"",'Price History'!Q67/'Price History'!Q66-1)</f>
        <v/>
      </c>
    </row>
    <row r="67" spans="1:17" ht="15" customHeight="1" x14ac:dyDescent="0.2">
      <c r="A67" s="49">
        <f>'Price History'!A68</f>
        <v>45604</v>
      </c>
      <c r="B67" s="63">
        <f>IF(OR('Price History'!B68="",'Price History'!B67="",'Price History'!B67=0),"",'Price History'!B68/'Price History'!B67-1)</f>
        <v>2.4606462303231158E-2</v>
      </c>
      <c r="C67" s="63">
        <f>IF(OR('Price History'!C68="",'Price History'!C67="",'Price History'!C67=0),"",'Price History'!C68/'Price History'!C67-1)</f>
        <v>1.5932616196468352E-2</v>
      </c>
      <c r="D67" s="63">
        <f>IF(OR('Price History'!D68="",'Price History'!D67="",'Price History'!D67=0),"",'Price History'!D68/'Price History'!D67-1)</f>
        <v>-7.795710876943307E-3</v>
      </c>
      <c r="E67" s="63">
        <f>IF(OR('Price History'!E68="",'Price History'!E67="",'Price History'!E67=0),"",'Price History'!E68/'Price History'!E67-1)</f>
        <v>8.7141842292209226E-2</v>
      </c>
      <c r="F67" s="63">
        <f>IF(OR('Price History'!F68="",'Price History'!F67="",'Price History'!F67=0),"",'Price History'!F68/'Price History'!F67-1)</f>
        <v>8.8809712325151891E-2</v>
      </c>
      <c r="G67" s="63">
        <f>IF(OR('Price History'!G68="",'Price History'!G67="",'Price History'!G67=0),"",'Price History'!G68/'Price History'!G67-1)</f>
        <v>2.6889752016731272E-2</v>
      </c>
      <c r="H67" s="63">
        <f>IF(OR('Price History'!H68="",'Price History'!H67="",'Price History'!H67=0),"",'Price History'!H68/'Price History'!H67-1)</f>
        <v>0.12202947959490618</v>
      </c>
      <c r="I67" s="63">
        <f>IF(OR('Price History'!I68="",'Price History'!I67="",'Price History'!I67=0),"",'Price History'!I68/'Price History'!I67-1)</f>
        <v>9.0324963072378139E-2</v>
      </c>
      <c r="J67" s="63">
        <f>IF(OR('Price History'!J68="",'Price History'!J67="",'Price History'!J67=0),"",'Price History'!J68/'Price History'!J67-1)</f>
        <v>2.1428571428571352E-2</v>
      </c>
      <c r="K67" s="63">
        <f>IF(OR('Price History'!K68="",'Price History'!K67="",'Price History'!K67=0),"",'Price History'!K68/'Price History'!K67-1)</f>
        <v>0.39289122137404586</v>
      </c>
      <c r="L67" s="63">
        <f>IF(OR('Price History'!L68="",'Price History'!L67="",'Price History'!L67=0),"",'Price History'!L68/'Price History'!L67-1)</f>
        <v>4.275719098211983E-2</v>
      </c>
      <c r="M67" s="63">
        <f>IF(OR('Price History'!M68="",'Price History'!M67="",'Price History'!M67=0),"",'Price History'!M68/'Price History'!M67-1)</f>
        <v>0.17633302151543484</v>
      </c>
      <c r="N67" s="63">
        <f>IF(OR('Price History'!N68="",'Price History'!N67="",'Price History'!N67=0),"",'Price History'!N68/'Price History'!N67-1)</f>
        <v>9.6833078621158197E-2</v>
      </c>
      <c r="O67" s="63" t="str">
        <f>IF(OR('Price History'!O68="",'Price History'!O67="",'Price History'!O67=0),"",'Price History'!O68/'Price History'!O67-1)</f>
        <v/>
      </c>
      <c r="P67" s="63" t="str">
        <f>IF(OR('Price History'!P68="",'Price History'!P67="",'Price History'!P67=0),"",'Price History'!P68/'Price History'!P67-1)</f>
        <v/>
      </c>
      <c r="Q67" s="63" t="str">
        <f>IF(OR('Price History'!Q68="",'Price History'!Q67="",'Price History'!Q67=0),"",'Price History'!Q68/'Price History'!Q67-1)</f>
        <v/>
      </c>
    </row>
    <row r="68" spans="1:17" ht="15" customHeight="1" x14ac:dyDescent="0.2">
      <c r="A68" s="49">
        <f>'Price History'!A69</f>
        <v>45611</v>
      </c>
      <c r="B68" s="63">
        <f>IF(OR('Price History'!B69="",'Price History'!B68="",'Price History'!B68=0),"",'Price History'!B69/'Price History'!B68-1)</f>
        <v>1.7566911943074359E-2</v>
      </c>
      <c r="C68" s="63">
        <f>IF(OR('Price History'!C69="",'Price History'!C68="",'Price History'!C68=0),"",'Price History'!C69/'Price History'!C68-1)</f>
        <v>-6.5028468684447116E-2</v>
      </c>
      <c r="D68" s="63">
        <f>IF(OR('Price History'!D69="",'Price History'!D68="",'Price History'!D68=0),"",'Price History'!D69/'Price History'!D68-1)</f>
        <v>-1.6191913005810576E-2</v>
      </c>
      <c r="E68" s="63">
        <f>IF(OR('Price History'!E69="",'Price History'!E68="",'Price History'!E68=0),"",'Price History'!E69/'Price History'!E68-1)</f>
        <v>-0.10237421041167494</v>
      </c>
      <c r="F68" s="63">
        <f>IF(OR('Price History'!F69="",'Price History'!F68="",'Price History'!F68=0),"",'Price History'!F69/'Price History'!F68-1)</f>
        <v>2.0361168343230984E-2</v>
      </c>
      <c r="G68" s="63">
        <f>IF(OR('Price History'!G69="",'Price History'!G68="",'Price History'!G68=0),"",'Price History'!G69/'Price History'!G68-1)</f>
        <v>-0.10605178935117821</v>
      </c>
      <c r="H68" s="63">
        <f>IF(OR('Price History'!H69="",'Price History'!H68="",'Price History'!H68=0),"",'Price History'!H69/'Price History'!H68-1)</f>
        <v>-0.13905272564789994</v>
      </c>
      <c r="I68" s="63">
        <f>IF(OR('Price History'!I69="",'Price History'!I68="",'Price History'!I68=0),"",'Price History'!I69/'Price History'!I68-1)</f>
        <v>-3.8271354060827822E-2</v>
      </c>
      <c r="J68" s="63">
        <f>IF(OR('Price History'!J69="",'Price History'!J68="",'Price History'!J68=0),"",'Price History'!J69/'Price History'!J68-1)</f>
        <v>-2.0806354139687455E-2</v>
      </c>
      <c r="K68" s="63">
        <f>IF(OR('Price History'!K69="",'Price History'!K68="",'Price History'!K68=0),"",'Price History'!K69/'Price History'!K68-1)</f>
        <v>0.1263915053947593</v>
      </c>
      <c r="L68" s="63">
        <f>IF(OR('Price History'!L69="",'Price History'!L68="",'Price History'!L68=0),"",'Price History'!L69/'Price History'!L68-1)</f>
        <v>-7.549701789264418E-2</v>
      </c>
      <c r="M68" s="63">
        <f>IF(OR('Price History'!M69="",'Price History'!M68="",'Price History'!M68=0),"",'Price History'!M69/'Price History'!M68-1)</f>
        <v>-3.8807157057654029E-2</v>
      </c>
      <c r="N68" s="63">
        <f>IF(OR('Price History'!N69="",'Price History'!N68="",'Price History'!N68=0),"",'Price History'!N69/'Price History'!N68-1)</f>
        <v>-9.8773077369663675E-2</v>
      </c>
      <c r="O68" s="63" t="str">
        <f>IF(OR('Price History'!O69="",'Price History'!O68="",'Price History'!O68=0),"",'Price History'!O69/'Price History'!O68-1)</f>
        <v/>
      </c>
      <c r="P68" s="63" t="str">
        <f>IF(OR('Price History'!P69="",'Price History'!P68="",'Price History'!P68=0),"",'Price History'!P69/'Price History'!P68-1)</f>
        <v/>
      </c>
      <c r="Q68" s="63" t="str">
        <f>IF(OR('Price History'!Q69="",'Price History'!Q68="",'Price History'!Q68=0),"",'Price History'!Q69/'Price History'!Q68-1)</f>
        <v/>
      </c>
    </row>
    <row r="69" spans="1:17" ht="15" customHeight="1" x14ac:dyDescent="0.2">
      <c r="A69" s="49">
        <f>'Price History'!A70</f>
        <v>45618</v>
      </c>
      <c r="B69" s="63">
        <f>IF(OR('Price History'!B70="",'Price History'!B69="",'Price History'!B69=0),"",'Price History'!B70/'Price History'!B69-1)</f>
        <v>1.7442437968095081E-2</v>
      </c>
      <c r="C69" s="63">
        <f>IF(OR('Price History'!C70="",'Price History'!C69="",'Price History'!C69=0),"",'Price History'!C70/'Price History'!C69-1)</f>
        <v>8.5683760683760823E-2</v>
      </c>
      <c r="D69" s="63">
        <f>IF(OR('Price History'!D70="",'Price History'!D69="",'Price History'!D69=0),"",'Price History'!D70/'Price History'!D69-1)</f>
        <v>2.1635819807782841E-2</v>
      </c>
      <c r="E69" s="63">
        <f>IF(OR('Price History'!E70="",'Price History'!E69="",'Price History'!E69=0),"",'Price History'!E70/'Price History'!E69-1)</f>
        <v>-3.7005581169620161E-3</v>
      </c>
      <c r="F69" s="63">
        <f>IF(OR('Price History'!F70="",'Price History'!F69="",'Price History'!F69=0),"",'Price History'!F70/'Price History'!F69-1)</f>
        <v>0.10547570970424025</v>
      </c>
      <c r="G69" s="63">
        <f>IF(OR('Price History'!G70="",'Price History'!G69="",'Price History'!G69=0),"",'Price History'!G70/'Price History'!G69-1)</f>
        <v>4.0846216436126959E-2</v>
      </c>
      <c r="H69" s="63">
        <f>IF(OR('Price History'!H70="",'Price History'!H69="",'Price History'!H69=0),"",'Price History'!H70/'Price History'!H69-1)</f>
        <v>6.539339838073488E-2</v>
      </c>
      <c r="I69" s="63">
        <f>IF(OR('Price History'!I70="",'Price History'!I69="",'Price History'!I69=0),"",'Price History'!I70/'Price History'!I69-1)</f>
        <v>-2.1129736582614633E-4</v>
      </c>
      <c r="J69" s="63">
        <f>IF(OR('Price History'!J70="",'Price History'!J69="",'Price History'!J69=0),"",'Price History'!J70/'Price History'!J69-1)</f>
        <v>2.0983953447363701E-2</v>
      </c>
      <c r="K69" s="63">
        <f>IF(OR('Price History'!K70="",'Price History'!K69="",'Price History'!K69=0),"",'Price History'!K70/'Price History'!K69-1)</f>
        <v>-2.1590390755663713E-2</v>
      </c>
      <c r="L69" s="63">
        <f>IF(OR('Price History'!L70="",'Price History'!L69="",'Price History'!L69=0),"",'Price History'!L70/'Price History'!L69-1)</f>
        <v>2.1880544056771312E-2</v>
      </c>
      <c r="M69" s="63">
        <f>IF(OR('Price History'!M70="",'Price History'!M69="",'Price History'!M69=0),"",'Price History'!M70/'Price History'!M69-1)</f>
        <v>0.15951021758914541</v>
      </c>
      <c r="N69" s="63">
        <f>IF(OR('Price History'!N70="",'Price History'!N69="",'Price History'!N69=0),"",'Price History'!N70/'Price History'!N69-1)</f>
        <v>-3.1629804595232902E-2</v>
      </c>
      <c r="O69" s="63" t="str">
        <f>IF(OR('Price History'!O70="",'Price History'!O69="",'Price History'!O69=0),"",'Price History'!O70/'Price History'!O69-1)</f>
        <v/>
      </c>
      <c r="P69" s="63" t="str">
        <f>IF(OR('Price History'!P70="",'Price History'!P69="",'Price History'!P69=0),"",'Price History'!P70/'Price History'!P69-1)</f>
        <v/>
      </c>
      <c r="Q69" s="63" t="str">
        <f>IF(OR('Price History'!Q70="",'Price History'!Q69="",'Price History'!Q69=0),"",'Price History'!Q70/'Price History'!Q69-1)</f>
        <v/>
      </c>
    </row>
    <row r="70" spans="1:17" ht="15" customHeight="1" x14ac:dyDescent="0.2">
      <c r="A70" s="49">
        <f>'Price History'!A71</f>
        <v>45625</v>
      </c>
      <c r="B70" s="63">
        <f>IF(OR('Price History'!B71="",'Price History'!B70="",'Price History'!B70=0),"",'Price History'!B71/'Price History'!B70-1)</f>
        <v>7.3806502001365626E-3</v>
      </c>
      <c r="C70" s="63">
        <f>IF(OR('Price History'!C71="",'Price History'!C70="",'Price History'!C70=0),"",'Price History'!C71/'Price History'!C70-1)</f>
        <v>-1.5744932099981401E-3</v>
      </c>
      <c r="D70" s="63">
        <f>IF(OR('Price History'!D71="",'Price History'!D70="",'Price History'!D70=0),"",'Price History'!D71/'Price History'!D70-1)</f>
        <v>2.0404827012245885E-2</v>
      </c>
      <c r="E70" s="63">
        <f>IF(OR('Price History'!E71="",'Price History'!E70="",'Price History'!E70=0),"",'Price History'!E71/'Price History'!E70-1)</f>
        <v>-1.3091396212628448E-2</v>
      </c>
      <c r="F70" s="63">
        <f>IF(OR('Price History'!F71="",'Price History'!F70="",'Price History'!F70=0),"",'Price History'!F71/'Price History'!F70-1)</f>
        <v>-7.0699473514558964E-2</v>
      </c>
      <c r="G70" s="63">
        <f>IF(OR('Price History'!G71="",'Price History'!G70="",'Price History'!G70=0),"",'Price History'!G71/'Price History'!G70-1)</f>
        <v>1.1569731081926271E-2</v>
      </c>
      <c r="H70" s="63">
        <f>IF(OR('Price History'!H71="",'Price History'!H70="",'Price History'!H70=0),"",'Price History'!H71/'Price History'!H70-1)</f>
        <v>-4.5693686671862799E-2</v>
      </c>
      <c r="I70" s="63">
        <f>IF(OR('Price History'!I71="",'Price History'!I70="",'Price History'!I70=0),"",'Price History'!I71/'Price History'!I70-1)</f>
        <v>-2.6065516026769875E-2</v>
      </c>
      <c r="J70" s="63">
        <f>IF(OR('Price History'!J71="",'Price History'!J70="",'Price History'!J70=0),"",'Price History'!J71/'Price History'!J70-1)</f>
        <v>8.4628670120898697E-3</v>
      </c>
      <c r="K70" s="63">
        <f>IF(OR('Price History'!K71="",'Price History'!K70="",'Price History'!K70=0),"",'Price History'!K71/'Price History'!K70-1)</f>
        <v>4.2424242424242475E-2</v>
      </c>
      <c r="L70" s="63">
        <f>IF(OR('Price History'!L71="",'Price History'!L70="",'Price History'!L70=0),"",'Price History'!L71/'Price History'!L70-1)</f>
        <v>-2.8514309764309798E-2</v>
      </c>
      <c r="M70" s="63">
        <f>IF(OR('Price History'!M71="",'Price History'!M70="",'Price History'!M70=0),"",'Price History'!M71/'Price History'!M70-1)</f>
        <v>-8.9546914020692148E-2</v>
      </c>
      <c r="N70" s="63">
        <f>IF(OR('Price History'!N71="",'Price History'!N70="",'Price History'!N70=0),"",'Price History'!N71/'Price History'!N70-1)</f>
        <v>3.8051311617180561E-2</v>
      </c>
      <c r="O70" s="63" t="str">
        <f>IF(OR('Price History'!O71="",'Price History'!O70="",'Price History'!O70=0),"",'Price History'!O71/'Price History'!O70-1)</f>
        <v/>
      </c>
      <c r="P70" s="63" t="str">
        <f>IF(OR('Price History'!P71="",'Price History'!P70="",'Price History'!P70=0),"",'Price History'!P71/'Price History'!P70-1)</f>
        <v/>
      </c>
      <c r="Q70" s="63" t="str">
        <f>IF(OR('Price History'!Q71="",'Price History'!Q70="",'Price History'!Q70=0),"",'Price History'!Q71/'Price History'!Q70-1)</f>
        <v/>
      </c>
    </row>
    <row r="71" spans="1:17" ht="15" customHeight="1" x14ac:dyDescent="0.2">
      <c r="A71" s="49">
        <f>'Price History'!A72</f>
        <v>45632</v>
      </c>
      <c r="B71" s="63">
        <f>IF(OR('Price History'!B72="",'Price History'!B71="",'Price History'!B71=0),"",'Price History'!B72/'Price History'!B71-1)</f>
        <v>7.1773302579807519E-2</v>
      </c>
      <c r="C71" s="63">
        <f>IF(OR('Price History'!C72="",'Price History'!C71="",'Price History'!C71=0),"",'Price History'!C72/'Price History'!C71-1)</f>
        <v>6.6922925290755053E-2</v>
      </c>
      <c r="D71" s="63">
        <f>IF(OR('Price History'!D72="",'Price History'!D71="",'Price History'!D71=0),"",'Price History'!D72/'Price History'!D71-1)</f>
        <v>3.2580358573280233E-2</v>
      </c>
      <c r="E71" s="63">
        <f>IF(OR('Price History'!E72="",'Price History'!E71="",'Price History'!E71=0),"",'Price History'!E72/'Price History'!E71-1)</f>
        <v>0.10766288252714706</v>
      </c>
      <c r="F71" s="63">
        <f>IF(OR('Price History'!F72="",'Price History'!F71="",'Price History'!F71=0),"",'Price History'!F72/'Price History'!F71-1)</f>
        <v>5.6885189039195261E-2</v>
      </c>
      <c r="G71" s="63">
        <f>IF(OR('Price History'!G72="",'Price History'!G71="",'Price History'!G71=0),"",'Price History'!G72/'Price History'!G71-1)</f>
        <v>2.0092735703245435E-3</v>
      </c>
      <c r="H71" s="63">
        <f>IF(OR('Price History'!H72="",'Price History'!H71="",'Price History'!H71=0),"",'Price History'!H72/'Price History'!H71-1)</f>
        <v>3.2873915262889186E-2</v>
      </c>
      <c r="I71" s="63">
        <f>IF(OR('Price History'!I72="",'Price History'!I71="",'Price History'!I71=0),"",'Price History'!I72/'Price History'!I71-1)</f>
        <v>3.0307414104882469E-2</v>
      </c>
      <c r="J71" s="63">
        <f>IF(OR('Price History'!J72="",'Price History'!J71="",'Price History'!J71=0),"",'Price History'!J72/'Price History'!J71-1)</f>
        <v>-4.0931666381229692E-2</v>
      </c>
      <c r="K71" s="63">
        <f>IF(OR('Price History'!K72="",'Price History'!K71="",'Price History'!K71=0),"",'Price History'!K72/'Price History'!K71-1)</f>
        <v>0.13804412641621955</v>
      </c>
      <c r="L71" s="63">
        <f>IF(OR('Price History'!L72="",'Price History'!L71="",'Price History'!L71=0),"",'Price History'!L72/'Price History'!L71-1)</f>
        <v>9.9425972056752965E-2</v>
      </c>
      <c r="M71" s="63">
        <f>IF(OR('Price History'!M72="",'Price History'!M71="",'Price History'!M71=0),"",'Price History'!M72/'Price History'!M71-1)</f>
        <v>4.8981191222570608E-2</v>
      </c>
      <c r="N71" s="63">
        <f>IF(OR('Price History'!N72="",'Price History'!N71="",'Price History'!N71=0),"",'Price History'!N72/'Price History'!N71-1)</f>
        <v>-1.28810373186935E-2</v>
      </c>
      <c r="O71" s="63" t="str">
        <f>IF(OR('Price History'!O72="",'Price History'!O71="",'Price History'!O71=0),"",'Price History'!O72/'Price History'!O71-1)</f>
        <v/>
      </c>
      <c r="P71" s="63" t="str">
        <f>IF(OR('Price History'!P72="",'Price History'!P71="",'Price History'!P71=0),"",'Price History'!P72/'Price History'!P71-1)</f>
        <v/>
      </c>
      <c r="Q71" s="63" t="str">
        <f>IF(OR('Price History'!Q72="",'Price History'!Q71="",'Price History'!Q71=0),"",'Price History'!Q72/'Price History'!Q71-1)</f>
        <v/>
      </c>
    </row>
    <row r="72" spans="1:17" ht="15" customHeight="1" x14ac:dyDescent="0.2">
      <c r="A72" s="49">
        <f>'Price History'!A73</f>
        <v>45639</v>
      </c>
      <c r="B72" s="63">
        <f>IF(OR('Price History'!B73="",'Price History'!B72="",'Price History'!B72=0),"",'Price History'!B73/'Price History'!B72-1)</f>
        <v>-0.15782335069444453</v>
      </c>
      <c r="C72" s="63">
        <f>IF(OR('Price History'!C73="",'Price History'!C72="",'Price History'!C72=0),"",'Price History'!C73/'Price History'!C72-1)</f>
        <v>3.8060046189376529E-2</v>
      </c>
      <c r="D72" s="63">
        <f>IF(OR('Price History'!D73="",'Price History'!D72="",'Price History'!D72=0),"",'Price History'!D73/'Price History'!D72-1)</f>
        <v>1.3540579423961141E-2</v>
      </c>
      <c r="E72" s="63">
        <f>IF(OR('Price History'!E73="",'Price History'!E72="",'Price History'!E72=0),"",'Price History'!E73/'Price History'!E72-1)</f>
        <v>0.2521584136356041</v>
      </c>
      <c r="F72" s="63">
        <f>IF(OR('Price History'!F73="",'Price History'!F72="",'Price History'!F72=0),"",'Price History'!F73/'Price History'!F72-1)</f>
        <v>6.5638332786348563E-3</v>
      </c>
      <c r="G72" s="63">
        <f>IF(OR('Price History'!G73="",'Price History'!G72="",'Price History'!G72=0),"",'Price History'!G73/'Price History'!G72-1)</f>
        <v>8.4837266697517233E-3</v>
      </c>
      <c r="H72" s="63">
        <f>IF(OR('Price History'!H73="",'Price History'!H72="",'Price History'!H72=0),"",'Price History'!H73/'Price History'!H72-1)</f>
        <v>1.3146189581891843E-2</v>
      </c>
      <c r="I72" s="63">
        <f>IF(OR('Price History'!I73="",'Price History'!I72="",'Price History'!I72=0),"",'Price History'!I73/'Price History'!I72-1)</f>
        <v>-5.7497893850042114E-2</v>
      </c>
      <c r="J72" s="63">
        <f>IF(OR('Price History'!J73="",'Price History'!J72="",'Price History'!J72=0),"",'Price History'!J73/'Price History'!J72-1)</f>
        <v>-7.7678571428572152E-3</v>
      </c>
      <c r="K72" s="63">
        <f>IF(OR('Price History'!K73="",'Price History'!K72="",'Price History'!K72=0),"",'Price History'!K73/'Price History'!K72-1)</f>
        <v>-3.5368090123134577E-3</v>
      </c>
      <c r="L72" s="63">
        <f>IF(OR('Price History'!L73="",'Price History'!L72="",'Price History'!L72=0),"",'Price History'!L73/'Price History'!L72-1)</f>
        <v>-9.9990148753817953E-3</v>
      </c>
      <c r="M72" s="63">
        <f>IF(OR('Price History'!M73="",'Price History'!M72="",'Price History'!M72=0),"",'Price History'!M73/'Price History'!M72-1)</f>
        <v>-6.0291370937616717E-2</v>
      </c>
      <c r="N72" s="63">
        <f>IF(OR('Price History'!N73="",'Price History'!N72="",'Price History'!N72=0),"",'Price History'!N73/'Price History'!N72-1)</f>
        <v>3.5273750270503612E-3</v>
      </c>
      <c r="O72" s="63" t="str">
        <f>IF(OR('Price History'!O73="",'Price History'!O72="",'Price History'!O72=0),"",'Price History'!O73/'Price History'!O72-1)</f>
        <v/>
      </c>
      <c r="P72" s="63" t="str">
        <f>IF(OR('Price History'!P73="",'Price History'!P72="",'Price History'!P72=0),"",'Price History'!P73/'Price History'!P72-1)</f>
        <v/>
      </c>
      <c r="Q72" s="63" t="str">
        <f>IF(OR('Price History'!Q73="",'Price History'!Q72="",'Price History'!Q72=0),"",'Price History'!Q73/'Price History'!Q72-1)</f>
        <v/>
      </c>
    </row>
    <row r="73" spans="1:17" ht="15" customHeight="1" x14ac:dyDescent="0.2">
      <c r="A73" s="49">
        <f>'Price History'!A74</f>
        <v>45646</v>
      </c>
      <c r="B73" s="63">
        <f>IF(OR('Price History'!B74="",'Price History'!B73="",'Price History'!B73=0),"",'Price History'!B74/'Price History'!B73-1)</f>
        <v>-3.9768945006334655E-2</v>
      </c>
      <c r="C73" s="63">
        <f>IF(OR('Price History'!C74="",'Price History'!C73="",'Price History'!C73=0),"",'Price History'!C74/'Price History'!C73-1)</f>
        <v>3.9156358458662943E-3</v>
      </c>
      <c r="D73" s="63">
        <f>IF(OR('Price History'!D74="",'Price History'!D73="",'Price History'!D73=0),"",'Price History'!D74/'Price History'!D73-1)</f>
        <v>-1.7952072142280784E-2</v>
      </c>
      <c r="E73" s="63">
        <f>IF(OR('Price History'!E74="",'Price History'!E73="",'Price History'!E73=0),"",'Price History'!E74/'Price History'!E73-1)</f>
        <v>-1.7838078291815052E-2</v>
      </c>
      <c r="F73" s="63">
        <f>IF(OR('Price History'!F74="",'Price History'!F73="",'Price History'!F73=0),"",'Price History'!F74/'Price History'!F73-1)</f>
        <v>-1.5650472774698554E-2</v>
      </c>
      <c r="G73" s="63">
        <f>IF(OR('Price History'!G74="",'Price History'!G73="",'Price History'!G73=0),"",'Price History'!G74/'Price History'!G73-1)</f>
        <v>-3.7320281431630464E-2</v>
      </c>
      <c r="H73" s="63">
        <f>IF(OR('Price History'!H74="",'Price History'!H73="",'Price History'!H73=0),"",'Price History'!H74/'Price History'!H73-1)</f>
        <v>-0.12078048780487805</v>
      </c>
      <c r="I73" s="63">
        <f>IF(OR('Price History'!I74="",'Price History'!I73="",'Price History'!I73=0),"",'Price History'!I74/'Price History'!I73-1)</f>
        <v>3.3519553072625108E-3</v>
      </c>
      <c r="J73" s="63">
        <f>IF(OR('Price History'!J74="",'Price History'!J73="",'Price History'!J73=0),"",'Price History'!J74/'Price History'!J73-1)</f>
        <v>-7.0278052731035712E-2</v>
      </c>
      <c r="K73" s="63">
        <f>IF(OR('Price History'!K74="",'Price History'!K73="",'Price History'!K73=0),"",'Price History'!K74/'Price History'!K73-1)</f>
        <v>5.889312475351649E-2</v>
      </c>
      <c r="L73" s="63">
        <f>IF(OR('Price History'!L74="",'Price History'!L73="",'Price History'!L73=0),"",'Price History'!L74/'Price History'!L73-1)</f>
        <v>-1.8806905816209807E-2</v>
      </c>
      <c r="M73" s="63">
        <f>IF(OR('Price History'!M74="",'Price History'!M73="",'Price History'!M73=0),"",'Price History'!M74/'Price History'!M73-1)</f>
        <v>-4.5635236126570167E-2</v>
      </c>
      <c r="N73" s="63">
        <f>IF(OR('Price History'!N74="",'Price History'!N73="",'Price History'!N73=0),"",'Price History'!N74/'Price History'!N73-1)</f>
        <v>-0.14331615379639018</v>
      </c>
      <c r="O73" s="63" t="str">
        <f>IF(OR('Price History'!O74="",'Price History'!O73="",'Price History'!O73=0),"",'Price History'!O74/'Price History'!O73-1)</f>
        <v/>
      </c>
      <c r="P73" s="63" t="str">
        <f>IF(OR('Price History'!P74="",'Price History'!P73="",'Price History'!P73=0),"",'Price History'!P74/'Price History'!P73-1)</f>
        <v/>
      </c>
      <c r="Q73" s="63" t="str">
        <f>IF(OR('Price History'!Q74="",'Price History'!Q73="",'Price History'!Q73=0),"",'Price History'!Q74/'Price History'!Q73-1)</f>
        <v/>
      </c>
    </row>
    <row r="74" spans="1:17" ht="15" customHeight="1" x14ac:dyDescent="0.2">
      <c r="A74" s="49">
        <f>'Price History'!A75</f>
        <v>45653</v>
      </c>
      <c r="B74" s="63">
        <f>IF(OR('Price History'!B75="",'Price History'!B74="",'Price History'!B74=0),"",'Price History'!B75/'Price History'!B74-1)</f>
        <v>-1.5430373236129391E-3</v>
      </c>
      <c r="C74" s="63">
        <f>IF(OR('Price History'!C75="",'Price History'!C74="",'Price History'!C74=0),"",'Price History'!C75/'Price History'!C74-1)</f>
        <v>1.9501817214786499E-3</v>
      </c>
      <c r="D74" s="63">
        <f>IF(OR('Price History'!D75="",'Price History'!D74="",'Price History'!D74=0),"",'Price History'!D75/'Price History'!D74-1)</f>
        <v>1.1209046593356975E-2</v>
      </c>
      <c r="E74" s="63">
        <f>IF(OR('Price History'!E75="",'Price History'!E74="",'Price History'!E74=0),"",'Price History'!E75/'Price History'!E74-1)</f>
        <v>9.4931835680963861E-2</v>
      </c>
      <c r="F74" s="63">
        <f>IF(OR('Price History'!F75="",'Price History'!F74="",'Price History'!F74=0),"",'Price History'!F75/'Price History'!F74-1)</f>
        <v>-2.0094954179087909E-2</v>
      </c>
      <c r="G74" s="63">
        <f>IF(OR('Price History'!G75="",'Price History'!G74="",'Price History'!G74=0),"",'Price History'!G75/'Price History'!G74-1)</f>
        <v>2.4467747060692879E-2</v>
      </c>
      <c r="H74" s="63">
        <f>IF(OR('Price History'!H75="",'Price History'!H74="",'Price History'!H74=0),"",'Price History'!H75/'Price History'!H74-1)</f>
        <v>-1.6533510874389812E-2</v>
      </c>
      <c r="I74" s="63">
        <f>IF(OR('Price History'!I75="",'Price History'!I74="",'Price History'!I74=0),"",'Price History'!I75/'Price History'!I74-1)</f>
        <v>1.714922048997769E-2</v>
      </c>
      <c r="J74" s="63">
        <f>IF(OR('Price History'!J75="",'Price History'!J74="",'Price History'!J74=0),"",'Price History'!J75/'Price History'!J74-1)</f>
        <v>1.8583042973286945E-2</v>
      </c>
      <c r="K74" s="63">
        <f>IF(OR('Price History'!K75="",'Price History'!K74="",'Price History'!K74=0),"",'Price History'!K75/'Price History'!K74-1)</f>
        <v>-1.8249534450651805E-2</v>
      </c>
      <c r="L74" s="63">
        <f>IF(OR('Price History'!L75="",'Price History'!L74="",'Price History'!L74=0),"",'Price History'!L75/'Price History'!L74-1)</f>
        <v>2.2412656558997934E-2</v>
      </c>
      <c r="M74" s="63">
        <f>IF(OR('Price History'!M75="",'Price History'!M74="",'Price History'!M74=0),"",'Price History'!M75/'Price History'!M74-1)</f>
        <v>-4.1069643452182669E-2</v>
      </c>
      <c r="N74" s="63">
        <f>IF(OR('Price History'!N75="",'Price History'!N74="",'Price History'!N74=0),"",'Price History'!N75/'Price History'!N74-1)</f>
        <v>2.8922395348251806E-2</v>
      </c>
      <c r="O74" s="63" t="str">
        <f>IF(OR('Price History'!O75="",'Price History'!O74="",'Price History'!O74=0),"",'Price History'!O75/'Price History'!O74-1)</f>
        <v/>
      </c>
      <c r="P74" s="63" t="str">
        <f>IF(OR('Price History'!P75="",'Price History'!P74="",'Price History'!P74=0),"",'Price History'!P75/'Price History'!P74-1)</f>
        <v/>
      </c>
      <c r="Q74" s="63" t="str">
        <f>IF(OR('Price History'!Q75="",'Price History'!Q74="",'Price History'!Q74=0),"",'Price History'!Q75/'Price History'!Q74-1)</f>
        <v/>
      </c>
    </row>
    <row r="75" spans="1:17" ht="15" customHeight="1" x14ac:dyDescent="0.2">
      <c r="A75" s="49">
        <f>'Price History'!A76</f>
        <v>45660</v>
      </c>
      <c r="B75" s="63">
        <f>IF(OR('Price History'!B76="",'Price History'!B75="",'Price History'!B75=0),"",'Price History'!B76/'Price History'!B75-1)</f>
        <v>-3.5634294929224208E-2</v>
      </c>
      <c r="C75" s="63">
        <f>IF(OR('Price History'!C76="",'Price History'!C75="",'Price History'!C75=0),"",'Price History'!C76/'Price History'!C75-1)</f>
        <v>1.9198442891267931E-2</v>
      </c>
      <c r="D75" s="63">
        <f>IF(OR('Price History'!D76="",'Price History'!D75="",'Price History'!D75=0),"",'Price History'!D76/'Price History'!D75-1)</f>
        <v>1.0790509956697392E-3</v>
      </c>
      <c r="E75" s="63">
        <f>IF(OR('Price History'!E76="",'Price History'!E75="",'Price History'!E75=0),"",'Price History'!E76/'Price History'!E75-1)</f>
        <v>-3.8055842812823149E-2</v>
      </c>
      <c r="F75" s="63">
        <f>IF(OR('Price History'!F76="",'Price History'!F75="",'Price History'!F75=0),"",'Price History'!F76/'Price History'!F75-1)</f>
        <v>1.1380281690140936E-2</v>
      </c>
      <c r="G75" s="63">
        <f>IF(OR('Price History'!G76="",'Price History'!G75="",'Price History'!G75=0),"",'Price History'!G76/'Price History'!G75-1)</f>
        <v>1.8920595533498785E-2</v>
      </c>
      <c r="H75" s="63">
        <f>IF(OR('Price History'!H76="",'Price History'!H75="",'Price History'!H75=0),"",'Price History'!H76/'Price History'!H75-1)</f>
        <v>1.3990748053706481E-2</v>
      </c>
      <c r="I75" s="63">
        <f>IF(OR('Price History'!I76="",'Price History'!I75="",'Price History'!I75=0),"",'Price History'!I76/'Price History'!I75-1)</f>
        <v>5.4448580395591639E-2</v>
      </c>
      <c r="J75" s="63">
        <f>IF(OR('Price History'!J76="",'Price History'!J75="",'Price History'!J75=0),"",'Price History'!J76/'Price History'!J75-1)</f>
        <v>3.7058152793614241E-3</v>
      </c>
      <c r="K75" s="63">
        <f>IF(OR('Price History'!K76="",'Price History'!K75="",'Price History'!K75=0),"",'Price History'!K76/'Price History'!K75-1)</f>
        <v>1.0242792109256493E-2</v>
      </c>
      <c r="L75" s="63">
        <f>IF(OR('Price History'!L76="",'Price History'!L75="",'Price History'!L75=0),"",'Price History'!L76/'Price History'!L75-1)</f>
        <v>3.4617864405098508E-2</v>
      </c>
      <c r="M75" s="63">
        <f>IF(OR('Price History'!M76="",'Price History'!M75="",'Price History'!M75=0),"",'Price History'!M76/'Price History'!M75-1)</f>
        <v>9.1738337242637469E-2</v>
      </c>
      <c r="N75" s="63">
        <f>IF(OR('Price History'!N76="",'Price History'!N75="",'Price History'!N75=0),"",'Price History'!N76/'Price History'!N75-1)</f>
        <v>-4.0365984930031962E-3</v>
      </c>
      <c r="O75" s="63" t="str">
        <f>IF(OR('Price History'!O76="",'Price History'!O75="",'Price History'!O75=0),"",'Price History'!O76/'Price History'!O75-1)</f>
        <v/>
      </c>
      <c r="P75" s="63" t="str">
        <f>IF(OR('Price History'!P76="",'Price History'!P75="",'Price History'!P75=0),"",'Price History'!P76/'Price History'!P75-1)</f>
        <v/>
      </c>
      <c r="Q75" s="63" t="str">
        <f>IF(OR('Price History'!Q76="",'Price History'!Q75="",'Price History'!Q75=0),"",'Price History'!Q76/'Price History'!Q75-1)</f>
        <v/>
      </c>
    </row>
    <row r="76" spans="1:17" ht="15" customHeight="1" x14ac:dyDescent="0.2">
      <c r="A76" s="49">
        <f>'Price History'!A77</f>
        <v>45667</v>
      </c>
      <c r="B76" s="63">
        <f>IF(OR('Price History'!B77="",'Price History'!B76="",'Price History'!B76=0),"",'Price History'!B77/'Price History'!B76-1)</f>
        <v>-5.7249692268388386E-2</v>
      </c>
      <c r="C76" s="63">
        <f>IF(OR('Price History'!C77="",'Price History'!C76="",'Price History'!C76=0),"",'Price History'!C77/'Price History'!C76-1)</f>
        <v>-7.4652777777777235E-3</v>
      </c>
      <c r="D76" s="63">
        <f>IF(OR('Price History'!D77="",'Price History'!D76="",'Price History'!D76=0),"",'Price History'!D77/'Price History'!D76-1)</f>
        <v>3.450641133322141E-2</v>
      </c>
      <c r="E76" s="63">
        <f>IF(OR('Price History'!E77="",'Price History'!E76="",'Price History'!E76=0),"",'Price History'!E77/'Price History'!E76-1)</f>
        <v>-3.5433240163405766E-2</v>
      </c>
      <c r="F76" s="63">
        <f>IF(OR('Price History'!F77="",'Price History'!F76="",'Price History'!F76=0),"",'Price History'!F77/'Price History'!F76-1)</f>
        <v>-2.840909090909105E-2</v>
      </c>
      <c r="G76" s="63">
        <f>IF(OR('Price History'!G77="",'Price History'!G76="",'Price History'!G76=0),"",'Price History'!G77/'Price History'!G76-1)</f>
        <v>3.9726027397260166E-2</v>
      </c>
      <c r="H76" s="63">
        <f>IF(OR('Price History'!H77="",'Price History'!H76="",'Price History'!H76=0),"",'Price History'!H77/'Price History'!H76-1)</f>
        <v>0.10537442973183486</v>
      </c>
      <c r="I76" s="63">
        <f>IF(OR('Price History'!I77="",'Price History'!I76="",'Price History'!I76=0),"",'Price History'!I77/'Price History'!I76-1)</f>
        <v>-5.9251055582473899E-2</v>
      </c>
      <c r="J76" s="63">
        <f>IF(OR('Price History'!J77="",'Price History'!J76="",'Price History'!J76=0),"",'Price History'!J77/'Price History'!J76-1)</f>
        <v>-1.9312695257029167E-2</v>
      </c>
      <c r="K76" s="63">
        <f>IF(OR('Price History'!K77="",'Price History'!K76="",'Price History'!K76=0),"",'Price History'!K77/'Price History'!K76-1)</f>
        <v>-0.15809237701840029</v>
      </c>
      <c r="L76" s="63">
        <f>IF(OR('Price History'!L77="",'Price History'!L76="",'Price History'!L76=0),"",'Price History'!L77/'Price History'!L76-1)</f>
        <v>-1.1504721729543865E-3</v>
      </c>
      <c r="M76" s="63">
        <f>IF(OR('Price History'!M77="",'Price History'!M76="",'Price History'!M76=0),"",'Price History'!M77/'Price History'!M76-1)</f>
        <v>2.5940956473303078E-2</v>
      </c>
      <c r="N76" s="63">
        <f>IF(OR('Price History'!N77="",'Price History'!N76="",'Price History'!N76=0),"",'Price History'!N77/'Price History'!N76-1)</f>
        <v>6.0180295251897054E-3</v>
      </c>
      <c r="O76" s="63" t="str">
        <f>IF(OR('Price History'!O77="",'Price History'!O76="",'Price History'!O76=0),"",'Price History'!O77/'Price History'!O76-1)</f>
        <v/>
      </c>
      <c r="P76" s="63" t="str">
        <f>IF(OR('Price History'!P77="",'Price History'!P76="",'Price History'!P76=0),"",'Price History'!P77/'Price History'!P76-1)</f>
        <v/>
      </c>
      <c r="Q76" s="63" t="str">
        <f>IF(OR('Price History'!Q77="",'Price History'!Q76="",'Price History'!Q76=0),"",'Price History'!Q77/'Price History'!Q76-1)</f>
        <v/>
      </c>
    </row>
    <row r="77" spans="1:17" ht="15" customHeight="1" x14ac:dyDescent="0.2">
      <c r="A77" s="49">
        <f>'Price History'!A78</f>
        <v>45674</v>
      </c>
      <c r="B77" s="63">
        <f>IF(OR('Price History'!B78="",'Price History'!B77="",'Price History'!B77=0),"",'Price History'!B78/'Price History'!B77-1)</f>
        <v>5.9297398502167864E-2</v>
      </c>
      <c r="C77" s="63">
        <f>IF(OR('Price History'!C78="",'Price History'!C77="",'Price History'!C77=0),"",'Price History'!C78/'Price History'!C77-1)</f>
        <v>4.9064194507608905E-2</v>
      </c>
      <c r="D77" s="63">
        <f>IF(OR('Price History'!D78="",'Price History'!D77="",'Price History'!D77=0),"",'Price History'!D78/'Price History'!D77-1)</f>
        <v>2.3436759989716061E-2</v>
      </c>
      <c r="E77" s="63">
        <f>IF(OR('Price History'!E78="",'Price History'!E77="",'Price History'!E77=0),"",'Price History'!E78/'Price History'!E77-1)</f>
        <v>5.8535063082341354E-2</v>
      </c>
      <c r="F77" s="63">
        <f>IF(OR('Price History'!F78="",'Price History'!F77="",'Price History'!F77=0),"",'Price History'!F78/'Price History'!F77-1)</f>
        <v>2.3391812865497075E-2</v>
      </c>
      <c r="G77" s="63">
        <f>IF(OR('Price History'!G78="",'Price History'!G77="",'Price History'!G77=0),"",'Price History'!G78/'Price History'!G77-1)</f>
        <v>0.1089152393500219</v>
      </c>
      <c r="H77" s="63">
        <f>IF(OR('Price History'!H78="",'Price History'!H77="",'Price History'!H77=0),"",'Price History'!H78/'Price History'!H77-1)</f>
        <v>6.4525870746929614E-2</v>
      </c>
      <c r="I77" s="63">
        <f>IF(OR('Price History'!I78="",'Price History'!I77="",'Price History'!I77=0),"",'Price History'!I78/'Price History'!I77-1)</f>
        <v>1.3244058568170125E-2</v>
      </c>
      <c r="J77" s="63">
        <f>IF(OR('Price History'!J78="",'Price History'!J77="",'Price History'!J77=0),"",'Price History'!J78/'Price History'!J77-1)</f>
        <v>5.6858770151559046E-2</v>
      </c>
      <c r="K77" s="63">
        <f>IF(OR('Price History'!K78="",'Price History'!K77="",'Price History'!K77=0),"",'Price History'!K78/'Price History'!K77-1)</f>
        <v>6.7053226286053924E-2</v>
      </c>
      <c r="L77" s="63">
        <f>IF(OR('Price History'!L78="",'Price History'!L77="",'Price History'!L77=0),"",'Price History'!L78/'Price History'!L77-1)</f>
        <v>1.502135624130152E-2</v>
      </c>
      <c r="M77" s="63">
        <f>IF(OR('Price History'!M78="",'Price History'!M77="",'Price History'!M77=0),"",'Price History'!M78/'Price History'!M77-1)</f>
        <v>5.3905219886760225E-2</v>
      </c>
      <c r="N77" s="63">
        <f>IF(OR('Price History'!N78="",'Price History'!N77="",'Price History'!N77=0),"",'Price History'!N78/'Price History'!N77-1)</f>
        <v>3.0374059966793654E-2</v>
      </c>
      <c r="O77" s="63" t="str">
        <f>IF(OR('Price History'!O78="",'Price History'!O77="",'Price History'!O77=0),"",'Price History'!O78/'Price History'!O77-1)</f>
        <v/>
      </c>
      <c r="P77" s="63" t="str">
        <f>IF(OR('Price History'!P78="",'Price History'!P77="",'Price History'!P77=0),"",'Price History'!P78/'Price History'!P77-1)</f>
        <v/>
      </c>
      <c r="Q77" s="63" t="str">
        <f>IF(OR('Price History'!Q78="",'Price History'!Q77="",'Price History'!Q77=0),"",'Price History'!Q78/'Price History'!Q77-1)</f>
        <v/>
      </c>
    </row>
    <row r="78" spans="1:17" ht="15" customHeight="1" x14ac:dyDescent="0.2">
      <c r="A78" s="49">
        <f>'Price History'!A79</f>
        <v>45681</v>
      </c>
      <c r="B78" s="63">
        <f>IF(OR('Price History'!B79="",'Price History'!B78="",'Price History'!B78=0),"",'Price History'!B79/'Price History'!B78-1)</f>
        <v>1.2535175236633389E-2</v>
      </c>
      <c r="C78" s="63">
        <f>IF(OR('Price History'!C79="",'Price History'!C78="",'Price History'!C78=0),"",'Price History'!C79/'Price History'!C78-1)</f>
        <v>7.6865360566902741E-2</v>
      </c>
      <c r="D78" s="63">
        <f>IF(OR('Price History'!D79="",'Price History'!D78="",'Price History'!D78=0),"",'Price History'!D79/'Price History'!D78-1)</f>
        <v>-3.1837954332103791E-2</v>
      </c>
      <c r="E78" s="63">
        <f>IF(OR('Price History'!E79="",'Price History'!E78="",'Price History'!E78=0),"",'Price History'!E79/'Price History'!E78-1)</f>
        <v>3.0576145552560607E-2</v>
      </c>
      <c r="F78" s="63">
        <f>IF(OR('Price History'!F79="",'Price History'!F78="",'Price History'!F78=0),"",'Price History'!F79/'Price History'!F78-1)</f>
        <v>5.0196078431372637E-2</v>
      </c>
      <c r="G78" s="63">
        <f>IF(OR('Price History'!G79="",'Price History'!G78="",'Price History'!G78=0),"",'Price History'!G79/'Price History'!G78-1)</f>
        <v>-1.0165016501650137E-2</v>
      </c>
      <c r="H78" s="63">
        <f>IF(OR('Price History'!H79="",'Price History'!H78="",'Price History'!H78=0),"",'Price History'!H79/'Price History'!H78-1)</f>
        <v>-2.4208037825059092E-2</v>
      </c>
      <c r="I78" s="63">
        <f>IF(OR('Price History'!I79="",'Price History'!I78="",'Price History'!I78=0),"",'Price History'!I79/'Price History'!I78-1)</f>
        <v>3.5654636555079389E-2</v>
      </c>
      <c r="J78" s="63">
        <f>IF(OR('Price History'!J79="",'Price History'!J78="",'Price History'!J78=0),"",'Price History'!J79/'Price History'!J78-1)</f>
        <v>8.6317135549872193E-2</v>
      </c>
      <c r="K78" s="63">
        <f>IF(OR('Price History'!K79="",'Price History'!K78="",'Price History'!K78=0),"",'Price History'!K79/'Price History'!K78-1)</f>
        <v>0.10045980214574346</v>
      </c>
      <c r="L78" s="63">
        <f>IF(OR('Price History'!L79="",'Price History'!L78="",'Price History'!L78=0),"",'Price History'!L79/'Price History'!L78-1)</f>
        <v>4.9078014184397167E-2</v>
      </c>
      <c r="M78" s="63">
        <f>IF(OR('Price History'!M79="",'Price History'!M78="",'Price History'!M78=0),"",'Price History'!M79/'Price History'!M78-1)</f>
        <v>7.6832499264056553E-2</v>
      </c>
      <c r="N78" s="63">
        <f>IF(OR('Price History'!N79="",'Price History'!N78="",'Price History'!N78=0),"",'Price History'!N79/'Price History'!N78-1)</f>
        <v>4.1753554502369727E-2</v>
      </c>
      <c r="O78" s="63" t="str">
        <f>IF(OR('Price History'!O79="",'Price History'!O78="",'Price History'!O78=0),"",'Price History'!O79/'Price History'!O78-1)</f>
        <v/>
      </c>
      <c r="P78" s="63" t="str">
        <f>IF(OR('Price History'!P79="",'Price History'!P78="",'Price History'!P78=0),"",'Price History'!P79/'Price History'!P78-1)</f>
        <v/>
      </c>
      <c r="Q78" s="63" t="str">
        <f>IF(OR('Price History'!Q79="",'Price History'!Q78="",'Price History'!Q78=0),"",'Price History'!Q79/'Price History'!Q78-1)</f>
        <v/>
      </c>
    </row>
    <row r="79" spans="1:17" ht="15" customHeight="1" x14ac:dyDescent="0.2">
      <c r="A79" s="49">
        <f>'Price History'!A80</f>
        <v>45688</v>
      </c>
      <c r="B79" s="63">
        <f>IF(OR('Price History'!B80="",'Price History'!B79="",'Price History'!B79=0),"",'Price History'!B80/'Price History'!B79-1)</f>
        <v>4.7544673618447053E-3</v>
      </c>
      <c r="C79" s="63">
        <f>IF(OR('Price History'!C80="",'Price History'!C79="",'Price History'!C79=0),"",'Price History'!C80/'Price History'!C79-1)</f>
        <v>-0.10791979561817744</v>
      </c>
      <c r="D79" s="63">
        <f>IF(OR('Price History'!D80="",'Price History'!D79="",'Price History'!D79=0),"",'Price History'!D80/'Price History'!D79-1)</f>
        <v>9.6415158757254815E-3</v>
      </c>
      <c r="E79" s="63">
        <f>IF(OR('Price History'!E80="",'Price History'!E79="",'Price History'!E79=0),"",'Price History'!E80/'Price History'!E79-1)</f>
        <v>-9.5749897834082498E-2</v>
      </c>
      <c r="F79" s="63">
        <f>IF(OR('Price History'!F80="",'Price History'!F79="",'Price History'!F79=0),"",'Price History'!F80/'Price History'!F79-1)</f>
        <v>6.1773178278032637E-2</v>
      </c>
      <c r="G79" s="63">
        <f>IF(OR('Price History'!G80="",'Price History'!G79="",'Price History'!G79=0),"",'Price History'!G80/'Price History'!G79-1)</f>
        <v>-1.5470792211256468E-2</v>
      </c>
      <c r="H79" s="63">
        <f>IF(OR('Price History'!H80="",'Price History'!H79="",'Price History'!H79=0),"",'Price History'!H80/'Price History'!H79-1)</f>
        <v>-0.11580579513518752</v>
      </c>
      <c r="I79" s="63">
        <f>IF(OR('Price History'!I80="",'Price History'!I79="",'Price History'!I79=0),"",'Price History'!I80/'Price History'!I79-1)</f>
        <v>-0.15811246669471335</v>
      </c>
      <c r="J79" s="63">
        <f>IF(OR('Price History'!J80="",'Price History'!J79="",'Price History'!J79=0),"",'Price History'!J80/'Price History'!J79-1)</f>
        <v>2.6906583704700004E-3</v>
      </c>
      <c r="K79" s="63">
        <f>IF(OR('Price History'!K80="",'Price History'!K79="",'Price History'!K79=0),"",'Price History'!K80/'Price History'!K79-1)</f>
        <v>4.4441630792605658E-2</v>
      </c>
      <c r="L79" s="63">
        <f>IF(OR('Price History'!L80="",'Price History'!L79="",'Price History'!L79=0),"",'Price History'!L80/'Price History'!L79-1)</f>
        <v>-5.6607175049576353E-2</v>
      </c>
      <c r="M79" s="63">
        <f>IF(OR('Price History'!M80="",'Price History'!M79="",'Price History'!M79=0),"",'Price History'!M80/'Price History'!M79-1)</f>
        <v>-0.20024603608529246</v>
      </c>
      <c r="N79" s="63">
        <f>IF(OR('Price History'!N80="",'Price History'!N79="",'Price History'!N79=0),"",'Price History'!N80/'Price History'!N79-1)</f>
        <v>5.0179700650561765E-2</v>
      </c>
      <c r="O79" s="63" t="str">
        <f>IF(OR('Price History'!O80="",'Price History'!O79="",'Price History'!O79=0),"",'Price History'!O80/'Price History'!O79-1)</f>
        <v/>
      </c>
      <c r="P79" s="63" t="str">
        <f>IF(OR('Price History'!P80="",'Price History'!P79="",'Price History'!P79=0),"",'Price History'!P80/'Price History'!P79-1)</f>
        <v/>
      </c>
      <c r="Q79" s="63" t="str">
        <f>IF(OR('Price History'!Q80="",'Price History'!Q79="",'Price History'!Q79=0),"",'Price History'!Q80/'Price History'!Q79-1)</f>
        <v/>
      </c>
    </row>
    <row r="80" spans="1:17" ht="15" customHeight="1" x14ac:dyDescent="0.2">
      <c r="A80" s="49">
        <f>'Price History'!A81</f>
        <v>45695</v>
      </c>
      <c r="B80" s="63">
        <f>IF(OR('Price History'!B81="",'Price History'!B80="",'Price History'!B80=0),"",'Price History'!B81/'Price History'!B80-1)</f>
        <v>-1.0012572865470304E-2</v>
      </c>
      <c r="C80" s="63">
        <f>IF(OR('Price History'!C81="",'Price History'!C80="",'Price History'!C80=0),"",'Price History'!C81/'Price History'!C80-1)</f>
        <v>2.8117677688102027E-2</v>
      </c>
      <c r="D80" s="63">
        <f>IF(OR('Price History'!D81="",'Price History'!D80="",'Price History'!D80=0),"",'Price History'!D81/'Price History'!D80-1)</f>
        <v>-1.5703831951414005E-2</v>
      </c>
      <c r="E80" s="63">
        <f>IF(OR('Price History'!E81="",'Price History'!E80="",'Price History'!E80=0),"",'Price History'!E81/'Price History'!E80-1)</f>
        <v>1.6269715731911161E-2</v>
      </c>
      <c r="F80" s="63">
        <f>IF(OR('Price History'!F81="",'Price History'!F80="",'Price History'!F80=0),"",'Price History'!F81/'Price History'!F80-1)</f>
        <v>5.9083601286173737E-2</v>
      </c>
      <c r="G80" s="63">
        <f>IF(OR('Price History'!G81="",'Price History'!G80="",'Price History'!G80=0),"",'Price History'!G81/'Price History'!G80-1)</f>
        <v>1.2869141154158825E-2</v>
      </c>
      <c r="H80" s="63">
        <f>IF(OR('Price History'!H81="",'Price History'!H80="",'Price History'!H80=0),"",'Price History'!H81/'Price History'!H80-1)</f>
        <v>1.1617711530030661E-2</v>
      </c>
      <c r="I80" s="63">
        <f>IF(OR('Price History'!I81="",'Price History'!I80="",'Price History'!I80=0),"",'Price History'!I81/'Price History'!I80-1)</f>
        <v>8.1369201299242189E-2</v>
      </c>
      <c r="J80" s="63">
        <f>IF(OR('Price History'!J81="",'Price History'!J80="",'Price History'!J80=0),"",'Price History'!J81/'Price History'!J80-1)</f>
        <v>-1.5932914046121627E-2</v>
      </c>
      <c r="K80" s="63">
        <f>IF(OR('Price History'!K81="",'Price History'!K80="",'Price History'!K80=0),"",'Price History'!K81/'Price History'!K80-1)</f>
        <v>0.34379924839374465</v>
      </c>
      <c r="L80" s="63">
        <f>IF(OR('Price History'!L81="",'Price History'!L80="",'Price History'!L80=0),"",'Price History'!L81/'Price History'!L80-1)</f>
        <v>-1.528759793617418E-2</v>
      </c>
      <c r="M80" s="63">
        <f>IF(OR('Price History'!M81="",'Price History'!M80="",'Price History'!M80=0),"",'Price History'!M81/'Price History'!M80-1)</f>
        <v>3.7258588275508542E-2</v>
      </c>
      <c r="N80" s="63">
        <f>IF(OR('Price History'!N81="",'Price History'!N80="",'Price History'!N80=0),"",'Price History'!N81/'Price History'!N80-1)</f>
        <v>1.6548258534049509E-2</v>
      </c>
      <c r="O80" s="63" t="str">
        <f>IF(OR('Price History'!O81="",'Price History'!O80="",'Price History'!O80=0),"",'Price History'!O81/'Price History'!O80-1)</f>
        <v/>
      </c>
      <c r="P80" s="63" t="str">
        <f>IF(OR('Price History'!P81="",'Price History'!P80="",'Price History'!P80=0),"",'Price History'!P81/'Price History'!P80-1)</f>
        <v/>
      </c>
      <c r="Q80" s="63" t="str">
        <f>IF(OR('Price History'!Q81="",'Price History'!Q80="",'Price History'!Q80=0),"",'Price History'!Q81/'Price History'!Q80-1)</f>
        <v/>
      </c>
    </row>
    <row r="81" spans="1:17" ht="15" customHeight="1" x14ac:dyDescent="0.2">
      <c r="A81" s="49">
        <f>'Price History'!A82</f>
        <v>45702</v>
      </c>
      <c r="B81" s="63">
        <f>IF(OR('Price History'!B82="",'Price History'!B81="",'Price History'!B81=0),"",'Price History'!B82/'Price History'!B81-1)</f>
        <v>6.2553397834068436E-2</v>
      </c>
      <c r="C81" s="63">
        <f>IF(OR('Price History'!C82="",'Price History'!C81="",'Price History'!C81=0),"",'Price History'!C82/'Price History'!C81-1)</f>
        <v>-9.7915083987507368E-2</v>
      </c>
      <c r="D81" s="63">
        <f>IF(OR('Price History'!D82="",'Price History'!D81="",'Price History'!D81=0),"",'Price History'!D82/'Price History'!D81-1)</f>
        <v>3.27744949841966E-2</v>
      </c>
      <c r="E81" s="63">
        <f>IF(OR('Price History'!E82="",'Price History'!E81="",'Price History'!E81=0),"",'Price History'!E82/'Price History'!E81-1)</f>
        <v>3.6332102992840287E-2</v>
      </c>
      <c r="F81" s="63">
        <f>IF(OR('Price History'!F82="",'Price History'!F81="",'Price History'!F81=0),"",'Price History'!F82/'Price History'!F81-1)</f>
        <v>7.1537001897533203E-2</v>
      </c>
      <c r="G81" s="63">
        <f>IF(OR('Price History'!G82="",'Price History'!G81="",'Price History'!G81=0),"",'Price History'!G82/'Price History'!G81-1)</f>
        <v>4.0123044001605379E-3</v>
      </c>
      <c r="H81" s="63">
        <f>IF(OR('Price History'!H82="",'Price History'!H81="",'Price History'!H81=0),"",'Price History'!H82/'Price History'!H81-1)</f>
        <v>7.8223185265438699E-2</v>
      </c>
      <c r="I81" s="63">
        <f>IF(OR('Price History'!I82="",'Price History'!I81="",'Price History'!I81=0),"",'Price History'!I82/'Price History'!I81-1)</f>
        <v>6.9393099199014152E-2</v>
      </c>
      <c r="J81" s="63">
        <f>IF(OR('Price History'!J82="",'Price History'!J81="",'Price History'!J81=0),"",'Price History'!J82/'Price History'!J81-1)</f>
        <v>2.9825308904985137E-2</v>
      </c>
      <c r="K81" s="63">
        <f>IF(OR('Price History'!K82="",'Price History'!K81="",'Price History'!K81=0),"",'Price History'!K82/'Price History'!K81-1)</f>
        <v>7.4966170500676554E-2</v>
      </c>
      <c r="L81" s="63">
        <f>IF(OR('Price History'!L82="",'Price History'!L81="",'Price History'!L81=0),"",'Price History'!L82/'Price History'!L81-1)</f>
        <v>-1.0770424995148464E-2</v>
      </c>
      <c r="M81" s="63">
        <f>IF(OR('Price History'!M82="",'Price History'!M81="",'Price History'!M81=0),"",'Price History'!M82/'Price History'!M81-1)</f>
        <v>-0.10982039874773442</v>
      </c>
      <c r="N81" s="63">
        <f>IF(OR('Price History'!N82="",'Price History'!N81="",'Price History'!N81=0),"",'Price History'!N82/'Price History'!N81-1)</f>
        <v>-2.1989261058552811E-2</v>
      </c>
      <c r="O81" s="63" t="str">
        <f>IF(OR('Price History'!O82="",'Price History'!O81="",'Price History'!O81=0),"",'Price History'!O82/'Price History'!O81-1)</f>
        <v/>
      </c>
      <c r="P81" s="63" t="str">
        <f>IF(OR('Price History'!P82="",'Price History'!P81="",'Price History'!P81=0),"",'Price History'!P82/'Price History'!P81-1)</f>
        <v/>
      </c>
      <c r="Q81" s="63" t="str">
        <f>IF(OR('Price History'!Q82="",'Price History'!Q81="",'Price History'!Q81=0),"",'Price History'!Q82/'Price History'!Q81-1)</f>
        <v/>
      </c>
    </row>
    <row r="82" spans="1:17" ht="15" customHeight="1" x14ac:dyDescent="0.2">
      <c r="A82" s="49">
        <f>'Price History'!A83</f>
        <v>45709</v>
      </c>
      <c r="B82" s="63">
        <f>IF(OR('Price History'!B83="",'Price History'!B82="",'Price History'!B82=0),"",'Price History'!B83/'Price History'!B82-1)</f>
        <v>-3.4422809457580028E-2</v>
      </c>
      <c r="C82" s="63">
        <f>IF(OR('Price History'!C83="",'Price History'!C82="",'Price History'!C82=0),"",'Price History'!C83/'Price History'!C82-1)</f>
        <v>-8.0190886123327476E-2</v>
      </c>
      <c r="D82" s="63">
        <f>IF(OR('Price History'!D83="",'Price History'!D82="",'Price History'!D82=0),"",'Price History'!D83/'Price History'!D82-1)</f>
        <v>-1.9080566828554191E-2</v>
      </c>
      <c r="E82" s="63">
        <f>IF(OR('Price History'!E83="",'Price History'!E82="",'Price History'!E82=0),"",'Price History'!E83/'Price History'!E82-1)</f>
        <v>-6.1706144867833879E-2</v>
      </c>
      <c r="F82" s="63">
        <f>IF(OR('Price History'!F83="",'Price History'!F82="",'Price History'!F82=0),"",'Price History'!F83/'Price History'!F82-1)</f>
        <v>-9.9787497786435253E-2</v>
      </c>
      <c r="G82" s="63">
        <f>IF(OR('Price History'!G83="",'Price History'!G82="",'Price History'!G82=0),"",'Price History'!G83/'Price History'!G82-1)</f>
        <v>4.7955241774346735E-3</v>
      </c>
      <c r="H82" s="63">
        <f>IF(OR('Price History'!H83="",'Price History'!H82="",'Price History'!H82=0),"",'Price History'!H83/'Price History'!H82-1)</f>
        <v>-6.8327974276526371E-3</v>
      </c>
      <c r="I82" s="63">
        <f>IF(OR('Price History'!I83="",'Price History'!I82="",'Price History'!I82=0),"",'Price History'!I83/'Price History'!I82-1)</f>
        <v>-3.1832913215700254E-2</v>
      </c>
      <c r="J82" s="63">
        <f>IF(OR('Price History'!J83="",'Price History'!J82="",'Price History'!J82=0),"",'Price History'!J83/'Price History'!J82-1)</f>
        <v>9.9296648738111948E-4</v>
      </c>
      <c r="K82" s="63">
        <f>IF(OR('Price History'!K83="",'Price History'!K82="",'Price History'!K82=0),"",'Price History'!K83/'Price History'!K82-1)</f>
        <v>-0.14946290701577714</v>
      </c>
      <c r="L82" s="63">
        <f>IF(OR('Price History'!L83="",'Price History'!L82="",'Price History'!L82=0),"",'Price History'!L83/'Price History'!L82-1)</f>
        <v>-2.7758705247670434E-2</v>
      </c>
      <c r="M82" s="63">
        <f>IF(OR('Price History'!M83="",'Price History'!M82="",'Price History'!M82=0),"",'Price History'!M83/'Price History'!M82-1)</f>
        <v>-0.1116149930587691</v>
      </c>
      <c r="N82" s="63">
        <f>IF(OR('Price History'!N83="",'Price History'!N82="",'Price History'!N82=0),"",'Price History'!N83/'Price History'!N82-1)</f>
        <v>5.4989106753812633E-2</v>
      </c>
      <c r="O82" s="63" t="str">
        <f>IF(OR('Price History'!O83="",'Price History'!O82="",'Price History'!O82=0),"",'Price History'!O83/'Price History'!O82-1)</f>
        <v/>
      </c>
      <c r="P82" s="63" t="str">
        <f>IF(OR('Price History'!P83="",'Price History'!P82="",'Price History'!P82=0),"",'Price History'!P83/'Price History'!P82-1)</f>
        <v/>
      </c>
      <c r="Q82" s="63" t="str">
        <f>IF(OR('Price History'!Q83="",'Price History'!Q82="",'Price History'!Q82=0),"",'Price History'!Q83/'Price History'!Q82-1)</f>
        <v/>
      </c>
    </row>
    <row r="83" spans="1:17" ht="15" customHeight="1" x14ac:dyDescent="0.2">
      <c r="A83" s="49">
        <f>'Price History'!A84</f>
        <v>45716</v>
      </c>
      <c r="B83" s="63">
        <f>IF(OR('Price History'!B84="",'Price History'!B83="",'Price History'!B83=0),"",'Price History'!B84/'Price History'!B83-1)</f>
        <v>-1.2963629816348576E-2</v>
      </c>
      <c r="C83" s="63">
        <f>IF(OR('Price History'!C84="",'Price History'!C83="",'Price History'!C83=0),"",'Price History'!C84/'Price History'!C83-1)</f>
        <v>-5.3407934893184184E-2</v>
      </c>
      <c r="D83" s="63">
        <f>IF(OR('Price History'!D84="",'Price History'!D83="",'Price History'!D83=0),"",'Price History'!D84/'Price History'!D83-1)</f>
        <v>-3.8157377138128834E-2</v>
      </c>
      <c r="E83" s="63">
        <f>IF(OR('Price History'!E84="",'Price History'!E83="",'Price History'!E83=0),"",'Price History'!E84/'Price History'!E83-1)</f>
        <v>-8.794475441324423E-2</v>
      </c>
      <c r="F83" s="63">
        <f>IF(OR('Price History'!F84="",'Price History'!F83="",'Price History'!F83=0),"",'Price History'!F84/'Price History'!F83-1)</f>
        <v>-4.1801908134159516E-2</v>
      </c>
      <c r="G83" s="63">
        <f>IF(OR('Price History'!G84="",'Price History'!G83="",'Price History'!G83=0),"",'Price History'!G84/'Price History'!G83-1)</f>
        <v>-6.0320827257059673E-2</v>
      </c>
      <c r="H83" s="63">
        <f>IF(OR('Price History'!H84="",'Price History'!H83="",'Price History'!H83=0),"",'Price History'!H84/'Price History'!H83-1)</f>
        <v>-5.2711452853095975E-2</v>
      </c>
      <c r="I83" s="63">
        <f>IF(OR('Price History'!I84="",'Price History'!I83="",'Price History'!I83=0),"",'Price History'!I84/'Price History'!I83-1)</f>
        <v>-7.0743137692479419E-2</v>
      </c>
      <c r="J83" s="63">
        <f>IF(OR('Price History'!J84="",'Price History'!J83="",'Price History'!J83=0),"",'Price History'!J84/'Price History'!J83-1)</f>
        <v>2.4386211457386064E-2</v>
      </c>
      <c r="K83" s="63">
        <f>IF(OR('Price History'!K84="",'Price History'!K83="",'Price History'!K83=0),"",'Price History'!K84/'Price History'!K83-1)</f>
        <v>-0.16211149481993092</v>
      </c>
      <c r="L83" s="63">
        <f>IF(OR('Price History'!L84="",'Price History'!L83="",'Price History'!L83=0),"",'Price History'!L84/'Price History'!L83-1)</f>
        <v>-8.9336158192090398E-2</v>
      </c>
      <c r="M83" s="63">
        <f>IF(OR('Price History'!M84="",'Price History'!M83="",'Price History'!M83=0),"",'Price History'!M84/'Price History'!M83-1)</f>
        <v>-8.5425565163037565E-3</v>
      </c>
      <c r="N83" s="63">
        <f>IF(OR('Price History'!N84="",'Price History'!N83="",'Price History'!N83=0),"",'Price History'!N84/'Price History'!N83-1)</f>
        <v>-9.1896580208160605E-3</v>
      </c>
      <c r="O83" s="63" t="str">
        <f>IF(OR('Price History'!O84="",'Price History'!O83="",'Price History'!O83=0),"",'Price History'!O84/'Price History'!O83-1)</f>
        <v/>
      </c>
      <c r="P83" s="63" t="str">
        <f>IF(OR('Price History'!P84="",'Price History'!P83="",'Price History'!P83=0),"",'Price History'!P84/'Price History'!P83-1)</f>
        <v/>
      </c>
      <c r="Q83" s="63" t="str">
        <f>IF(OR('Price History'!Q84="",'Price History'!Q83="",'Price History'!Q83=0),"",'Price History'!Q84/'Price History'!Q83-1)</f>
        <v/>
      </c>
    </row>
    <row r="84" spans="1:17" ht="15" customHeight="1" x14ac:dyDescent="0.2">
      <c r="A84" s="49">
        <f>'Price History'!A85</f>
        <v>45723</v>
      </c>
      <c r="B84" s="63">
        <f>IF(OR('Price History'!B85="",'Price History'!B84="",'Price History'!B84=0),"",'Price History'!B85/'Price History'!B84-1)</f>
        <v>2.4717256475738747E-2</v>
      </c>
      <c r="C84" s="63">
        <f>IF(OR('Price History'!C85="",'Price History'!C84="",'Price History'!C84=0),"",'Price History'!C85/'Price History'!C84-1)</f>
        <v>-0.10413756045137024</v>
      </c>
      <c r="D84" s="63">
        <f>IF(OR('Price History'!D85="",'Price History'!D84="",'Price History'!D84=0),"",'Price History'!D85/'Price History'!D84-1)</f>
        <v>3.2633835392339439E-2</v>
      </c>
      <c r="E84" s="63">
        <f>IF(OR('Price History'!E85="",'Price History'!E84="",'Price History'!E84=0),"",'Price History'!E85/'Price History'!E84-1)</f>
        <v>-2.2413879556736682E-2</v>
      </c>
      <c r="F84" s="63">
        <f>IF(OR('Price History'!F85="",'Price History'!F84="",'Price History'!F84=0),"",'Price History'!F85/'Price History'!F84-1)</f>
        <v>-0.14411825087251084</v>
      </c>
      <c r="G84" s="63">
        <f>IF(OR('Price History'!G85="",'Price History'!G84="",'Price History'!G84=0),"",'Price History'!G85/'Price History'!G84-1)</f>
        <v>3.5270880361173429E-3</v>
      </c>
      <c r="H84" s="63">
        <f>IF(OR('Price History'!H85="",'Price History'!H84="",'Price History'!H84=0),"",'Price History'!H85/'Price History'!H84-1)</f>
        <v>-7.1558261241055909E-3</v>
      </c>
      <c r="I84" s="63">
        <f>IF(OR('Price History'!I85="",'Price History'!I84="",'Price History'!I84=0),"",'Price History'!I85/'Price History'!I84-1)</f>
        <v>-9.7902657700928652E-2</v>
      </c>
      <c r="J84" s="63">
        <f>IF(OR('Price History'!J85="",'Price History'!J84="",'Price History'!J84=0),"",'Price History'!J85/'Price History'!J84-1)</f>
        <v>-3.2359586830213116E-2</v>
      </c>
      <c r="K84" s="63">
        <f>IF(OR('Price History'!K85="",'Price History'!K84="",'Price History'!K84=0),"",'Price History'!K85/'Price History'!K84-1)</f>
        <v>-1.1775788977863577E-4</v>
      </c>
      <c r="L84" s="63">
        <f>IF(OR('Price History'!L85="",'Price History'!L84="",'Price History'!L84=0),"",'Price History'!L85/'Price History'!L84-1)</f>
        <v>-1.8999612252811215E-2</v>
      </c>
      <c r="M84" s="63">
        <f>IF(OR('Price History'!M85="",'Price History'!M84="",'Price History'!M84=0),"",'Price History'!M85/'Price History'!M84-1)</f>
        <v>-0.10644110539035401</v>
      </c>
      <c r="N84" s="63">
        <f>IF(OR('Price History'!N85="",'Price History'!N84="",'Price History'!N84=0),"",'Price History'!N85/'Price History'!N84-1)</f>
        <v>1.7716084120135811E-2</v>
      </c>
      <c r="O84" s="63" t="str">
        <f>IF(OR('Price History'!O85="",'Price History'!O84="",'Price History'!O84=0),"",'Price History'!O85/'Price History'!O84-1)</f>
        <v/>
      </c>
      <c r="P84" s="63" t="str">
        <f>IF(OR('Price History'!P85="",'Price History'!P84="",'Price History'!P84=0),"",'Price History'!P85/'Price History'!P84-1)</f>
        <v/>
      </c>
      <c r="Q84" s="63" t="str">
        <f>IF(OR('Price History'!Q85="",'Price History'!Q84="",'Price History'!Q84=0),"",'Price History'!Q85/'Price History'!Q84-1)</f>
        <v/>
      </c>
    </row>
    <row r="85" spans="1:17" ht="15" customHeight="1" x14ac:dyDescent="0.2">
      <c r="A85" s="49">
        <f>'Price History'!A86</f>
        <v>45730</v>
      </c>
      <c r="B85" s="63">
        <f>IF(OR('Price History'!B86="",'Price History'!B85="",'Price History'!B85=0),"",'Price History'!B86/'Price History'!B85-1)</f>
        <v>-0.12162883845126826</v>
      </c>
      <c r="C85" s="63">
        <f>IF(OR('Price History'!C86="",'Price History'!C85="",'Price History'!C85=0),"",'Price History'!C86/'Price History'!C85-1)</f>
        <v>1.7994241842611558E-3</v>
      </c>
      <c r="D85" s="63">
        <f>IF(OR('Price History'!D86="",'Price History'!D85="",'Price History'!D85=0),"",'Price History'!D86/'Price History'!D85-1)</f>
        <v>-2.4883231815574613E-2</v>
      </c>
      <c r="E85" s="63">
        <f>IF(OR('Price History'!E86="",'Price History'!E85="",'Price History'!E85=0),"",'Price History'!E86/'Price History'!E85-1)</f>
        <v>2.9749692244562809E-3</v>
      </c>
      <c r="F85" s="63">
        <f>IF(OR('Price History'!F86="",'Price History'!F85="",'Price History'!F85=0),"",'Price History'!F86/'Price History'!F85-1)</f>
        <v>6.0566082993523729E-2</v>
      </c>
      <c r="G85" s="63">
        <f>IF(OR('Price History'!G86="",'Price History'!G85="",'Price History'!G85=0),"",'Price History'!G86/'Price History'!G85-1)</f>
        <v>2.389990158863986E-3</v>
      </c>
      <c r="H85" s="63">
        <f>IF(OR('Price History'!H86="",'Price History'!H85="",'Price History'!H85=0),"",'Price History'!H86/'Price History'!H85-1)</f>
        <v>8.4229776247848775E-2</v>
      </c>
      <c r="I85" s="63">
        <f>IF(OR('Price History'!I86="",'Price History'!I85="",'Price History'!I85=0),"",'Price History'!I86/'Price History'!I85-1)</f>
        <v>7.9687638654716508E-2</v>
      </c>
      <c r="J85" s="63">
        <f>IF(OR('Price History'!J86="",'Price History'!J85="",'Price History'!J85=0),"",'Price History'!J86/'Price History'!J85-1)</f>
        <v>-6.6883495955299743E-2</v>
      </c>
      <c r="K85" s="63">
        <f>IF(OR('Price History'!K86="",'Price History'!K85="",'Price History'!K85=0),"",'Price History'!K86/'Price History'!K85-1)</f>
        <v>1.5663643858202736E-2</v>
      </c>
      <c r="L85" s="63">
        <f>IF(OR('Price History'!L86="",'Price History'!L85="",'Price History'!L85=0),"",'Price History'!L86/'Price History'!L85-1)</f>
        <v>-1.6996047430829941E-2</v>
      </c>
      <c r="M85" s="63">
        <f>IF(OR('Price History'!M86="",'Price History'!M85="",'Price History'!M85=0),"",'Price History'!M86/'Price History'!M85-1)</f>
        <v>2.833960489181564E-2</v>
      </c>
      <c r="N85" s="63">
        <f>IF(OR('Price History'!N86="",'Price History'!N85="",'Price History'!N85=0),"",'Price History'!N86/'Price History'!N85-1)</f>
        <v>3.3750435192201333E-2</v>
      </c>
      <c r="O85" s="63" t="str">
        <f>IF(OR('Price History'!O86="",'Price History'!O85="",'Price History'!O85=0),"",'Price History'!O86/'Price History'!O85-1)</f>
        <v/>
      </c>
      <c r="P85" s="63" t="str">
        <f>IF(OR('Price History'!P86="",'Price History'!P85="",'Price History'!P85=0),"",'Price History'!P86/'Price History'!P85-1)</f>
        <v/>
      </c>
      <c r="Q85" s="63" t="str">
        <f>IF(OR('Price History'!Q86="",'Price History'!Q85="",'Price History'!Q85=0),"",'Price History'!Q86/'Price History'!Q85-1)</f>
        <v/>
      </c>
    </row>
    <row r="86" spans="1:17" ht="15" customHeight="1" x14ac:dyDescent="0.2">
      <c r="A86" s="49">
        <f>'Price History'!A87</f>
        <v>45737</v>
      </c>
      <c r="B86" s="63">
        <f>IF(OR('Price History'!B87="",'Price History'!B86="",'Price History'!B86=0),"",'Price History'!B87/'Price History'!B86-1)</f>
        <v>-1.8949181739879473E-2</v>
      </c>
      <c r="C86" s="63">
        <f>IF(OR('Price History'!C87="",'Price History'!C86="",'Price History'!C86=0),"",'Price History'!C87/'Price History'!C86-1)</f>
        <v>-4.5503532511077527E-3</v>
      </c>
      <c r="D86" s="63">
        <f>IF(OR('Price History'!D87="",'Price History'!D86="",'Price History'!D86=0),"",'Price History'!D87/'Price History'!D86-1)</f>
        <v>3.1092436974791138E-3</v>
      </c>
      <c r="E86" s="63">
        <f>IF(OR('Price History'!E87="",'Price History'!E86="",'Price History'!E86=0),"",'Price History'!E87/'Price History'!E86-1)</f>
        <v>-1.984248747059425E-2</v>
      </c>
      <c r="F86" s="63">
        <f>IF(OR('Price History'!F87="",'Price History'!F86="",'Price History'!F86=0),"",'Price History'!F87/'Price History'!F86-1)</f>
        <v>2.4086848354630819E-2</v>
      </c>
      <c r="G86" s="63">
        <f>IF(OR('Price History'!G87="",'Price History'!G86="",'Price History'!G86=0),"",'Price History'!G87/'Price History'!G86-1)</f>
        <v>-9.1164095371667475E-3</v>
      </c>
      <c r="H86" s="63">
        <f>IF(OR('Price History'!H87="",'Price History'!H86="",'Price History'!H86=0),"",'Price History'!H87/'Price History'!H86-1)</f>
        <v>-6.0224228594106588E-2</v>
      </c>
      <c r="I86" s="63">
        <f>IF(OR('Price History'!I87="",'Price History'!I86="",'Price History'!I86=0),"",'Price History'!I87/'Price History'!I86-1)</f>
        <v>-3.2629243034437372E-2</v>
      </c>
      <c r="J86" s="63">
        <f>IF(OR('Price History'!J87="",'Price History'!J86="",'Price History'!J86=0),"",'Price History'!J87/'Price History'!J86-1)</f>
        <v>-3.1012601662346984E-2</v>
      </c>
      <c r="K86" s="63">
        <f>IF(OR('Price History'!K87="",'Price History'!K86="",'Price History'!K86=0),"",'Price History'!K87/'Price History'!K86-1)</f>
        <v>5.4730983302411884E-2</v>
      </c>
      <c r="L86" s="63">
        <f>IF(OR('Price History'!L87="",'Price History'!L86="",'Price History'!L86=0),"",'Price History'!L87/'Price History'!L86-1)</f>
        <v>1.5164570049974069E-2</v>
      </c>
      <c r="M86" s="63">
        <f>IF(OR('Price History'!M87="",'Price History'!M86="",'Price History'!M86=0),"",'Price History'!M87/'Price History'!M86-1)</f>
        <v>1.3493424814179367E-2</v>
      </c>
      <c r="N86" s="63">
        <f>IF(OR('Price History'!N87="",'Price History'!N86="",'Price History'!N86=0),"",'Price History'!N87/'Price History'!N86-1)</f>
        <v>-3.1103274758801369E-3</v>
      </c>
      <c r="O86" s="63" t="str">
        <f>IF(OR('Price History'!O87="",'Price History'!O86="",'Price History'!O86=0),"",'Price History'!O87/'Price History'!O86-1)</f>
        <v/>
      </c>
      <c r="P86" s="63" t="str">
        <f>IF(OR('Price History'!P87="",'Price History'!P86="",'Price History'!P86=0),"",'Price History'!P87/'Price History'!P86-1)</f>
        <v/>
      </c>
      <c r="Q86" s="63" t="str">
        <f>IF(OR('Price History'!Q87="",'Price History'!Q86="",'Price History'!Q86=0),"",'Price History'!Q87/'Price History'!Q86-1)</f>
        <v/>
      </c>
    </row>
    <row r="87" spans="1:17" ht="15" customHeight="1" x14ac:dyDescent="0.2">
      <c r="A87" s="49">
        <f>'Price History'!A88</f>
        <v>45744</v>
      </c>
      <c r="B87" s="63">
        <f>IF(OR('Price History'!B88="",'Price History'!B87="",'Price History'!B87=0),"",'Price History'!B88/'Price History'!B87-1)</f>
        <v>-4.0024789547075112E-3</v>
      </c>
      <c r="C87" s="63">
        <f>IF(OR('Price History'!C88="",'Price History'!C87="",'Price History'!C87=0),"",'Price History'!C88/'Price History'!C87-1)</f>
        <v>-6.2432334897149055E-2</v>
      </c>
      <c r="D87" s="63">
        <f>IF(OR('Price History'!D88="",'Price History'!D87="",'Price History'!D87=0),"",'Price History'!D88/'Price History'!D87-1)</f>
        <v>-5.8138560777414749E-2</v>
      </c>
      <c r="E87" s="63">
        <f>IF(OR('Price History'!E88="",'Price History'!E87="",'Price History'!E87=0),"",'Price History'!E88/'Price History'!E87-1)</f>
        <v>-0.11760409057706356</v>
      </c>
      <c r="F87" s="63">
        <f>IF(OR('Price History'!F88="",'Price History'!F87="",'Price History'!F87=0),"",'Price History'!F88/'Price History'!F87-1)</f>
        <v>-1.4134275618374548E-2</v>
      </c>
      <c r="G87" s="63">
        <f>IF(OR('Price History'!G88="",'Price History'!G87="",'Price History'!G87=0),"",'Price History'!G88/'Price History'!G87-1)</f>
        <v>-4.6567586694975294E-2</v>
      </c>
      <c r="H87" s="63">
        <f>IF(OR('Price History'!H88="",'Price History'!H87="",'Price History'!H87=0),"",'Price History'!H88/'Price History'!H87-1)</f>
        <v>-6.6300675675675658E-2</v>
      </c>
      <c r="I87" s="63">
        <f>IF(OR('Price History'!I88="",'Price History'!I87="",'Price History'!I87=0),"",'Price History'!I88/'Price History'!I87-1)</f>
        <v>-6.8224299065420602E-2</v>
      </c>
      <c r="J87" s="63">
        <f>IF(OR('Price History'!J88="",'Price History'!J87="",'Price History'!J87=0),"",'Price History'!J88/'Price History'!J87-1)</f>
        <v>1.8723482752259768E-2</v>
      </c>
      <c r="K87" s="63">
        <f>IF(OR('Price History'!K88="",'Price History'!K87="",'Price History'!K87=0),"",'Price History'!K88/'Price History'!K87-1)</f>
        <v>-5.6178540017590151E-2</v>
      </c>
      <c r="L87" s="63">
        <f>IF(OR('Price History'!L88="",'Price History'!L87="",'Price History'!L87=0),"",'Price History'!L88/'Price History'!L87-1)</f>
        <v>-6.4957845300741224E-2</v>
      </c>
      <c r="M87" s="63">
        <f>IF(OR('Price History'!M88="",'Price History'!M87="",'Price History'!M87=0),"",'Price History'!M88/'Price History'!M87-1)</f>
        <v>-0.16224754597765989</v>
      </c>
      <c r="N87" s="63">
        <f>IF(OR('Price History'!N88="",'Price History'!N87="",'Price History'!N87=0),"",'Price History'!N88/'Price History'!N87-1)</f>
        <v>-2.0886327503974567E-2</v>
      </c>
      <c r="O87" s="63" t="str">
        <f>IF(OR('Price History'!O88="",'Price History'!O87="",'Price History'!O87=0),"",'Price History'!O88/'Price History'!O87-1)</f>
        <v/>
      </c>
      <c r="P87" s="63" t="str">
        <f>IF(OR('Price History'!P88="",'Price History'!P87="",'Price History'!P87=0),"",'Price History'!P88/'Price History'!P87-1)</f>
        <v/>
      </c>
      <c r="Q87" s="63" t="str">
        <f>IF(OR('Price History'!Q88="",'Price History'!Q87="",'Price History'!Q87=0),"",'Price History'!Q88/'Price History'!Q87-1)</f>
        <v/>
      </c>
    </row>
    <row r="88" spans="1:17" ht="15" customHeight="1" x14ac:dyDescent="0.2">
      <c r="A88" s="49">
        <f>'Price History'!A89</f>
        <v>45751</v>
      </c>
      <c r="B88" s="63">
        <f>IF(OR('Price History'!B89="",'Price History'!B88="",'Price History'!B88=0),"",'Price History'!B89/'Price History'!B88-1)</f>
        <v>-9.4993648077571158E-2</v>
      </c>
      <c r="C88" s="63">
        <f>IF(OR('Price History'!C89="",'Price History'!C88="",'Price History'!C88=0),"",'Price History'!C89/'Price History'!C88-1)</f>
        <v>-0.17410828842699499</v>
      </c>
      <c r="D88" s="63">
        <f>IF(OR('Price History'!D89="",'Price History'!D88="",'Price History'!D88=0),"",'Price History'!D89/'Price History'!D88-1)</f>
        <v>-0.10233033887752396</v>
      </c>
      <c r="E88" s="63">
        <f>IF(OR('Price History'!E89="",'Price History'!E88="",'Price History'!E88=0),"",'Price History'!E89/'Price History'!E88-1)</f>
        <v>-0.13499290444654688</v>
      </c>
      <c r="F88" s="63">
        <f>IF(OR('Price History'!F89="",'Price History'!F88="",'Price History'!F88=0),"",'Price History'!F89/'Price History'!F88-1)</f>
        <v>-9.9350358422939156E-2</v>
      </c>
      <c r="G88" s="63">
        <f>IF(OR('Price History'!G89="",'Price History'!G88="",'Price History'!G88=0),"",'Price History'!G89/'Price History'!G88-1)</f>
        <v>-0.14415083135391926</v>
      </c>
      <c r="H88" s="63">
        <f>IF(OR('Price History'!H89="",'Price History'!H88="",'Price History'!H88=0),"",'Price History'!H89/'Price History'!H88-1)</f>
        <v>-0.26820443238353686</v>
      </c>
      <c r="I88" s="63">
        <f>IF(OR('Price History'!I89="",'Price History'!I88="",'Price History'!I88=0),"",'Price History'!I89/'Price History'!I88-1)</f>
        <v>-0.14005653323607181</v>
      </c>
      <c r="J88" s="63">
        <f>IF(OR('Price History'!J89="",'Price History'!J88="",'Price History'!J88=0),"",'Price History'!J89/'Price History'!J88-1)</f>
        <v>-0.11063829787234036</v>
      </c>
      <c r="K88" s="63">
        <f>IF(OR('Price History'!K89="",'Price History'!K88="",'Price History'!K88=0),"",'Price History'!K89/'Price History'!K88-1)</f>
        <v>-0.13791496796738489</v>
      </c>
      <c r="L88" s="63">
        <f>IF(OR('Price History'!L89="",'Price History'!L88="",'Price History'!L88=0),"",'Price History'!L89/'Price History'!L88-1)</f>
        <v>-0.11164901664145233</v>
      </c>
      <c r="M88" s="63">
        <f>IF(OR('Price History'!M89="",'Price History'!M88="",'Price History'!M88=0),"",'Price History'!M89/'Price History'!M88-1)</f>
        <v>-0.19986531986531986</v>
      </c>
      <c r="N88" s="63">
        <f>IF(OR('Price History'!N89="",'Price History'!N88="",'Price History'!N88=0),"",'Price History'!N89/'Price History'!N88-1)</f>
        <v>-3.6676206133674283E-2</v>
      </c>
      <c r="O88" s="63" t="str">
        <f>IF(OR('Price History'!O89="",'Price History'!O88="",'Price History'!O88=0),"",'Price History'!O89/'Price History'!O88-1)</f>
        <v/>
      </c>
      <c r="P88" s="63" t="str">
        <f>IF(OR('Price History'!P89="",'Price History'!P88="",'Price History'!P88=0),"",'Price History'!P89/'Price History'!P88-1)</f>
        <v/>
      </c>
      <c r="Q88" s="63" t="str">
        <f>IF(OR('Price History'!Q89="",'Price History'!Q88="",'Price History'!Q88=0),"",'Price History'!Q89/'Price History'!Q88-1)</f>
        <v/>
      </c>
    </row>
    <row r="89" spans="1:17" ht="15" customHeight="1" x14ac:dyDescent="0.2">
      <c r="A89" s="49">
        <f>'Price History'!A90</f>
        <v>45758</v>
      </c>
      <c r="B89" s="63">
        <f>IF(OR('Price History'!B90="",'Price History'!B89="",'Price History'!B89=0),"",'Price History'!B90/'Price History'!B89-1)</f>
        <v>9.7401667287364546E-3</v>
      </c>
      <c r="C89" s="63">
        <f>IF(OR('Price History'!C90="",'Price History'!C89="",'Price History'!C89=0),"",'Price History'!C90/'Price History'!C89-1)</f>
        <v>0.12894205375174761</v>
      </c>
      <c r="D89" s="63">
        <f>IF(OR('Price History'!D90="",'Price History'!D89="",'Price History'!D89=0),"",'Price History'!D90/'Price History'!D89-1)</f>
        <v>0.10446701345883902</v>
      </c>
      <c r="E89" s="63">
        <f>IF(OR('Price History'!E90="",'Price History'!E89="",'Price History'!E89=0),"",'Price History'!E90/'Price History'!E89-1)</f>
        <v>0.24369403240139453</v>
      </c>
      <c r="F89" s="63">
        <f>IF(OR('Price History'!F90="",'Price History'!F89="",'Price History'!F89=0),"",'Price History'!F90/'Price History'!F89-1)</f>
        <v>0.17497823653774414</v>
      </c>
      <c r="G89" s="63">
        <f>IF(OR('Price History'!G90="",'Price History'!G89="",'Price History'!G89=0),"",'Price History'!G90/'Price History'!G89-1)</f>
        <v>0.16253252385082395</v>
      </c>
      <c r="H89" s="63">
        <f>IF(OR('Price History'!H90="",'Price History'!H89="",'Price History'!H89=0),"",'Price History'!H90/'Price History'!H89-1)</f>
        <v>7.4629171817057971E-2</v>
      </c>
      <c r="I89" s="63">
        <f>IF(OR('Price History'!I90="",'Price History'!I89="",'Price History'!I89=0),"",'Price History'!I90/'Price History'!I89-1)</f>
        <v>0.17622733538331037</v>
      </c>
      <c r="J89" s="63">
        <f>IF(OR('Price History'!J90="",'Price History'!J89="",'Price History'!J89=0),"",'Price History'!J90/'Price History'!J89-1)</f>
        <v>-2.0360378703043858E-2</v>
      </c>
      <c r="K89" s="63">
        <f>IF(OR('Price History'!K90="",'Price History'!K89="",'Price History'!K89=0),"",'Price History'!K90/'Price History'!K89-1)</f>
        <v>0.19645993784623683</v>
      </c>
      <c r="L89" s="63">
        <f>IF(OR('Price History'!L90="",'Price History'!L89="",'Price History'!L89=0),"",'Price History'!L90/'Price History'!L89-1)</f>
        <v>7.0027247956403249E-2</v>
      </c>
      <c r="M89" s="63">
        <f>IF(OR('Price History'!M90="",'Price History'!M89="",'Price History'!M89=0),"",'Price History'!M90/'Price History'!M89-1)</f>
        <v>0.17168826796835557</v>
      </c>
      <c r="N89" s="63">
        <f>IF(OR('Price History'!N90="",'Price History'!N89="",'Price History'!N89=0),"",'Price History'!N90/'Price History'!N89-1)</f>
        <v>2.022670768193513E-2</v>
      </c>
      <c r="O89" s="63" t="str">
        <f>IF(OR('Price History'!O90="",'Price History'!O89="",'Price History'!O89=0),"",'Price History'!O90/'Price History'!O89-1)</f>
        <v/>
      </c>
      <c r="P89" s="63" t="str">
        <f>IF(OR('Price History'!P90="",'Price History'!P89="",'Price History'!P89=0),"",'Price History'!P90/'Price History'!P89-1)</f>
        <v/>
      </c>
      <c r="Q89" s="63" t="str">
        <f>IF(OR('Price History'!Q90="",'Price History'!Q89="",'Price History'!Q89=0),"",'Price History'!Q90/'Price History'!Q89-1)</f>
        <v/>
      </c>
    </row>
    <row r="90" spans="1:17" ht="15" customHeight="1" x14ac:dyDescent="0.2">
      <c r="A90" s="49">
        <f>'Price History'!A91</f>
        <v>45764</v>
      </c>
      <c r="B90" s="63">
        <f>IF(OR('Price History'!B91="",'Price History'!B90="",'Price History'!B90=0),"",'Price History'!B91/'Price History'!B90-1)</f>
        <v>-1.0412233665276549E-2</v>
      </c>
      <c r="C90" s="63">
        <f>IF(OR('Price History'!C91="",'Price History'!C90="",'Price History'!C90=0),"",'Price History'!C91/'Price History'!C90-1)</f>
        <v>-2.0228429888537236E-2</v>
      </c>
      <c r="D90" s="63">
        <f>IF(OR('Price History'!D91="",'Price History'!D90="",'Price History'!D90=0),"",'Price History'!D91/'Price History'!D90-1)</f>
        <v>-4.2837278150745339E-2</v>
      </c>
      <c r="E90" s="63">
        <f>IF(OR('Price History'!E91="",'Price History'!E90="",'Price History'!E90=0),"",'Price History'!E91/'Price History'!E90-1)</f>
        <v>-6.018467626690116E-2</v>
      </c>
      <c r="F90" s="63">
        <f>IF(OR('Price History'!F91="",'Price History'!F90="",'Price History'!F90=0),"",'Price History'!F91/'Price History'!F90-1)</f>
        <v>-6.0330228619814852E-3</v>
      </c>
      <c r="G90" s="63">
        <f>IF(OR('Price History'!G91="",'Price History'!G90="",'Price History'!G90=0),"",'Price History'!G91/'Price History'!G90-1)</f>
        <v>-5.3416890480453616E-2</v>
      </c>
      <c r="H90" s="63">
        <f>IF(OR('Price History'!H91="",'Price History'!H90="",'Price History'!H90=0),"",'Price History'!H91/'Price History'!H90-1)</f>
        <v>-1.0783608914450071E-2</v>
      </c>
      <c r="I90" s="63">
        <f>IF(OR('Price History'!I91="",'Price History'!I90="",'Price History'!I90=0),"",'Price History'!I91/'Price History'!I90-1)</f>
        <v>-8.5098710898765084E-2</v>
      </c>
      <c r="J90" s="63">
        <f>IF(OR('Price History'!J91="",'Price History'!J90="",'Price History'!J90=0),"",'Price History'!J91/'Price History'!J90-1)</f>
        <v>6.0999688246908379E-2</v>
      </c>
      <c r="K90" s="63">
        <f>IF(OR('Price History'!K91="",'Price History'!K90="",'Price History'!K90=0),"",'Price History'!K91/'Price History'!K90-1)</f>
        <v>5.9062676453980778E-2</v>
      </c>
      <c r="L90" s="63">
        <f>IF(OR('Price History'!L91="",'Price History'!L90="",'Price History'!L90=0),"",'Price History'!L91/'Price History'!L90-1)</f>
        <v>-3.3995416348357566E-2</v>
      </c>
      <c r="M90" s="63">
        <f>IF(OR('Price History'!M91="",'Price History'!M90="",'Price History'!M90=0),"",'Price History'!M91/'Price History'!M90-1)</f>
        <v>5.1716707369630743E-2</v>
      </c>
      <c r="N90" s="63">
        <f>IF(OR('Price History'!N91="",'Price History'!N90="",'Price History'!N90=0),"",'Price History'!N91/'Price History'!N90-1)</f>
        <v>1.0078063690058148E-2</v>
      </c>
      <c r="O90" s="63" t="str">
        <f>IF(OR('Price History'!O91="",'Price History'!O90="",'Price History'!O90=0),"",'Price History'!O91/'Price History'!O90-1)</f>
        <v/>
      </c>
      <c r="P90" s="63" t="str">
        <f>IF(OR('Price History'!P91="",'Price History'!P90="",'Price History'!P90=0),"",'Price History'!P91/'Price History'!P90-1)</f>
        <v/>
      </c>
      <c r="Q90" s="63" t="str">
        <f>IF(OR('Price History'!Q91="",'Price History'!Q90="",'Price History'!Q90=0),"",'Price History'!Q91/'Price History'!Q90-1)</f>
        <v/>
      </c>
    </row>
    <row r="91" spans="1:17" ht="15" customHeight="1" x14ac:dyDescent="0.2">
      <c r="A91" s="49">
        <f>'Price History'!A92</f>
        <v>45772</v>
      </c>
      <c r="B91" s="63">
        <f>IF(OR('Price History'!B92="",'Price History'!B91="",'Price History'!B91=0),"",'Price History'!B92/'Price History'!B91-1)</f>
        <v>5.4243119266055073E-2</v>
      </c>
      <c r="C91" s="63">
        <f>IF(OR('Price History'!C92="",'Price History'!C91="",'Price History'!C91=0),"",'Price History'!C92/'Price History'!C91-1)</f>
        <v>9.4241573033707837E-2</v>
      </c>
      <c r="D91" s="63">
        <f>IF(OR('Price History'!D92="",'Price History'!D91="",'Price History'!D91=0),"",'Price History'!D92/'Price History'!D91-1)</f>
        <v>5.7969882529367744E-2</v>
      </c>
      <c r="E91" s="63">
        <f>IF(OR('Price History'!E92="",'Price History'!E91="",'Price History'!E91=0),"",'Price History'!E92/'Price History'!E91-1)</f>
        <v>0.12468565413182042</v>
      </c>
      <c r="F91" s="63">
        <f>IF(OR('Price History'!F92="",'Price History'!F91="",'Price History'!F91=0),"",'Price History'!F92/'Price History'!F91-1)</f>
        <v>0.13108295176232576</v>
      </c>
      <c r="G91" s="63">
        <f>IF(OR('Price History'!G92="",'Price History'!G91="",'Price History'!G91=0),"",'Price History'!G92/'Price History'!G91-1)</f>
        <v>9.4892812105926705E-2</v>
      </c>
      <c r="H91" s="63">
        <f>IF(OR('Price History'!H92="",'Price History'!H91="",'Price History'!H91=0),"",'Price History'!H92/'Price History'!H91-1)</f>
        <v>0.15959302325581404</v>
      </c>
      <c r="I91" s="63">
        <f>IF(OR('Price History'!I92="",'Price History'!I91="",'Price History'!I91=0),"",'Price History'!I92/'Price History'!I91-1)</f>
        <v>9.3802345058626502E-2</v>
      </c>
      <c r="J91" s="63">
        <f>IF(OR('Price History'!J92="",'Price History'!J91="",'Price History'!J91=0),"",'Price History'!J92/'Price History'!J91-1)</f>
        <v>1.3712047012732764E-3</v>
      </c>
      <c r="K91" s="63">
        <f>IF(OR('Price History'!K92="",'Price History'!K91="",'Price History'!K91=0),"",'Price History'!K92/'Price History'!K91-1)</f>
        <v>0.20260183407976107</v>
      </c>
      <c r="L91" s="63">
        <f>IF(OR('Price History'!L92="",'Price History'!L91="",'Price History'!L91=0),"",'Price History'!L92/'Price History'!L91-1)</f>
        <v>8.804534071437975E-2</v>
      </c>
      <c r="M91" s="63">
        <f>IF(OR('Price History'!M92="",'Price History'!M91="",'Price History'!M91=0),"",'Price History'!M92/'Price History'!M91-1)</f>
        <v>0.18767927878705115</v>
      </c>
      <c r="N91" s="63">
        <f>IF(OR('Price History'!N92="",'Price History'!N91="",'Price History'!N91=0),"",'Price History'!N92/'Price History'!N91-1)</f>
        <v>9.6912696790021347E-3</v>
      </c>
      <c r="O91" s="63" t="str">
        <f>IF(OR('Price History'!O92="",'Price History'!O91="",'Price History'!O91=0),"",'Price History'!O92/'Price History'!O91-1)</f>
        <v/>
      </c>
      <c r="P91" s="63" t="str">
        <f>IF(OR('Price History'!P92="",'Price History'!P91="",'Price History'!P91=0),"",'Price History'!P92/'Price History'!P91-1)</f>
        <v/>
      </c>
      <c r="Q91" s="63" t="str">
        <f>IF(OR('Price History'!Q92="",'Price History'!Q91="",'Price History'!Q91=0),"",'Price History'!Q92/'Price History'!Q91-1)</f>
        <v/>
      </c>
    </row>
    <row r="92" spans="1:17" ht="15" customHeight="1" x14ac:dyDescent="0.2">
      <c r="A92" s="49">
        <f>'Price History'!A93</f>
        <v>45779</v>
      </c>
      <c r="B92" s="63">
        <f>IF(OR('Price History'!B93="",'Price History'!B92="",'Price History'!B92=0),"",'Price History'!B93/'Price History'!B92-1)</f>
        <v>3.5760905036440693E-2</v>
      </c>
      <c r="C92" s="63">
        <f>IF(OR('Price History'!C93="",'Price History'!C92="",'Price History'!C92=0),"",'Price History'!C93/'Price History'!C92-1)</f>
        <v>0.16827108201771268</v>
      </c>
      <c r="D92" s="63">
        <f>IF(OR('Price History'!D93="",'Price History'!D92="",'Price History'!D92=0),"",'Price History'!D93/'Price History'!D92-1)</f>
        <v>1.9283299127379028E-2</v>
      </c>
      <c r="E92" s="63">
        <f>IF(OR('Price History'!E93="",'Price History'!E92="",'Price History'!E92=0),"",'Price History'!E93/'Price History'!E92-1)</f>
        <v>5.8915293016483794E-2</v>
      </c>
      <c r="F92" s="63">
        <f>IF(OR('Price History'!F93="",'Price History'!F92="",'Price History'!F92=0),"",'Price History'!F93/'Price History'!F92-1)</f>
        <v>3.699868198079459E-2</v>
      </c>
      <c r="G92" s="63">
        <f>IF(OR('Price History'!G93="",'Price History'!G92="",'Price History'!G92=0),"",'Price History'!G93/'Price History'!G92-1)</f>
        <v>5.1828390440540328E-3</v>
      </c>
      <c r="H92" s="63">
        <f>IF(OR('Price History'!H93="",'Price History'!H92="",'Price History'!H92=0),"",'Price History'!H93/'Price History'!H92-1)</f>
        <v>1.1782401604412129E-2</v>
      </c>
      <c r="I92" s="63">
        <f>IF(OR('Price History'!I93="",'Price History'!I92="",'Price History'!I92=0),"",'Price History'!I93/'Price History'!I92-1)</f>
        <v>3.1438609134312179E-2</v>
      </c>
      <c r="J92" s="63">
        <f>IF(OR('Price History'!J93="",'Price History'!J92="",'Price History'!J92=0),"",'Price History'!J93/'Price History'!J92-1)</f>
        <v>3.1005477308294171E-2</v>
      </c>
      <c r="K92" s="63">
        <f>IF(OR('Price History'!K93="",'Price History'!K92="",'Price History'!K92=0),"",'Price History'!K93/'Price History'!K92-1)</f>
        <v>0.10196843411952483</v>
      </c>
      <c r="L92" s="63">
        <f>IF(OR('Price History'!L93="",'Price History'!L92="",'Price History'!L92=0),"",'Price History'!L93/'Price History'!L92-1)</f>
        <v>8.5887341005451256E-2</v>
      </c>
      <c r="M92" s="63">
        <f>IF(OR('Price History'!M93="",'Price History'!M92="",'Price History'!M92=0),"",'Price History'!M93/'Price History'!M92-1)</f>
        <v>9.2581943645773324E-2</v>
      </c>
      <c r="N92" s="63">
        <f>IF(OR('Price History'!N93="",'Price History'!N92="",'Price History'!N92=0),"",'Price History'!N93/'Price History'!N92-1)</f>
        <v>1.4802365138506302E-2</v>
      </c>
      <c r="O92" s="63" t="str">
        <f>IF(OR('Price History'!O93="",'Price History'!O92="",'Price History'!O92=0),"",'Price History'!O93/'Price History'!O92-1)</f>
        <v/>
      </c>
      <c r="P92" s="63" t="str">
        <f>IF(OR('Price History'!P93="",'Price History'!P92="",'Price History'!P92=0),"",'Price History'!P93/'Price History'!P92-1)</f>
        <v/>
      </c>
      <c r="Q92" s="63" t="str">
        <f>IF(OR('Price History'!Q93="",'Price History'!Q92="",'Price History'!Q92=0),"",'Price History'!Q93/'Price History'!Q92-1)</f>
        <v/>
      </c>
    </row>
    <row r="93" spans="1:17" ht="15" customHeight="1" x14ac:dyDescent="0.2">
      <c r="A93" s="49">
        <f>'Price History'!A94</f>
        <v>45786</v>
      </c>
      <c r="B93" s="63">
        <f>IF(OR('Price History'!B94="",'Price History'!B93="",'Price History'!B93=0),"",'Price History'!B94/'Price History'!B93-1)</f>
        <v>6.3276183474676451E-3</v>
      </c>
      <c r="C93" s="63">
        <f>IF(OR('Price History'!C94="",'Price History'!C93="",'Price History'!C93=0),"",'Price History'!C94/'Price History'!C93-1)</f>
        <v>-4.9439683586025018E-2</v>
      </c>
      <c r="D93" s="63">
        <f>IF(OR('Price History'!D94="",'Price History'!D93="",'Price History'!D93=0),"",'Price History'!D94/'Price History'!D93-1)</f>
        <v>2.3003491083974259E-2</v>
      </c>
      <c r="E93" s="63">
        <f>IF(OR('Price History'!E94="",'Price History'!E93="",'Price History'!E93=0),"",'Price History'!E94/'Price History'!E93-1)</f>
        <v>2.2392457277548683E-2</v>
      </c>
      <c r="F93" s="63">
        <f>IF(OR('Price History'!F94="",'Price History'!F93="",'Price History'!F93=0),"",'Price History'!F94/'Price History'!F93-1)</f>
        <v>-6.8179754879709509E-2</v>
      </c>
      <c r="G93" s="63">
        <f>IF(OR('Price History'!G94="",'Price History'!G93="",'Price History'!G93=0),"",'Price History'!G94/'Price History'!G93-1)</f>
        <v>4.2967631051276101E-3</v>
      </c>
      <c r="H93" s="63">
        <f>IF(OR('Price History'!H94="",'Price History'!H93="",'Price History'!H93=0),"",'Price History'!H94/'Price History'!H93-1)</f>
        <v>6.3676907829534279E-2</v>
      </c>
      <c r="I93" s="63">
        <f>IF(OR('Price History'!I94="",'Price History'!I93="",'Price History'!I93=0),"",'Price History'!I94/'Price History'!I93-1)</f>
        <v>1.8777292576419358E-2</v>
      </c>
      <c r="J93" s="63">
        <f>IF(OR('Price History'!J94="",'Price History'!J93="",'Price History'!J93=0),"",'Price History'!J94/'Price History'!J93-1)</f>
        <v>1.4230148942225629E-2</v>
      </c>
      <c r="K93" s="63">
        <f>IF(OR('Price History'!K94="",'Price History'!K93="",'Price History'!K93=0),"",'Price History'!K94/'Price History'!K93-1)</f>
        <v>-5.6163501770196356E-2</v>
      </c>
      <c r="L93" s="63">
        <f>IF(OR('Price History'!L94="",'Price History'!L93="",'Price History'!L93=0),"",'Price History'!L94/'Price History'!L93-1)</f>
        <v>-1.53949129852744E-2</v>
      </c>
      <c r="M93" s="63">
        <f>IF(OR('Price History'!M94="",'Price History'!M93="",'Price History'!M93=0),"",'Price History'!M94/'Price History'!M93-1)</f>
        <v>-9.8947368421052895E-3</v>
      </c>
      <c r="N93" s="63">
        <f>IF(OR('Price History'!N94="",'Price History'!N93="",'Price History'!N93=0),"",'Price History'!N94/'Price History'!N93-1)</f>
        <v>-0.15197046792377522</v>
      </c>
      <c r="O93" s="63" t="str">
        <f>IF(OR('Price History'!O94="",'Price History'!O93="",'Price History'!O93=0),"",'Price History'!O94/'Price History'!O93-1)</f>
        <v/>
      </c>
      <c r="P93" s="63" t="str">
        <f>IF(OR('Price History'!P94="",'Price History'!P93="",'Price History'!P93=0),"",'Price History'!P94/'Price History'!P93-1)</f>
        <v/>
      </c>
      <c r="Q93" s="63" t="str">
        <f>IF(OR('Price History'!Q94="",'Price History'!Q93="",'Price History'!Q93=0),"",'Price History'!Q94/'Price History'!Q93-1)</f>
        <v/>
      </c>
    </row>
    <row r="94" spans="1:17" ht="15" customHeight="1" x14ac:dyDescent="0.2">
      <c r="A94" s="49">
        <f>'Price History'!A95</f>
        <v>45793</v>
      </c>
      <c r="B94" s="63">
        <f>IF(OR('Price History'!B95="",'Price History'!B94="",'Price History'!B94=0),"",'Price History'!B95/'Price History'!B94-1)</f>
        <v>8.8316635357962969E-2</v>
      </c>
      <c r="C94" s="63">
        <f>IF(OR('Price History'!C95="",'Price History'!C94="",'Price History'!C94=0),"",'Price History'!C95/'Price History'!C94-1)</f>
        <v>0.11442441054091557</v>
      </c>
      <c r="D94" s="63">
        <f>IF(OR('Price History'!D95="",'Price History'!D94="",'Price History'!D94=0),"",'Price History'!D95/'Price History'!D94-1)</f>
        <v>5.9316633862448898E-2</v>
      </c>
      <c r="E94" s="63">
        <f>IF(OR('Price History'!E95="",'Price History'!E94="",'Price History'!E94=0),"",'Price History'!E95/'Price History'!E94-1)</f>
        <v>9.8030739673391043E-2</v>
      </c>
      <c r="F94" s="63">
        <f>IF(OR('Price History'!F95="",'Price History'!F94="",'Price History'!F94=0),"",'Price History'!F95/'Price History'!F94-1)</f>
        <v>6.9953234606391135E-2</v>
      </c>
      <c r="G94" s="63">
        <f>IF(OR('Price History'!G95="",'Price History'!G94="",'Price History'!G94=0),"",'Price History'!G95/'Price History'!G94-1)</f>
        <v>0.1283513976041073</v>
      </c>
      <c r="H94" s="63">
        <f>IF(OR('Price History'!H95="",'Price History'!H94="",'Price History'!H94=0),"",'Price History'!H95/'Price History'!H94-1)</f>
        <v>0.14139296529233647</v>
      </c>
      <c r="I94" s="63">
        <f>IF(OR('Price History'!I95="",'Price History'!I94="",'Price History'!I94=0),"",'Price History'!I95/'Price History'!I94-1)</f>
        <v>0.16073724817831114</v>
      </c>
      <c r="J94" s="63">
        <f>IF(OR('Price History'!J95="",'Price History'!J94="",'Price History'!J94=0),"",'Price History'!J95/'Price History'!J94-1)</f>
        <v>3.4047329529510728E-2</v>
      </c>
      <c r="K94" s="63">
        <f>IF(OR('Price History'!K95="",'Price History'!K94="",'Price History'!K94=0),"",'Price History'!K95/'Price History'!K94-1)</f>
        <v>0.10417732310315442</v>
      </c>
      <c r="L94" s="63">
        <f>IF(OR('Price History'!L95="",'Price History'!L94="",'Price History'!L94=0),"",'Price History'!L95/'Price History'!L94-1)</f>
        <v>0.10027192386131878</v>
      </c>
      <c r="M94" s="63">
        <f>IF(OR('Price History'!M95="",'Price History'!M94="",'Price History'!M94=0),"",'Price History'!M95/'Price History'!M94-1)</f>
        <v>0.12736551137571772</v>
      </c>
      <c r="N94" s="63">
        <f>IF(OR('Price History'!N95="",'Price History'!N94="",'Price History'!N94=0),"",'Price History'!N95/'Price History'!N94-1)</f>
        <v>3.2141932751358793E-2</v>
      </c>
      <c r="O94" s="63" t="str">
        <f>IF(OR('Price History'!O95="",'Price History'!O94="",'Price History'!O94=0),"",'Price History'!O95/'Price History'!O94-1)</f>
        <v/>
      </c>
      <c r="P94" s="63" t="str">
        <f>IF(OR('Price History'!P95="",'Price History'!P94="",'Price History'!P94=0),"",'Price History'!P95/'Price History'!P94-1)</f>
        <v/>
      </c>
      <c r="Q94" s="63" t="str">
        <f>IF(OR('Price History'!Q95="",'Price History'!Q94="",'Price History'!Q94=0),"",'Price History'!Q95/'Price History'!Q94-1)</f>
        <v/>
      </c>
    </row>
    <row r="95" spans="1:17" ht="15" customHeight="1" x14ac:dyDescent="0.2">
      <c r="A95" s="49">
        <f>'Price History'!A96</f>
        <v>45800</v>
      </c>
      <c r="B95" s="63">
        <f>IF(OR('Price History'!B96="",'Price History'!B95="",'Price History'!B95=0),"",'Price History'!B96/'Price History'!B95-1)</f>
        <v>-2.2630834512022635E-2</v>
      </c>
      <c r="C95" s="63">
        <f>IF(OR('Price History'!C96="",'Price History'!C95="",'Price History'!C95=0),"",'Price History'!C96/'Price History'!C95-1)</f>
        <v>-5.4138145612943389E-2</v>
      </c>
      <c r="D95" s="63">
        <f>IF(OR('Price History'!D96="",'Price History'!D95="",'Price History'!D95=0),"",'Price History'!D96/'Price History'!D95-1)</f>
        <v>-2.0866194359042911E-2</v>
      </c>
      <c r="E95" s="63">
        <f>IF(OR('Price History'!E96="",'Price History'!E95="",'Price History'!E95=0),"",'Price History'!E96/'Price History'!E95-1)</f>
        <v>4.8116880276438678E-4</v>
      </c>
      <c r="F95" s="63">
        <f>IF(OR('Price History'!F96="",'Price History'!F95="",'Price History'!F95=0),"",'Price History'!F96/'Price History'!F95-1)</f>
        <v>3.7151702786377916E-2</v>
      </c>
      <c r="G95" s="63">
        <f>IF(OR('Price History'!G96="",'Price History'!G95="",'Price History'!G95=0),"",'Price History'!G96/'Price History'!G95-1)</f>
        <v>-4.2972699696663397E-2</v>
      </c>
      <c r="H95" s="63">
        <f>IF(OR('Price History'!H96="",'Price History'!H95="",'Price History'!H95=0),"",'Price History'!H96/'Price History'!H95-1)</f>
        <v>-4.7244897959183629E-2</v>
      </c>
      <c r="I95" s="63">
        <f>IF(OR('Price History'!I96="",'Price History'!I95="",'Price History'!I95=0),"",'Price History'!I96/'Price History'!I95-1)</f>
        <v>-3.0354505169867152E-2</v>
      </c>
      <c r="J95" s="63">
        <f>IF(OR('Price History'!J96="",'Price History'!J95="",'Price History'!J95=0),"",'Price History'!J96/'Price History'!J95-1)</f>
        <v>-5.8887381275440909E-2</v>
      </c>
      <c r="K95" s="63">
        <f>IF(OR('Price History'!K96="",'Price History'!K95="",'Price History'!K95=0),"",'Price History'!K96/'Price History'!K95-1)</f>
        <v>-4.7946263125386079E-2</v>
      </c>
      <c r="L95" s="63">
        <f>IF(OR('Price History'!L96="",'Price History'!L95="",'Price History'!L95=0),"",'Price History'!L96/'Price History'!L95-1)</f>
        <v>-1.1533312738132073E-2</v>
      </c>
      <c r="M95" s="63">
        <f>IF(OR('Price History'!M96="",'Price History'!M95="",'Price History'!M95=0),"",'Price History'!M96/'Price History'!M95-1)</f>
        <v>-1.791776688042257E-2</v>
      </c>
      <c r="N95" s="63">
        <f>IF(OR('Price History'!N96="",'Price History'!N95="",'Price History'!N95=0),"",'Price History'!N96/'Price History'!N95-1)</f>
        <v>-6.041262965918115E-3</v>
      </c>
      <c r="O95" s="63" t="str">
        <f>IF(OR('Price History'!O96="",'Price History'!O95="",'Price History'!O95=0),"",'Price History'!O96/'Price History'!O95-1)</f>
        <v/>
      </c>
      <c r="P95" s="63" t="str">
        <f>IF(OR('Price History'!P96="",'Price History'!P95="",'Price History'!P95=0),"",'Price History'!P96/'Price History'!P95-1)</f>
        <v/>
      </c>
      <c r="Q95" s="63" t="str">
        <f>IF(OR('Price History'!Q96="",'Price History'!Q95="",'Price History'!Q95=0),"",'Price History'!Q96/'Price History'!Q95-1)</f>
        <v/>
      </c>
    </row>
    <row r="96" spans="1:17" ht="15" customHeight="1" x14ac:dyDescent="0.2">
      <c r="A96" s="49">
        <f>'Price History'!A97</f>
        <v>45807</v>
      </c>
      <c r="B96" s="63">
        <f>IF(OR('Price History'!B97="",'Price History'!B96="",'Price History'!B96=0),"",'Price History'!B97/'Price History'!B96-1)</f>
        <v>1.8151046137997007E-2</v>
      </c>
      <c r="C96" s="63">
        <f>IF(OR('Price History'!C97="",'Price History'!C96="",'Price History'!C96=0),"",'Price History'!C97/'Price History'!C96-1)</f>
        <v>-5.0000000000000044E-2</v>
      </c>
      <c r="D96" s="63">
        <f>IF(OR('Price History'!D97="",'Price History'!D96="",'Price History'!D96=0),"",'Price History'!D97/'Price History'!D96-1)</f>
        <v>5.8430831820228679E-3</v>
      </c>
      <c r="E96" s="63">
        <f>IF(OR('Price History'!E97="",'Price History'!E96="",'Price History'!E96=0),"",'Price History'!E97/'Price History'!E96-1)</f>
        <v>5.8368310598111206E-2</v>
      </c>
      <c r="F96" s="63">
        <f>IF(OR('Price History'!F97="",'Price History'!F96="",'Price History'!F96=0),"",'Price History'!F97/'Price History'!F96-1)</f>
        <v>3.4591747146619722E-2</v>
      </c>
      <c r="G96" s="63">
        <f>IF(OR('Price History'!G97="",'Price History'!G96="",'Price History'!G96=0),"",'Price History'!G97/'Price History'!G96-1)</f>
        <v>-3.961965134706702E-4</v>
      </c>
      <c r="H96" s="63">
        <f>IF(OR('Price History'!H97="",'Price History'!H96="",'Price History'!H96=0),"",'Price History'!H97/'Price History'!H96-1)</f>
        <v>1.1673985220091998E-2</v>
      </c>
      <c r="I96" s="63">
        <f>IF(OR('Price History'!I97="",'Price History'!I96="",'Price History'!I96=0),"",'Price History'!I97/'Price History'!I96-1)</f>
        <v>2.924822911112801E-2</v>
      </c>
      <c r="J96" s="63">
        <f>IF(OR('Price History'!J97="",'Price History'!J96="",'Price History'!J96=0),"",'Price History'!J97/'Price History'!J96-1)</f>
        <v>4.3829296424451991E-2</v>
      </c>
      <c r="K96" s="63">
        <f>IF(OR('Price History'!K97="",'Price History'!K96="",'Price History'!K96=0),"",'Price History'!K97/'Price History'!K96-1)</f>
        <v>6.8688670829616383E-2</v>
      </c>
      <c r="L96" s="63">
        <f>IF(OR('Price History'!L97="",'Price History'!L96="",'Price History'!L96=0),"",'Price History'!L97/'Price History'!L96-1)</f>
        <v>6.9798937389311533E-3</v>
      </c>
      <c r="M96" s="63">
        <f>IF(OR('Price History'!M97="",'Price History'!M96="",'Price History'!M96=0),"",'Price History'!M97/'Price History'!M96-1)</f>
        <v>3.6393316689072419E-2</v>
      </c>
      <c r="N96" s="63">
        <f>IF(OR('Price History'!N97="",'Price History'!N96="",'Price History'!N96=0),"",'Price History'!N97/'Price History'!N96-1)</f>
        <v>1.3876146788990962E-2</v>
      </c>
      <c r="O96" s="63" t="str">
        <f>IF(OR('Price History'!O97="",'Price History'!O96="",'Price History'!O96=0),"",'Price History'!O97/'Price History'!O96-1)</f>
        <v/>
      </c>
      <c r="P96" s="63" t="str">
        <f>IF(OR('Price History'!P97="",'Price History'!P96="",'Price History'!P96=0),"",'Price History'!P97/'Price History'!P96-1)</f>
        <v/>
      </c>
      <c r="Q96" s="63" t="str">
        <f>IF(OR('Price History'!Q97="",'Price History'!Q96="",'Price History'!Q96=0),"",'Price History'!Q97/'Price History'!Q96-1)</f>
        <v/>
      </c>
    </row>
    <row r="97" spans="1:17" ht="15" customHeight="1" x14ac:dyDescent="0.2">
      <c r="A97" s="49">
        <f>'Price History'!A98</f>
        <v>45814</v>
      </c>
      <c r="B97" s="63">
        <f>IF(OR('Price History'!B98="",'Price History'!B97="",'Price History'!B97=0),"",'Price History'!B98/'Price History'!B97-1)</f>
        <v>4.4086824544076197E-3</v>
      </c>
      <c r="C97" s="63">
        <f>IF(OR('Price History'!C98="",'Price History'!C97="",'Price History'!C97=0),"",'Price History'!C98/'Price History'!C97-1)</f>
        <v>0.12246075715604809</v>
      </c>
      <c r="D97" s="63">
        <f>IF(OR('Price History'!D98="",'Price History'!D97="",'Price History'!D97=0),"",'Price History'!D98/'Price History'!D97-1)</f>
        <v>2.2055729739267393E-2</v>
      </c>
      <c r="E97" s="63">
        <f>IF(OR('Price History'!E98="",'Price History'!E97="",'Price History'!E97=0),"",'Price History'!E98/'Price History'!E97-1)</f>
        <v>2.0076837278473203E-2</v>
      </c>
      <c r="F97" s="63">
        <f>IF(OR('Price History'!F98="",'Price History'!F97="",'Price History'!F97=0),"",'Price History'!F98/'Price History'!F97-1)</f>
        <v>-6.2797012898846427E-3</v>
      </c>
      <c r="G97" s="63">
        <f>IF(OR('Price History'!G98="",'Price History'!G97="",'Price History'!G97=0),"",'Price History'!G98/'Price History'!G97-1)</f>
        <v>6.7512220901043696E-2</v>
      </c>
      <c r="H97" s="63">
        <f>IF(OR('Price History'!H98="",'Price History'!H97="",'Price History'!H97=0),"",'Price History'!H98/'Price History'!H97-1)</f>
        <v>0.14926953207706983</v>
      </c>
      <c r="I97" s="63">
        <f>IF(OR('Price History'!I98="",'Price History'!I97="",'Price History'!I97=0),"",'Price History'!I98/'Price History'!I97-1)</f>
        <v>4.8767853178420806E-2</v>
      </c>
      <c r="J97" s="63">
        <f>IF(OR('Price History'!J98="",'Price History'!J97="",'Price History'!J97=0),"",'Price History'!J98/'Price History'!J97-1)</f>
        <v>1.7495395948434744E-3</v>
      </c>
      <c r="K97" s="63">
        <f>IF(OR('Price History'!K98="",'Price History'!K97="",'Price History'!K97=0),"",'Price History'!K98/'Price History'!K97-1)</f>
        <v>-3.0808923964182777E-2</v>
      </c>
      <c r="L97" s="63">
        <f>IF(OR('Price History'!L98="",'Price History'!L97="",'Price History'!L97=0),"",'Price History'!L98/'Price History'!L97-1)</f>
        <v>6.1349058555762559E-2</v>
      </c>
      <c r="M97" s="63">
        <f>IF(OR('Price History'!M98="",'Price History'!M97="",'Price History'!M97=0),"",'Price History'!M98/'Price History'!M97-1)</f>
        <v>6.8840915408134862E-2</v>
      </c>
      <c r="N97" s="63">
        <f>IF(OR('Price History'!N98="",'Price History'!N97="",'Price History'!N97=0),"",'Price History'!N98/'Price History'!N97-1)</f>
        <v>1.9115484673679406E-2</v>
      </c>
      <c r="O97" s="63" t="str">
        <f>IF(OR('Price History'!O98="",'Price History'!O97="",'Price History'!O97=0),"",'Price History'!O98/'Price History'!O97-1)</f>
        <v/>
      </c>
      <c r="P97" s="63" t="str">
        <f>IF(OR('Price History'!P98="",'Price History'!P97="",'Price History'!P97=0),"",'Price History'!P98/'Price History'!P97-1)</f>
        <v/>
      </c>
      <c r="Q97" s="63" t="str">
        <f>IF(OR('Price History'!Q98="",'Price History'!Q97="",'Price History'!Q97=0),"",'Price History'!Q98/'Price History'!Q97-1)</f>
        <v/>
      </c>
    </row>
    <row r="98" spans="1:17" ht="15" customHeight="1" x14ac:dyDescent="0.2">
      <c r="A98" s="49">
        <f>'Price History'!A99</f>
        <v>45821</v>
      </c>
      <c r="B98" s="63">
        <f>IF(OR('Price History'!B99="",'Price History'!B98="",'Price History'!B98=0),"",'Price History'!B99/'Price History'!B98-1)</f>
        <v>-6.0539192171159995E-2</v>
      </c>
      <c r="C98" s="63">
        <f>IF(OR('Price History'!C99="",'Price History'!C98="",'Price History'!C98=0),"",'Price History'!C99/'Price History'!C98-1)</f>
        <v>-5.0385604113110549E-2</v>
      </c>
      <c r="D98" s="63">
        <f>IF(OR('Price History'!D99="",'Price History'!D98="",'Price History'!D98=0),"",'Price History'!D99/'Price History'!D98-1)</f>
        <v>1.0597328092215363E-2</v>
      </c>
      <c r="E98" s="63">
        <f>IF(OR('Price History'!E99="",'Price History'!E98="",'Price History'!E98=0),"",'Price History'!E99/'Price History'!E98-1)</f>
        <v>7.1680233264486137E-3</v>
      </c>
      <c r="F98" s="63">
        <f>IF(OR('Price History'!F99="",'Price History'!F98="",'Price History'!F98=0),"",'Price History'!F99/'Price History'!F98-1)</f>
        <v>2.6131511528608042E-2</v>
      </c>
      <c r="G98" s="63">
        <f>IF(OR('Price History'!G99="",'Price History'!G98="",'Price History'!G98=0),"",'Price History'!G99/'Price History'!G98-1)</f>
        <v>7.3886138613861396E-2</v>
      </c>
      <c r="H98" s="63">
        <f>IF(OR('Price History'!H99="",'Price History'!H98="",'Price History'!H98=0),"",'Price History'!H99/'Price History'!H98-1)</f>
        <v>6.4848931466469972E-2</v>
      </c>
      <c r="I98" s="63">
        <f>IF(OR('Price History'!I99="",'Price History'!I98="",'Price History'!I98=0),"",'Price History'!I99/'Price History'!I98-1)</f>
        <v>1.7640417725091062E-3</v>
      </c>
      <c r="J98" s="63">
        <f>IF(OR('Price History'!J99="",'Price History'!J98="",'Price History'!J98=0),"",'Price History'!J99/'Price History'!J98-1)</f>
        <v>-1.3879952201489187E-2</v>
      </c>
      <c r="K98" s="63">
        <f>IF(OR('Price History'!K99="",'Price History'!K98="",'Price History'!K98=0),"",'Price History'!K99/'Price History'!K98-1)</f>
        <v>7.5790792358283898E-2</v>
      </c>
      <c r="L98" s="63">
        <f>IF(OR('Price History'!L99="",'Price History'!L98="",'Price History'!L98=0),"",'Price History'!L99/'Price History'!L98-1)</f>
        <v>2.8852714689540759E-2</v>
      </c>
      <c r="M98" s="63">
        <f>IF(OR('Price History'!M99="",'Price History'!M98="",'Price History'!M98=0),"",'Price History'!M99/'Price History'!M98-1)</f>
        <v>-3.8054785020804394E-2</v>
      </c>
      <c r="N98" s="63">
        <f>IF(OR('Price History'!N99="",'Price History'!N98="",'Price History'!N98=0),"",'Price History'!N99/'Price History'!N98-1)</f>
        <v>1.0987791342952358E-2</v>
      </c>
      <c r="O98" s="63" t="str">
        <f>IF(OR('Price History'!O99="",'Price History'!O98="",'Price History'!O98=0),"",'Price History'!O99/'Price History'!O98-1)</f>
        <v/>
      </c>
      <c r="P98" s="63" t="str">
        <f>IF(OR('Price History'!P99="",'Price History'!P98="",'Price History'!P98=0),"",'Price History'!P99/'Price History'!P98-1)</f>
        <v/>
      </c>
      <c r="Q98" s="63" t="str">
        <f>IF(OR('Price History'!Q99="",'Price History'!Q98="",'Price History'!Q98=0),"",'Price History'!Q99/'Price History'!Q98-1)</f>
        <v/>
      </c>
    </row>
    <row r="99" spans="1:17" ht="15" customHeight="1" x14ac:dyDescent="0.2">
      <c r="A99" s="49">
        <f>'Price History'!A100</f>
        <v>45828</v>
      </c>
      <c r="B99" s="63">
        <f>IF(OR('Price History'!B100="",'Price History'!B99="",'Price History'!B99=0),"",'Price History'!B100/'Price History'!B99-1)</f>
        <v>-3.7683823529411686E-2</v>
      </c>
      <c r="C99" s="63">
        <f>IF(OR('Price History'!C100="",'Price History'!C99="",'Price History'!C99=0),"",'Price History'!C100/'Price History'!C99-1)</f>
        <v>-6.6053059014618221E-2</v>
      </c>
      <c r="D99" s="63">
        <f>IF(OR('Price History'!D100="",'Price History'!D99="",'Price History'!D99=0),"",'Price History'!D100/'Price History'!D99-1)</f>
        <v>-5.8738501971090651E-3</v>
      </c>
      <c r="E99" s="63">
        <f>IF(OR('Price History'!E100="",'Price History'!E99="",'Price History'!E99=0),"",'Price History'!E100/'Price History'!E99-1)</f>
        <v>5.1869722557298381E-3</v>
      </c>
      <c r="F99" s="63">
        <f>IF(OR('Price History'!F100="",'Price History'!F99="",'Price History'!F99=0),"",'Price History'!F100/'Price History'!F99-1)</f>
        <v>-8.9880159786950298E-3</v>
      </c>
      <c r="G99" s="63">
        <f>IF(OR('Price History'!G100="",'Price History'!G99="",'Price History'!G99=0),"",'Price History'!G100/'Price History'!G99-1)</f>
        <v>-2.0398755330183205E-2</v>
      </c>
      <c r="H99" s="63">
        <f>IF(OR('Price History'!H100="",'Price History'!H99="",'Price History'!H99=0),"",'Price History'!H100/'Price History'!H99-1)</f>
        <v>6.9204152249134898E-2</v>
      </c>
      <c r="I99" s="63">
        <f>IF(OR('Price History'!I100="",'Price History'!I99="",'Price History'!I99=0),"",'Price History'!I100/'Price History'!I99-1)</f>
        <v>1.3242234274846831E-2</v>
      </c>
      <c r="J99" s="63">
        <f>IF(OR('Price History'!J100="",'Price History'!J99="",'Price History'!J99=0),"",'Price History'!J100/'Price History'!J99-1)</f>
        <v>-1.4821029082774051E-2</v>
      </c>
      <c r="K99" s="63">
        <f>IF(OR('Price History'!K100="",'Price History'!K99="",'Price History'!K99=0),"",'Price History'!K100/'Price History'!K99-1)</f>
        <v>-7.2780203784561515E-4</v>
      </c>
      <c r="L99" s="63">
        <f>IF(OR('Price History'!L100="",'Price History'!L99="",'Price History'!L99=0),"",'Price History'!L100/'Price History'!L99-1)</f>
        <v>-7.531975367124577E-3</v>
      </c>
      <c r="M99" s="63">
        <f>IF(OR('Price History'!M100="",'Price History'!M99="",'Price History'!M99=0),"",'Price History'!M100/'Price History'!M99-1)</f>
        <v>6.8216635126610914E-2</v>
      </c>
      <c r="N99" s="63">
        <f>IF(OR('Price History'!N100="",'Price History'!N99="",'Price History'!N99=0),"",'Price History'!N100/'Price History'!N99-1)</f>
        <v>-3.2012295531891555E-2</v>
      </c>
      <c r="O99" s="63" t="str">
        <f>IF(OR('Price History'!O100="",'Price History'!O99="",'Price History'!O99=0),"",'Price History'!O100/'Price History'!O99-1)</f>
        <v/>
      </c>
      <c r="P99" s="63" t="str">
        <f>IF(OR('Price History'!P100="",'Price History'!P99="",'Price History'!P99=0),"",'Price History'!P100/'Price History'!P99-1)</f>
        <v/>
      </c>
      <c r="Q99" s="63" t="str">
        <f>IF(OR('Price History'!Q100="",'Price History'!Q99="",'Price History'!Q99=0),"",'Price History'!Q100/'Price History'!Q99-1)</f>
        <v/>
      </c>
    </row>
    <row r="100" spans="1:17" ht="15" customHeight="1" x14ac:dyDescent="0.2">
      <c r="A100" s="49">
        <f>'Price History'!A101</f>
        <v>45835</v>
      </c>
      <c r="B100" s="63">
        <f>IF(OR('Price History'!B101="",'Price History'!B100="",'Price History'!B100=0),"",'Price History'!B101/'Price History'!B100-1)</f>
        <v>2.3638968481375366E-2</v>
      </c>
      <c r="C100" s="63">
        <f>IF(OR('Price History'!C101="",'Price History'!C100="",'Price History'!C100=0),"",'Price History'!C101/'Price History'!C100-1)</f>
        <v>0.15234782608695663</v>
      </c>
      <c r="D100" s="63">
        <f>IF(OR('Price History'!D101="",'Price History'!D100="",'Price History'!D100=0),"",'Price History'!D101/'Price History'!D100-1)</f>
        <v>5.210632757458411E-2</v>
      </c>
      <c r="E100" s="63">
        <f>IF(OR('Price History'!E101="",'Price History'!E100="",'Price History'!E100=0),"",'Price History'!E101/'Price History'!E100-1)</f>
        <v>7.7443097723909116E-2</v>
      </c>
      <c r="F100" s="63">
        <f>IF(OR('Price History'!F101="",'Price History'!F100="",'Price History'!F100=0),"",'Price History'!F101/'Price History'!F100-1)</f>
        <v>4.8286865972455573E-2</v>
      </c>
      <c r="G100" s="63">
        <f>IF(OR('Price History'!G101="",'Price History'!G100="",'Price History'!G100=0),"",'Price History'!G101/'Price History'!G100-1)</f>
        <v>4.6941176470588264E-2</v>
      </c>
      <c r="H100" s="63">
        <f>IF(OR('Price History'!H101="",'Price History'!H100="",'Price History'!H100=0),"",'Price History'!H101/'Price History'!H100-1)</f>
        <v>9.3851132686084693E-3</v>
      </c>
      <c r="I100" s="63">
        <f>IF(OR('Price History'!I101="",'Price History'!I100="",'Price History'!I100=0),"",'Price History'!I101/'Price History'!I100-1)</f>
        <v>9.6628432394855857E-2</v>
      </c>
      <c r="J100" s="63">
        <f>IF(OR('Price History'!J101="",'Price History'!J100="",'Price History'!J100=0),"",'Price History'!J101/'Price History'!J100-1)</f>
        <v>-6.6231431545082931E-4</v>
      </c>
      <c r="K100" s="63">
        <f>IF(OR('Price History'!K101="",'Price History'!K100="",'Price History'!K100=0),"",'Price History'!K101/'Price History'!K100-1)</f>
        <v>-4.7778587035688269E-2</v>
      </c>
      <c r="L100" s="63">
        <f>IF(OR('Price History'!L101="",'Price History'!L100="",'Price History'!L100=0),"",'Price History'!L101/'Price History'!L100-1)</f>
        <v>9.0974177843539783E-2</v>
      </c>
      <c r="M100" s="63">
        <f>IF(OR('Price History'!M101="",'Price History'!M100="",'Price History'!M100=0),"",'Price History'!M101/'Price History'!M100-1)</f>
        <v>7.2718069849839528E-2</v>
      </c>
      <c r="N100" s="63">
        <f>IF(OR('Price History'!N101="",'Price History'!N100="",'Price History'!N100=0),"",'Price History'!N101/'Price History'!N100-1)</f>
        <v>9.7534420577494174E-4</v>
      </c>
      <c r="O100" s="63" t="str">
        <f>IF(OR('Price History'!O101="",'Price History'!O100="",'Price History'!O100=0),"",'Price History'!O101/'Price History'!O100-1)</f>
        <v/>
      </c>
      <c r="P100" s="63" t="str">
        <f>IF(OR('Price History'!P101="",'Price History'!P100="",'Price History'!P100=0),"",'Price History'!P101/'Price History'!P100-1)</f>
        <v/>
      </c>
      <c r="Q100" s="63" t="str">
        <f>IF(OR('Price History'!Q101="",'Price History'!Q100="",'Price History'!Q100=0),"",'Price History'!Q101/'Price History'!Q100-1)</f>
        <v/>
      </c>
    </row>
    <row r="101" spans="1:17" ht="15" customHeight="1" x14ac:dyDescent="0.2">
      <c r="A101" s="49">
        <f>'Price History'!A102</f>
        <v>45841</v>
      </c>
      <c r="B101" s="63">
        <f>IF(OR('Price History'!B102="",'Price History'!B101="",'Price History'!B101=0),"",'Price History'!B102/'Price History'!B101-1)</f>
        <v>-1.6898634113469591E-2</v>
      </c>
      <c r="C101" s="63">
        <f>IF(OR('Price History'!C102="",'Price History'!C101="",'Price History'!C101=0),"",'Price History'!C102/'Price History'!C101-1)</f>
        <v>3.1492101821108731E-2</v>
      </c>
      <c r="D101" s="63">
        <f>IF(OR('Price History'!D102="",'Price History'!D101="",'Price History'!D101=0),"",'Price History'!D102/'Price History'!D101-1)</f>
        <v>-1.8217224700044499E-3</v>
      </c>
      <c r="E101" s="63">
        <f>IF(OR('Price History'!E102="",'Price History'!E101="",'Price History'!E101=0),"",'Price History'!E102/'Price History'!E101-1)</f>
        <v>2.1644700204195289E-2</v>
      </c>
      <c r="F101" s="63">
        <f>IF(OR('Price History'!F102="",'Price History'!F101="",'Price History'!F101=0),"",'Price History'!F102/'Price History'!F101-1)</f>
        <v>2.9640310822719007E-2</v>
      </c>
      <c r="G101" s="63">
        <f>IF(OR('Price History'!G102="",'Price History'!G101="",'Price History'!G101=0),"",'Price History'!G102/'Price History'!G101-1)</f>
        <v>3.8993145297224308E-2</v>
      </c>
      <c r="H101" s="63">
        <f>IF(OR('Price History'!H102="",'Price History'!H101="",'Price History'!H101=0),"",'Price History'!H102/'Price History'!H101-1)</f>
        <v>-1.9798012183392055E-2</v>
      </c>
      <c r="I101" s="63">
        <f>IF(OR('Price History'!I102="",'Price History'!I101="",'Price History'!I101=0),"",'Price History'!I102/'Price History'!I101-1)</f>
        <v>1.0079239302694054E-2</v>
      </c>
      <c r="J101" s="63">
        <f>IF(OR('Price History'!J102="",'Price History'!J101="",'Price History'!J101=0),"",'Price History'!J102/'Price History'!J101-1)</f>
        <v>2.2722969134633564E-2</v>
      </c>
      <c r="K101" s="63">
        <f>IF(OR('Price History'!K102="",'Price History'!K101="",'Price History'!K101=0),"",'Price History'!K102/'Price History'!K101-1)</f>
        <v>2.7688542144714834E-2</v>
      </c>
      <c r="L101" s="63">
        <f>IF(OR('Price History'!L102="",'Price History'!L101="",'Price History'!L101=0),"",'Price History'!L102/'Price History'!L101-1)</f>
        <v>2.725642035262732E-2</v>
      </c>
      <c r="M101" s="63">
        <f>IF(OR('Price History'!M102="",'Price History'!M101="",'Price History'!M101=0),"",'Price History'!M102/'Price History'!M101-1)</f>
        <v>5.3475935828877219E-3</v>
      </c>
      <c r="N101" s="63">
        <f>IF(OR('Price History'!N102="",'Price History'!N101="",'Price History'!N101=0),"",'Price History'!N102/'Price History'!N101-1)</f>
        <v>4.15137094946747E-2</v>
      </c>
      <c r="O101" s="63" t="str">
        <f>IF(OR('Price History'!O102="",'Price History'!O101="",'Price History'!O101=0),"",'Price History'!O102/'Price History'!O101-1)</f>
        <v/>
      </c>
      <c r="P101" s="63" t="str">
        <f>IF(OR('Price History'!P102="",'Price History'!P101="",'Price History'!P101=0),"",'Price History'!P102/'Price History'!P101-1)</f>
        <v/>
      </c>
      <c r="Q101" s="63" t="str">
        <f>IF(OR('Price History'!Q102="",'Price History'!Q101="",'Price History'!Q101=0),"",'Price History'!Q102/'Price History'!Q101-1)</f>
        <v/>
      </c>
    </row>
    <row r="102" spans="1:17" ht="15" customHeight="1" x14ac:dyDescent="0.2">
      <c r="A102" s="49">
        <f>'Price History'!A103</f>
        <v>45849</v>
      </c>
      <c r="B102" s="63">
        <f>IF(OR('Price History'!B103="",'Price History'!B102="",'Price History'!B102=0),"",'Price History'!B103/'Price History'!B102-1)</f>
        <v>-4.207640188763806E-2</v>
      </c>
      <c r="C102" s="63">
        <f>IF(OR('Price History'!C103="",'Price History'!C102="",'Price History'!C102=0),"",'Price History'!C103/'Price History'!C102-1)</f>
        <v>5.9012875536480713E-2</v>
      </c>
      <c r="D102" s="63">
        <f>IF(OR('Price History'!D103="",'Price History'!D102="",'Price History'!D102=0),"",'Price History'!D103/'Price History'!D102-1)</f>
        <v>9.3517935808684616E-3</v>
      </c>
      <c r="E102" s="63">
        <f>IF(OR('Price History'!E103="",'Price History'!E102="",'Price History'!E102=0),"",'Price History'!E103/'Price History'!E102-1)</f>
        <v>-2.9071880223854318E-3</v>
      </c>
      <c r="F102" s="63">
        <f>IF(OR('Price History'!F103="",'Price History'!F102="",'Price History'!F102=0),"",'Price History'!F103/'Price History'!F102-1)</f>
        <v>-6.9400140045125625E-2</v>
      </c>
      <c r="G102" s="63">
        <f>IF(OR('Price History'!G103="",'Price History'!G102="",'Price History'!G102=0),"",'Price History'!G103/'Price History'!G102-1)</f>
        <v>0</v>
      </c>
      <c r="H102" s="63">
        <f>IF(OR('Price History'!H103="",'Price History'!H102="",'Price History'!H102=0),"",'Price History'!H103/'Price History'!H102-1)</f>
        <v>1.831711505437883E-2</v>
      </c>
      <c r="I102" s="63">
        <f>IF(OR('Price History'!I103="",'Price History'!I102="",'Price History'!I102=0),"",'Price History'!I103/'Price History'!I102-1)</f>
        <v>3.5019455252918164E-2</v>
      </c>
      <c r="J102" s="63">
        <f>IF(OR('Price History'!J103="",'Price History'!J102="",'Price History'!J102=0),"",'Price History'!J103/'Price History'!J102-1)</f>
        <v>1.0646176633956728E-2</v>
      </c>
      <c r="K102" s="63">
        <f>IF(OR('Price History'!K103="",'Price History'!K102="",'Price History'!K102=0),"",'Price History'!K103/'Price History'!K102-1)</f>
        <v>5.760643048526326E-2</v>
      </c>
      <c r="L102" s="63">
        <f>IF(OR('Price History'!L103="",'Price History'!L102="",'Price History'!L102=0),"",'Price History'!L103/'Price History'!L102-1)</f>
        <v>-1.8739352640545159E-2</v>
      </c>
      <c r="M102" s="63">
        <f>IF(OR('Price History'!M103="",'Price History'!M102="",'Price History'!M102=0),"",'Price History'!M103/'Price History'!M102-1)</f>
        <v>-3.5513141426783523E-2</v>
      </c>
      <c r="N102" s="63">
        <f>IF(OR('Price History'!N103="",'Price History'!N102="",'Price History'!N102=0),"",'Price History'!N103/'Price History'!N102-1)</f>
        <v>2.0081806709890904E-2</v>
      </c>
      <c r="O102" s="63" t="str">
        <f>IF(OR('Price History'!O103="",'Price History'!O102="",'Price History'!O102=0),"",'Price History'!O103/'Price History'!O102-1)</f>
        <v/>
      </c>
      <c r="P102" s="63" t="str">
        <f>IF(OR('Price History'!P103="",'Price History'!P102="",'Price History'!P102=0),"",'Price History'!P103/'Price History'!P102-1)</f>
        <v/>
      </c>
      <c r="Q102" s="63" t="str">
        <f>IF(OR('Price History'!Q103="",'Price History'!Q102="",'Price History'!Q102=0),"",'Price History'!Q103/'Price History'!Q102-1)</f>
        <v/>
      </c>
    </row>
    <row r="103" spans="1:17" ht="15" customHeight="1" x14ac:dyDescent="0.2">
      <c r="A103" s="49">
        <f>'Price History'!A104</f>
        <v>45856</v>
      </c>
      <c r="B103" s="63">
        <f>IF(OR('Price History'!B104="",'Price History'!B103="",'Price History'!B103=0),"",'Price History'!B104/'Price History'!B103-1)</f>
        <v>6.7152882895280541E-3</v>
      </c>
      <c r="C103" s="63">
        <f>IF(OR('Price History'!C104="",'Price History'!C103="",'Price History'!C103=0),"",'Price History'!C104/'Price History'!C103-1)</f>
        <v>2.9566178502348883E-2</v>
      </c>
      <c r="D103" s="63">
        <f>IF(OR('Price History'!D104="",'Price History'!D103="",'Price History'!D103=0),"",'Price History'!D104/'Price History'!D103-1)</f>
        <v>-8.3984886461411778E-2</v>
      </c>
      <c r="E103" s="63">
        <f>IF(OR('Price History'!E104="",'Price History'!E103="",'Price History'!E103=0),"",'Price History'!E104/'Price History'!E103-1)</f>
        <v>3.2655441358699466E-2</v>
      </c>
      <c r="F103" s="63">
        <f>IF(OR('Price History'!F104="",'Price History'!F103="",'Price History'!F103=0),"",'Price History'!F104/'Price History'!F103-1)</f>
        <v>-5.1835130841902943E-3</v>
      </c>
      <c r="G103" s="63">
        <f>IF(OR('Price History'!G104="",'Price History'!G103="",'Price History'!G103=0),"",'Price History'!G104/'Price History'!G103-1)</f>
        <v>7.0300670560243805E-3</v>
      </c>
      <c r="H103" s="63">
        <f>IF(OR('Price History'!H104="",'Price History'!H103="",'Price History'!H103=0),"",'Price History'!H104/'Price History'!H103-1)</f>
        <v>-8.1426162370513144E-2</v>
      </c>
      <c r="I103" s="63">
        <f>IF(OR('Price History'!I104="",'Price History'!I103="",'Price History'!I103=0),"",'Price History'!I104/'Price History'!I103-1)</f>
        <v>4.5415959252971261E-2</v>
      </c>
      <c r="J103" s="63">
        <f>IF(OR('Price History'!J104="",'Price History'!J103="",'Price History'!J103=0),"",'Price History'!J104/'Price History'!J103-1)</f>
        <v>-2.1892461298891663E-2</v>
      </c>
      <c r="K103" s="63">
        <f>IF(OR('Price History'!K104="",'Price History'!K103="",'Price History'!K103=0),"",'Price History'!K104/'Price History'!K103-1)</f>
        <v>8.0365939479239978E-2</v>
      </c>
      <c r="L103" s="63">
        <f>IF(OR('Price History'!L104="",'Price History'!L103="",'Price History'!L103=0),"",'Price History'!L104/'Price History'!L103-1)</f>
        <v>4.3402777777777679E-2</v>
      </c>
      <c r="M103" s="63">
        <f>IF(OR('Price History'!M104="",'Price History'!M103="",'Price History'!M103=0),"",'Price History'!M104/'Price History'!M103-1)</f>
        <v>4.6715328467153316E-2</v>
      </c>
      <c r="N103" s="63">
        <f>IF(OR('Price History'!N104="",'Price History'!N103="",'Price History'!N103=0),"",'Price History'!N104/'Price History'!N103-1)</f>
        <v>-1.9281220006398647E-2</v>
      </c>
      <c r="O103" s="63" t="str">
        <f>IF(OR('Price History'!O104="",'Price History'!O103="",'Price History'!O103=0),"",'Price History'!O104/'Price History'!O103-1)</f>
        <v/>
      </c>
      <c r="P103" s="63" t="str">
        <f>IF(OR('Price History'!P104="",'Price History'!P103="",'Price History'!P103=0),"",'Price History'!P104/'Price History'!P103-1)</f>
        <v/>
      </c>
      <c r="Q103" s="63" t="str">
        <f>IF(OR('Price History'!Q104="",'Price History'!Q103="",'Price History'!Q103=0),"",'Price History'!Q104/'Price History'!Q103-1)</f>
        <v/>
      </c>
    </row>
    <row r="104" spans="1:17" ht="15" customHeight="1" x14ac:dyDescent="0.2">
      <c r="A104" s="49">
        <f>'Price History'!A105</f>
        <v>45863</v>
      </c>
      <c r="B104" s="63">
        <f>IF(OR('Price History'!B105="",'Price History'!B104="",'Price History'!B104=0),"",'Price History'!B105/'Price History'!B104-1)</f>
        <v>1.3532354629705479E-2</v>
      </c>
      <c r="C104" s="63">
        <f>IF(OR('Price History'!C105="",'Price History'!C104="",'Price History'!C104=0),"",'Price History'!C105/'Price History'!C104-1)</f>
        <v>2.2365360529611689E-2</v>
      </c>
      <c r="D104" s="63">
        <f>IF(OR('Price History'!D105="",'Price History'!D104="",'Price History'!D104=0),"",'Price History'!D105/'Price History'!D104-1)</f>
        <v>-3.1759644967192191E-2</v>
      </c>
      <c r="E104" s="63">
        <f>IF(OR('Price History'!E105="",'Price History'!E104="",'Price History'!E104=0),"",'Price History'!E105/'Price History'!E104-1)</f>
        <v>2.4140608456271639E-2</v>
      </c>
      <c r="F104" s="63">
        <f>IF(OR('Price History'!F105="",'Price History'!F104="",'Price History'!F104=0),"",'Price History'!F105/'Price History'!F104-1)</f>
        <v>-1.6892175813093435E-2</v>
      </c>
      <c r="G104" s="63">
        <f>IF(OR('Price History'!G105="",'Price History'!G104="",'Price History'!G104=0),"",'Price History'!G105/'Price History'!G104-1)</f>
        <v>-3.114595639566109E-2</v>
      </c>
      <c r="H104" s="63">
        <f>IF(OR('Price History'!H105="",'Price History'!H104="",'Price History'!H104=0),"",'Price History'!H105/'Price History'!H104-1)</f>
        <v>-2.7362531689832936E-2</v>
      </c>
      <c r="I104" s="63">
        <f>IF(OR('Price History'!I105="",'Price History'!I104="",'Price History'!I104=0),"",'Price History'!I105/'Price History'!I104-1)</f>
        <v>6.3221390870600302E-3</v>
      </c>
      <c r="J104" s="63">
        <f>IF(OR('Price History'!J105="",'Price History'!J104="",'Price History'!J104=0),"",'Price History'!J105/'Price History'!J104-1)</f>
        <v>3.2871324218018305E-2</v>
      </c>
      <c r="K104" s="63">
        <f>IF(OR('Price History'!K105="",'Price History'!K104="",'Price History'!K104=0),"",'Price History'!K105/'Price History'!K104-1)</f>
        <v>3.4392912975508061E-2</v>
      </c>
      <c r="L104" s="63">
        <f>IF(OR('Price History'!L105="",'Price History'!L104="",'Price History'!L104=0),"",'Price History'!L105/'Price History'!L104-1)</f>
        <v>2.1630615640598982E-2</v>
      </c>
      <c r="M104" s="63">
        <f>IF(OR('Price History'!M105="",'Price History'!M104="",'Price History'!M104=0),"",'Price History'!M105/'Price History'!M104-1)</f>
        <v>6.5163489849682232E-2</v>
      </c>
      <c r="N104" s="63">
        <f>IF(OR('Price History'!N105="",'Price History'!N104="",'Price History'!N104=0),"",'Price History'!N105/'Price History'!N104-1)</f>
        <v>2.1400143537548155E-2</v>
      </c>
      <c r="O104" s="63" t="str">
        <f>IF(OR('Price History'!O105="",'Price History'!O104="",'Price History'!O104=0),"",'Price History'!O105/'Price History'!O104-1)</f>
        <v/>
      </c>
      <c r="P104" s="63" t="str">
        <f>IF(OR('Price History'!P105="",'Price History'!P104="",'Price History'!P104=0),"",'Price History'!P105/'Price History'!P104-1)</f>
        <v/>
      </c>
      <c r="Q104" s="63" t="str">
        <f>IF(OR('Price History'!Q105="",'Price History'!Q104="",'Price History'!Q104=0),"",'Price History'!Q105/'Price History'!Q104-1)</f>
        <v/>
      </c>
    </row>
    <row r="105" spans="1:17" ht="15" customHeight="1" x14ac:dyDescent="0.2">
      <c r="A105" s="49">
        <f>'Price History'!A106</f>
        <v>45870</v>
      </c>
      <c r="B105" s="63">
        <f>IF(OR('Price History'!B106="",'Price History'!B105="",'Price History'!B105=0),"",'Price History'!B106/'Price History'!B105-1)</f>
        <v>-6.187624750498999E-2</v>
      </c>
      <c r="C105" s="63">
        <f>IF(OR('Price History'!C106="",'Price History'!C105="",'Price History'!C105=0),"",'Price History'!C106/'Price History'!C105-1)</f>
        <v>2.878893944697225E-2</v>
      </c>
      <c r="D105" s="63">
        <f>IF(OR('Price History'!D106="",'Price History'!D105="",'Price History'!D105=0),"",'Price History'!D106/'Price History'!D105-1)</f>
        <v>-3.0130052724077205E-2</v>
      </c>
      <c r="E105" s="63">
        <f>IF(OR('Price History'!E106="",'Price History'!E105="",'Price History'!E105=0),"",'Price History'!E106/'Price History'!E105-1)</f>
        <v>-5.3070507960576441E-3</v>
      </c>
      <c r="F105" s="63">
        <f>IF(OR('Price History'!F106="",'Price History'!F105="",'Price History'!F105=0),"",'Price History'!F106/'Price History'!F105-1)</f>
        <v>-4.5392374764917087E-2</v>
      </c>
      <c r="G105" s="63">
        <f>IF(OR('Price History'!G106="",'Price History'!G105="",'Price History'!G105=0),"",'Price History'!G106/'Price History'!G105-1)</f>
        <v>-1.7182130584192379E-2</v>
      </c>
      <c r="H105" s="63">
        <f>IF(OR('Price History'!H106="",'Price History'!H105="",'Price History'!H105=0),"",'Price History'!H106/'Price History'!H105-1)</f>
        <v>-5.7343160165378437E-2</v>
      </c>
      <c r="I105" s="63">
        <f>IF(OR('Price History'!I106="",'Price History'!I105="",'Price History'!I105=0),"",'Price History'!I106/'Price History'!I105-1)</f>
        <v>1.2680115273775439E-3</v>
      </c>
      <c r="J105" s="63">
        <f>IF(OR('Price History'!J106="",'Price History'!J105="",'Price History'!J105=0),"",'Price History'!J106/'Price History'!J105-1)</f>
        <v>-4.8780487804878092E-2</v>
      </c>
      <c r="K105" s="63">
        <f>IF(OR('Price History'!K106="",'Price History'!K105="",'Price History'!K105=0),"",'Price History'!K106/'Price History'!K105-1)</f>
        <v>-2.8526448362720447E-2</v>
      </c>
      <c r="L105" s="63">
        <f>IF(OR('Price History'!L106="",'Price History'!L105="",'Price History'!L105=0),"",'Price History'!L106/'Price History'!L105-1)</f>
        <v>-4.2304560260586266E-2</v>
      </c>
      <c r="M105" s="63">
        <f>IF(OR('Price History'!M106="",'Price History'!M105="",'Price History'!M105=0),"",'Price History'!M106/'Price History'!M105-1)</f>
        <v>2.9970175310976899E-2</v>
      </c>
      <c r="N105" s="63">
        <f>IF(OR('Price History'!N106="",'Price History'!N105="",'Price History'!N105=0),"",'Price History'!N106/'Price History'!N105-1)</f>
        <v>-1.6011923773022407E-2</v>
      </c>
      <c r="O105" s="63" t="str">
        <f>IF(OR('Price History'!O106="",'Price History'!O105="",'Price History'!O105=0),"",'Price History'!O106/'Price History'!O105-1)</f>
        <v/>
      </c>
      <c r="P105" s="63" t="str">
        <f>IF(OR('Price History'!P106="",'Price History'!P105="",'Price History'!P105=0),"",'Price History'!P106/'Price History'!P105-1)</f>
        <v/>
      </c>
      <c r="Q105" s="63" t="str">
        <f>IF(OR('Price History'!Q106="",'Price History'!Q105="",'Price History'!Q105=0),"",'Price History'!Q106/'Price History'!Q105-1)</f>
        <v/>
      </c>
    </row>
    <row r="106" spans="1:17" ht="15" customHeight="1" x14ac:dyDescent="0.2">
      <c r="A106" s="49">
        <f>'Price History'!A107</f>
        <v>45877</v>
      </c>
      <c r="B106" s="63">
        <f>IF(OR('Price History'!B107="",'Price History'!B106="",'Price History'!B106=0),"",'Price History'!B107/'Price History'!B106-1)</f>
        <v>-1.9407705577918377E-2</v>
      </c>
      <c r="C106" s="63">
        <f>IF(OR('Price History'!C107="",'Price History'!C106="",'Price History'!C106=0),"",'Price History'!C107/'Price History'!C106-1)</f>
        <v>0.18380539253210859</v>
      </c>
      <c r="D106" s="63">
        <f>IF(OR('Price History'!D107="",'Price History'!D106="",'Price History'!D106=0),"",'Price History'!D107/'Price History'!D106-1)</f>
        <v>4.7113739816183831E-2</v>
      </c>
      <c r="E106" s="63">
        <f>IF(OR('Price History'!E107="",'Price History'!E106="",'Price History'!E106=0),"",'Price History'!E107/'Price History'!E106-1)</f>
        <v>5.6575665188470126E-2</v>
      </c>
      <c r="F106" s="63">
        <f>IF(OR('Price History'!F107="",'Price History'!F106="",'Price History'!F106=0),"",'Price History'!F107/'Price History'!F106-1)</f>
        <v>-4.970000895495652E-2</v>
      </c>
      <c r="G106" s="63">
        <f>IF(OR('Price History'!G107="",'Price History'!G106="",'Price History'!G106=0),"",'Price History'!G107/'Price History'!G106-1)</f>
        <v>3.1806902774644819E-2</v>
      </c>
      <c r="H106" s="63">
        <f>IF(OR('Price History'!H107="",'Price History'!H106="",'Price History'!H106=0),"",'Price History'!H107/'Price History'!H106-1)</f>
        <v>0.13358123569794045</v>
      </c>
      <c r="I106" s="63">
        <f>IF(OR('Price History'!I107="",'Price History'!I106="",'Price History'!I106=0),"",'Price History'!I107/'Price History'!I106-1)</f>
        <v>5.1692378540179496E-2</v>
      </c>
      <c r="J106" s="63">
        <f>IF(OR('Price History'!J107="",'Price History'!J106="",'Price History'!J106=0),"",'Price History'!J107/'Price History'!J106-1)</f>
        <v>7.3396244399963617E-3</v>
      </c>
      <c r="K106" s="63">
        <f>IF(OR('Price History'!K107="",'Price History'!K106="",'Price History'!K106=0),"",'Price History'!K107/'Price History'!K106-1)</f>
        <v>0.21190121216049773</v>
      </c>
      <c r="L106" s="63">
        <f>IF(OR('Price History'!L107="",'Price History'!L106="",'Price History'!L106=0),"",'Price History'!L107/'Price History'!L106-1)</f>
        <v>2.8145061859614851E-2</v>
      </c>
      <c r="M106" s="63">
        <f>IF(OR('Price History'!M107="",'Price History'!M106="",'Price History'!M106=0),"",'Price History'!M107/'Price History'!M106-1)</f>
        <v>-1.1723991807330969E-2</v>
      </c>
      <c r="N106" s="63">
        <f>IF(OR('Price History'!N107="",'Price History'!N106="",'Price History'!N106=0),"",'Price History'!N107/'Price History'!N106-1)</f>
        <v>-0.20684655832774324</v>
      </c>
      <c r="O106" s="63" t="str">
        <f>IF(OR('Price History'!O107="",'Price History'!O106="",'Price History'!O106=0),"",'Price History'!O107/'Price History'!O106-1)</f>
        <v/>
      </c>
      <c r="P106" s="63" t="str">
        <f>IF(OR('Price History'!P107="",'Price History'!P106="",'Price History'!P106=0),"",'Price History'!P107/'Price History'!P106-1)</f>
        <v/>
      </c>
      <c r="Q106" s="63" t="str">
        <f>IF(OR('Price History'!Q107="",'Price History'!Q106="",'Price History'!Q106=0),"",'Price History'!Q107/'Price History'!Q106-1)</f>
        <v/>
      </c>
    </row>
    <row r="107" spans="1:17" ht="15" customHeight="1" x14ac:dyDescent="0.2">
      <c r="A107" s="49">
        <f>'Price History'!A108</f>
        <v>45884</v>
      </c>
      <c r="B107" s="63">
        <f>IF(OR('Price History'!B108="",'Price History'!B107="",'Price History'!B107=0),"",'Price History'!B108/'Price History'!B107-1)</f>
        <v>4.0463275179592362E-2</v>
      </c>
      <c r="C107" s="63">
        <f>IF(OR('Price History'!C108="",'Price History'!C107="",'Price History'!C107=0),"",'Price History'!C108/'Price History'!C107-1)</f>
        <v>-1.35076878861905E-2</v>
      </c>
      <c r="D107" s="63">
        <f>IF(OR('Price History'!D108="",'Price History'!D107="",'Price History'!D107=0),"",'Price History'!D108/'Price History'!D107-1)</f>
        <v>2.7467050614685906E-2</v>
      </c>
      <c r="E107" s="63">
        <f>IF(OR('Price History'!E108="",'Price History'!E107="",'Price History'!E107=0),"",'Price History'!E108/'Price History'!E107-1)</f>
        <v>4.4922451388660356E-3</v>
      </c>
      <c r="F107" s="63">
        <f>IF(OR('Price History'!F108="",'Price History'!F107="",'Price History'!F107=0),"",'Price History'!F108/'Price History'!F107-1)</f>
        <v>8.1040331699961943E-3</v>
      </c>
      <c r="G107" s="63">
        <f>IF(OR('Price History'!G108="",'Price History'!G107="",'Price History'!G107=0),"",'Price History'!G108/'Price History'!G107-1)</f>
        <v>-4.3616090948841335E-2</v>
      </c>
      <c r="H107" s="63">
        <f>IF(OR('Price History'!H108="",'Price History'!H107="",'Price History'!H107=0),"",'Price History'!H108/'Price History'!H107-1)</f>
        <v>1.6654049962149919E-2</v>
      </c>
      <c r="I107" s="63">
        <f>IF(OR('Price History'!I108="",'Price History'!I107="",'Price History'!I107=0),"",'Price History'!I108/'Price History'!I107-1)</f>
        <v>-1.2315270935960632E-2</v>
      </c>
      <c r="J107" s="63">
        <f>IF(OR('Price History'!J108="",'Price History'!J107="",'Price History'!J107=0),"",'Price History'!J108/'Price History'!J107-1)</f>
        <v>8.6109008327024394E-3</v>
      </c>
      <c r="K107" s="63">
        <f>IF(OR('Price History'!K108="",'Price History'!K107="",'Price History'!K107=0),"",'Price History'!K108/'Price History'!K107-1)</f>
        <v>-5.2364142062473418E-2</v>
      </c>
      <c r="L107" s="63">
        <f>IF(OR('Price History'!L108="",'Price History'!L107="",'Price History'!L107=0),"",'Price History'!L108/'Price History'!L107-1)</f>
        <v>-1.2198651945581673E-2</v>
      </c>
      <c r="M107" s="63">
        <f>IF(OR('Price History'!M108="",'Price History'!M107="",'Price History'!M107=0),"",'Price History'!M108/'Price History'!M107-1)</f>
        <v>-4.9024512256128139E-2</v>
      </c>
      <c r="N107" s="63">
        <f>IF(OR('Price History'!N108="",'Price History'!N107="",'Price History'!N107=0),"",'Price History'!N108/'Price History'!N107-1)</f>
        <v>7.1615649042396479E-2</v>
      </c>
      <c r="O107" s="63" t="str">
        <f>IF(OR('Price History'!O108="",'Price History'!O107="",'Price History'!O107=0),"",'Price History'!O108/'Price History'!O107-1)</f>
        <v/>
      </c>
      <c r="P107" s="63" t="str">
        <f>IF(OR('Price History'!P108="",'Price History'!P107="",'Price History'!P107=0),"",'Price History'!P108/'Price History'!P107-1)</f>
        <v/>
      </c>
      <c r="Q107" s="63" t="str">
        <f>IF(OR('Price History'!Q108="",'Price History'!Q107="",'Price History'!Q107=0),"",'Price History'!Q108/'Price History'!Q107-1)</f>
        <v/>
      </c>
    </row>
    <row r="108" spans="1:17" ht="15" customHeight="1" x14ac:dyDescent="0.2">
      <c r="A108" s="49">
        <f>'Price History'!A109</f>
        <v>45891</v>
      </c>
      <c r="B108" s="63">
        <f>IF(OR('Price History'!B109="",'Price History'!B108="",'Price History'!B108=0),"",'Price History'!B109/'Price History'!B108-1)</f>
        <v>2.0402987177680521E-2</v>
      </c>
      <c r="C108" s="63">
        <f>IF(OR('Price History'!C109="",'Price History'!C108="",'Price History'!C108=0),"",'Price History'!C109/'Price History'!C108-1)</f>
        <v>-2.949745083758204E-2</v>
      </c>
      <c r="D108" s="63">
        <f>IF(OR('Price History'!D109="",'Price History'!D108="",'Price History'!D108=0),"",'Price History'!D109/'Price History'!D108-1)</f>
        <v>1.7152635550285789E-2</v>
      </c>
      <c r="E108" s="63">
        <f>IF(OR('Price History'!E109="",'Price History'!E108="",'Price History'!E108=0),"",'Price History'!E109/'Price History'!E108-1)</f>
        <v>-4.028203956388321E-2</v>
      </c>
      <c r="F108" s="63">
        <f>IF(OR('Price History'!F109="",'Price History'!F108="",'Price History'!F108=0),"",'Price History'!F109/'Price History'!F108-1)</f>
        <v>-1.7199476537670622E-2</v>
      </c>
      <c r="G108" s="63">
        <f>IF(OR('Price History'!G109="",'Price History'!G108="",'Price History'!G108=0),"",'Price History'!G109/'Price History'!G108-1)</f>
        <v>-5.2577437421419404E-3</v>
      </c>
      <c r="H108" s="63">
        <f>IF(OR('Price History'!H109="",'Price History'!H108="",'Price History'!H108=0),"",'Price History'!H109/'Price History'!H108-1)</f>
        <v>-2.6391991395714354E-2</v>
      </c>
      <c r="I108" s="63">
        <f>IF(OR('Price History'!I109="",'Price History'!I108="",'Price History'!I108=0),"",'Price History'!I109/'Price History'!I108-1)</f>
        <v>-1.3632585203657399E-2</v>
      </c>
      <c r="J108" s="63">
        <f>IF(OR('Price History'!J109="",'Price History'!J108="",'Price History'!J108=0),"",'Price History'!J109/'Price History'!J108-1)</f>
        <v>5.3382118397598211E-2</v>
      </c>
      <c r="K108" s="63">
        <f>IF(OR('Price History'!K109="",'Price History'!K108="",'Price History'!K108=0),"",'Price History'!K109/'Price History'!K108-1)</f>
        <v>-0.10402438336061404</v>
      </c>
      <c r="L108" s="63">
        <f>IF(OR('Price History'!L109="",'Price History'!L108="",'Price History'!L108=0),"",'Price History'!L109/'Price History'!L108-1)</f>
        <v>-2.4656731413261856E-2</v>
      </c>
      <c r="M108" s="63">
        <f>IF(OR('Price History'!M109="",'Price History'!M108="",'Price History'!M108=0),"",'Price History'!M109/'Price History'!M108-1)</f>
        <v>-5.3355376869316906E-2</v>
      </c>
      <c r="N108" s="63">
        <f>IF(OR('Price History'!N109="",'Price History'!N108="",'Price History'!N108=0),"",'Price History'!N109/'Price History'!N108-1)</f>
        <v>5.9319229104610738E-3</v>
      </c>
      <c r="O108" s="63" t="str">
        <f>IF(OR('Price History'!O109="",'Price History'!O108="",'Price History'!O108=0),"",'Price History'!O109/'Price History'!O108-1)</f>
        <v/>
      </c>
      <c r="P108" s="63" t="str">
        <f>IF(OR('Price History'!P109="",'Price History'!P108="",'Price History'!P108=0),"",'Price History'!P109/'Price History'!P108-1)</f>
        <v/>
      </c>
      <c r="Q108" s="63" t="str">
        <f>IF(OR('Price History'!Q109="",'Price History'!Q108="",'Price History'!Q108=0),"",'Price History'!Q109/'Price History'!Q108-1)</f>
        <v/>
      </c>
    </row>
    <row r="109" spans="1:17" ht="15" customHeight="1" x14ac:dyDescent="0.2">
      <c r="A109" s="49">
        <f>'Price History'!A110</f>
        <v>45898</v>
      </c>
      <c r="B109" s="63">
        <f>IF(OR('Price History'!B110="",'Price History'!B109="",'Price History'!B109=0),"",'Price History'!B110/'Price History'!B109-1)</f>
        <v>-1.4885801872462578E-2</v>
      </c>
      <c r="C109" s="63">
        <f>IF(OR('Price History'!C110="",'Price History'!C109="",'Price History'!C109=0),"",'Price History'!C110/'Price History'!C109-1)</f>
        <v>2.4765478424014997E-2</v>
      </c>
      <c r="D109" s="63">
        <f>IF(OR('Price History'!D110="",'Price History'!D109="",'Price History'!D109=0),"",'Price History'!D110/'Price History'!D109-1)</f>
        <v>-1.6254023765051806E-2</v>
      </c>
      <c r="E109" s="63">
        <f>IF(OR('Price History'!E110="",'Price History'!E109="",'Price History'!E109=0),"",'Price History'!E110/'Price History'!E109-1)</f>
        <v>1.1530612244897931E-2</v>
      </c>
      <c r="F109" s="63">
        <f>IF(OR('Price History'!F110="",'Price History'!F109="",'Price History'!F109=0),"",'Price History'!F110/'Price History'!F109-1)</f>
        <v>7.5137911356286669E-3</v>
      </c>
      <c r="G109" s="63">
        <f>IF(OR('Price History'!G110="",'Price History'!G109="",'Price History'!G109=0),"",'Price History'!G110/'Price History'!G109-1)</f>
        <v>1.9533494197403467E-3</v>
      </c>
      <c r="H109" s="63">
        <f>IF(OR('Price History'!H110="",'Price History'!H109="",'Price History'!H109=0),"",'Price History'!H110/'Price History'!H109-1)</f>
        <v>1.1301835486063894E-2</v>
      </c>
      <c r="I109" s="63">
        <f>IF(OR('Price History'!I110="",'Price History'!I109="",'Price History'!I109=0),"",'Price History'!I110/'Price History'!I109-1)</f>
        <v>-2.1405696949266861E-2</v>
      </c>
      <c r="J109" s="63">
        <f>IF(OR('Price History'!J110="",'Price History'!J109="",'Price History'!J109=0),"",'Price History'!J110/'Price History'!J109-1)</f>
        <v>1.3359458496615684E-2</v>
      </c>
      <c r="K109" s="63">
        <f>IF(OR('Price History'!K110="",'Price History'!K109="",'Price History'!K109=0),"",'Price History'!K110/'Price History'!K109-1)</f>
        <v>-1.2788207131157914E-2</v>
      </c>
      <c r="L109" s="63">
        <f>IF(OR('Price History'!L110="",'Price History'!L109="",'Price History'!L109=0),"",'Price History'!L110/'Price History'!L109-1)</f>
        <v>-9.0991029657925271E-3</v>
      </c>
      <c r="M109" s="63">
        <f>IF(OR('Price History'!M110="",'Price History'!M109="",'Price History'!M109=0),"",'Price History'!M110/'Price History'!M109-1)</f>
        <v>1.2542668889418129E-2</v>
      </c>
      <c r="N109" s="63">
        <f>IF(OR('Price History'!N110="",'Price History'!N109="",'Price History'!N109=0),"",'Price History'!N110/'Price History'!N109-1)</f>
        <v>-1.0376594452318311E-2</v>
      </c>
      <c r="O109" s="63" t="str">
        <f>IF(OR('Price History'!O110="",'Price History'!O109="",'Price History'!O109=0),"",'Price History'!O110/'Price History'!O109-1)</f>
        <v/>
      </c>
      <c r="P109" s="63" t="str">
        <f>IF(OR('Price History'!P110="",'Price History'!P109="",'Price History'!P109=0),"",'Price History'!P110/'Price History'!P109-1)</f>
        <v/>
      </c>
      <c r="Q109" s="63" t="str">
        <f>IF(OR('Price History'!Q110="",'Price History'!Q109="",'Price History'!Q109=0),"",'Price History'!Q110/'Price History'!Q109-1)</f>
        <v/>
      </c>
    </row>
    <row r="110" spans="1:17" ht="15" customHeight="1" x14ac:dyDescent="0.2">
      <c r="A110" s="49">
        <f>'Price History'!A111</f>
        <v>45905</v>
      </c>
      <c r="B110" s="63">
        <f>IF(OR('Price History'!B111="",'Price History'!B110="",'Price History'!B110=0),"",'Price History'!B111/'Price History'!B110-1)</f>
        <v>-2.1670871881132481E-2</v>
      </c>
      <c r="C110" s="63">
        <f>IF(OR('Price History'!C111="",'Price History'!C110="",'Price History'!C110=0),"",'Price History'!C111/'Price History'!C110-1)</f>
        <v>4.6136946173562565E-2</v>
      </c>
      <c r="D110" s="63">
        <f>IF(OR('Price History'!D111="",'Price History'!D110="",'Price History'!D110=0),"",'Price History'!D111/'Price History'!D110-1)</f>
        <v>5.2624491664646778E-2</v>
      </c>
      <c r="E110" s="63">
        <f>IF(OR('Price History'!E111="",'Price History'!E110="",'Price History'!E110=0),"",'Price History'!E111/'Price History'!E110-1)</f>
        <v>0.12609704428528201</v>
      </c>
      <c r="F110" s="63">
        <f>IF(OR('Price History'!F111="",'Price History'!F110="",'Price History'!F110=0),"",'Price History'!F111/'Price History'!F110-1)</f>
        <v>-1.43490984612481E-2</v>
      </c>
      <c r="G110" s="63">
        <f>IF(OR('Price History'!G111="",'Price History'!G110="",'Price History'!G110=0),"",'Price History'!G111/'Price History'!G110-1)</f>
        <v>3.795871559633035E-2</v>
      </c>
      <c r="H110" s="63">
        <f>IF(OR('Price History'!H111="",'Price History'!H110="",'Price History'!H110=0),"",'Price History'!H111/'Price History'!H110-1)</f>
        <v>0.10385681875472641</v>
      </c>
      <c r="I110" s="63">
        <f>IF(OR('Price History'!I111="",'Price History'!I110="",'Price History'!I110=0),"",'Price History'!I111/'Price History'!I110-1)</f>
        <v>-4.1106900907107558E-2</v>
      </c>
      <c r="J110" s="63">
        <f>IF(OR('Price History'!J111="",'Price History'!J110="",'Price History'!J110=0),"",'Price History'!J111/'Price History'!J110-1)</f>
        <v>-1.1425558094567689E-3</v>
      </c>
      <c r="K110" s="63">
        <f>IF(OR('Price History'!K111="",'Price History'!K110="",'Price History'!K110=0),"",'Price History'!K111/'Price History'!K110-1)</f>
        <v>-2.2972369344649302E-2</v>
      </c>
      <c r="L110" s="63">
        <f>IF(OR('Price History'!L111="",'Price History'!L110="",'Price History'!L110=0),"",'Price History'!L111/'Price History'!L110-1)</f>
        <v>5.431628189024118E-2</v>
      </c>
      <c r="M110" s="63">
        <f>IF(OR('Price History'!M111="",'Price History'!M110="",'Price History'!M110=0),"",'Price History'!M111/'Price History'!M110-1)</f>
        <v>-2.7832222657781291E-2</v>
      </c>
      <c r="N110" s="63">
        <f>IF(OR('Price History'!N111="",'Price History'!N110="",'Price History'!N110=0),"",'Price History'!N111/'Price History'!N110-1)</f>
        <v>1.3042811109406305E-2</v>
      </c>
      <c r="O110" s="63" t="str">
        <f>IF(OR('Price History'!O111="",'Price History'!O110="",'Price History'!O110=0),"",'Price History'!O111/'Price History'!O110-1)</f>
        <v/>
      </c>
      <c r="P110" s="63" t="str">
        <f>IF(OR('Price History'!P111="",'Price History'!P110="",'Price History'!P110=0),"",'Price History'!P111/'Price History'!P110-1)</f>
        <v/>
      </c>
      <c r="Q110" s="63" t="str">
        <f>IF(OR('Price History'!Q111="",'Price History'!Q110="",'Price History'!Q110=0),"",'Price History'!Q111/'Price History'!Q110-1)</f>
        <v/>
      </c>
    </row>
    <row r="111" spans="1:17" ht="15" customHeight="1" x14ac:dyDescent="0.2">
      <c r="A111" s="49">
        <f>'Price History'!A112</f>
        <v>45912</v>
      </c>
      <c r="B111" s="63">
        <f>IF(OR('Price History'!B112="",'Price History'!B111="",'Price History'!B111=0),"",'Price History'!B112/'Price History'!B111-1)</f>
        <v>1.1175745766112133E-3</v>
      </c>
      <c r="C111" s="63">
        <f>IF(OR('Price History'!C112="",'Price History'!C111="",'Price History'!C111=0),"",'Price History'!C112/'Price History'!C111-1)</f>
        <v>-2.4221211060553083E-2</v>
      </c>
      <c r="D111" s="63">
        <f>IF(OR('Price History'!D112="",'Price History'!D111="",'Price History'!D111=0),"",'Price History'!D112/'Price History'!D111-1)</f>
        <v>4.1153895356274672E-2</v>
      </c>
      <c r="E111" s="63">
        <f>IF(OR('Price History'!E112="",'Price History'!E111="",'Price History'!E111=0),"",'Price History'!E112/'Price History'!E111-1)</f>
        <v>7.4591656961987551E-2</v>
      </c>
      <c r="F111" s="63">
        <f>IF(OR('Price History'!F112="",'Price History'!F111="",'Price History'!F111=0),"",'Price History'!F112/'Price History'!F111-1)</f>
        <v>4.4248635188200325E-2</v>
      </c>
      <c r="G111" s="63">
        <f>IF(OR('Price History'!G112="",'Price History'!G111="",'Price History'!G111=0),"",'Price History'!G112/'Price History'!G111-1)</f>
        <v>6.5075682245055777E-2</v>
      </c>
      <c r="H111" s="63">
        <f>IF(OR('Price History'!H112="",'Price History'!H111="",'Price History'!H111=0),"",'Price History'!H112/'Price History'!H111-1)</f>
        <v>0.19684859556976475</v>
      </c>
      <c r="I111" s="63">
        <f>IF(OR('Price History'!I112="",'Price History'!I111="",'Price History'!I111=0),"",'Price History'!I112/'Price History'!I111-1)</f>
        <v>6.4662914621003376E-2</v>
      </c>
      <c r="J111" s="63">
        <f>IF(OR('Price History'!J112="",'Price History'!J111="",'Price History'!J111=0),"",'Price History'!J112/'Price History'!J111-1)</f>
        <v>1.4958205015398018E-2</v>
      </c>
      <c r="K111" s="63">
        <f>IF(OR('Price History'!K112="",'Price History'!K111="",'Price History'!K111=0),"",'Price History'!K112/'Price History'!K111-1)</f>
        <v>0.1196525373914179</v>
      </c>
      <c r="L111" s="63">
        <f>IF(OR('Price History'!L112="",'Price History'!L111="",'Price History'!L111=0),"",'Price History'!L112/'Price History'!L111-1)</f>
        <v>6.5404050778521849E-2</v>
      </c>
      <c r="M111" s="63">
        <f>IF(OR('Price History'!M112="",'Price History'!M111="",'Price History'!M111=0),"",'Price History'!M112/'Price History'!M111-1)</f>
        <v>8.7419354838709662E-2</v>
      </c>
      <c r="N111" s="63">
        <f>IF(OR('Price History'!N112="",'Price History'!N111="",'Price History'!N111=0),"",'Price History'!N112/'Price History'!N111-1)</f>
        <v>-4.0139351711603322E-3</v>
      </c>
      <c r="O111" s="63" t="str">
        <f>IF(OR('Price History'!O112="",'Price History'!O111="",'Price History'!O111=0),"",'Price History'!O112/'Price History'!O111-1)</f>
        <v/>
      </c>
      <c r="P111" s="63" t="str">
        <f>IF(OR('Price History'!P112="",'Price History'!P111="",'Price History'!P111=0),"",'Price History'!P112/'Price History'!P111-1)</f>
        <v/>
      </c>
      <c r="Q111" s="63" t="str">
        <f>IF(OR('Price History'!Q112="",'Price History'!Q111="",'Price History'!Q111=0),"",'Price History'!Q112/'Price History'!Q111-1)</f>
        <v/>
      </c>
    </row>
    <row r="112" spans="1:17" ht="15" customHeight="1" x14ac:dyDescent="0.2">
      <c r="A112" s="49">
        <f>'Price History'!A113</f>
        <v>45919</v>
      </c>
      <c r="B112" s="63">
        <f>IF(OR('Price History'!B113="",'Price History'!B112="",'Price History'!B112=0),"",'Price History'!B113/'Price History'!B112-1)</f>
        <v>4.734371422028838E-2</v>
      </c>
      <c r="C112" s="63">
        <f>IF(OR('Price History'!C113="",'Price History'!C112="",'Price History'!C112=0),"",'Price History'!C113/'Price History'!C112-1)</f>
        <v>7.3319463376139149E-2</v>
      </c>
      <c r="D112" s="63">
        <f>IF(OR('Price History'!D113="",'Price History'!D112="",'Price History'!D112=0),"",'Price History'!D113/'Price History'!D112-1)</f>
        <v>0.14533033531153627</v>
      </c>
      <c r="E112" s="63">
        <f>IF(OR('Price History'!E113="",'Price History'!E112="",'Price History'!E112=0),"",'Price History'!E113/'Price History'!E112-1)</f>
        <v>-4.1487203712451737E-2</v>
      </c>
      <c r="F112" s="63">
        <f>IF(OR('Price History'!F113="",'Price History'!F112="",'Price History'!F112=0),"",'Price History'!F113/'Price History'!F112-1)</f>
        <v>0.15234339172704758</v>
      </c>
      <c r="G112" s="63">
        <f>IF(OR('Price History'!G113="",'Price History'!G112="",'Price History'!G112=0),"",'Price History'!G113/'Price History'!G112-1)</f>
        <v>8.381742738589204E-2</v>
      </c>
      <c r="H112" s="63">
        <f>IF(OR('Price History'!H113="",'Price History'!H112="",'Price History'!H112=0),"",'Price History'!H113/'Price History'!H112-1)</f>
        <v>3.4980601666348754E-2</v>
      </c>
      <c r="I112" s="63">
        <f>IF(OR('Price History'!I113="",'Price History'!I112="",'Price History'!I112=0),"",'Price History'!I113/'Price History'!I112-1)</f>
        <v>-6.46721403666628E-3</v>
      </c>
      <c r="J112" s="63">
        <f>IF(OR('Price History'!J113="",'Price History'!J112="",'Price History'!J112=0),"",'Price History'!J113/'Price History'!J112-1)</f>
        <v>-1.5951452102297314E-2</v>
      </c>
      <c r="K112" s="63">
        <f>IF(OR('Price History'!K113="",'Price History'!K112="",'Price History'!K112=0),"",'Price History'!K113/'Price History'!K112-1)</f>
        <v>6.3932800559995284E-2</v>
      </c>
      <c r="L112" s="63">
        <f>IF(OR('Price History'!L113="",'Price History'!L112="",'Price History'!L112=0),"",'Price History'!L113/'Price History'!L112-1)</f>
        <v>2.1362742451702443E-2</v>
      </c>
      <c r="M112" s="63">
        <f>IF(OR('Price History'!M113="",'Price History'!M112="",'Price History'!M112=0),"",'Price History'!M113/'Price History'!M112-1)</f>
        <v>6.4965885493918574E-2</v>
      </c>
      <c r="N112" s="63">
        <f>IF(OR('Price History'!N113="",'Price History'!N112="",'Price History'!N112=0),"",'Price History'!N113/'Price History'!N112-1)</f>
        <v>-2.8920487668871786E-2</v>
      </c>
      <c r="O112" s="63" t="str">
        <f>IF(OR('Price History'!O113="",'Price History'!O112="",'Price History'!O112=0),"",'Price History'!O113/'Price History'!O112-1)</f>
        <v/>
      </c>
      <c r="P112" s="63" t="str">
        <f>IF(OR('Price History'!P113="",'Price History'!P112="",'Price History'!P112=0),"",'Price History'!P113/'Price History'!P112-1)</f>
        <v/>
      </c>
      <c r="Q112" s="63" t="str">
        <f>IF(OR('Price History'!Q113="",'Price History'!Q112="",'Price History'!Q112=0),"",'Price History'!Q113/'Price History'!Q112-1)</f>
        <v/>
      </c>
    </row>
    <row r="113" spans="1:17" ht="15" customHeight="1" x14ac:dyDescent="0.2">
      <c r="A113" s="49">
        <f>'Price History'!A114</f>
        <v>45926</v>
      </c>
      <c r="B113" s="63">
        <f>IF(OR('Price History'!B114="",'Price History'!B113="",'Price History'!B113=0),"",'Price History'!B114/'Price History'!B113-1)</f>
        <v>-1.5113418966930747E-2</v>
      </c>
      <c r="C113" s="63">
        <f>IF(OR('Price History'!C114="",'Price History'!C113="",'Price History'!C113=0),"",'Price History'!C114/'Price History'!C113-1)</f>
        <v>-4.752356125927415E-2</v>
      </c>
      <c r="D113" s="63">
        <f>IF(OR('Price History'!D114="",'Price History'!D113="",'Price History'!D113=0),"",'Price History'!D114/'Price History'!D113-1)</f>
        <v>2.0779917395268965E-2</v>
      </c>
      <c r="E113" s="63">
        <f>IF(OR('Price History'!E114="",'Price History'!E113="",'Price History'!E113=0),"",'Price History'!E114/'Price History'!E113-1)</f>
        <v>-3.017916159332068E-2</v>
      </c>
      <c r="F113" s="63">
        <f>IF(OR('Price History'!F114="",'Price History'!F113="",'Price History'!F113=0),"",'Price History'!F114/'Price History'!F113-1)</f>
        <v>-4.2024832855778405E-2</v>
      </c>
      <c r="G113" s="63">
        <f>IF(OR('Price History'!G114="",'Price History'!G113="",'Price History'!G113=0),"",'Price History'!G114/'Price History'!G113-1)</f>
        <v>1.8663859111791803E-2</v>
      </c>
      <c r="H113" s="63">
        <f>IF(OR('Price History'!H114="",'Price History'!H113="",'Price History'!H113=0),"",'Price History'!H114/'Price History'!H113-1)</f>
        <v>-3.355251029312345E-2</v>
      </c>
      <c r="I113" s="63">
        <f>IF(OR('Price History'!I114="",'Price History'!I113="",'Price History'!I113=0),"",'Price History'!I114/'Price History'!I113-1)</f>
        <v>8.6036112526179931E-3</v>
      </c>
      <c r="J113" s="63">
        <f>IF(OR('Price History'!J114="",'Price History'!J113="",'Price History'!J113=0),"",'Price History'!J114/'Price History'!J113-1)</f>
        <v>5.9906616157165971E-3</v>
      </c>
      <c r="K113" s="63">
        <f>IF(OR('Price History'!K114="",'Price History'!K113="",'Price History'!K113=0),"",'Price History'!K114/'Price History'!K113-1)</f>
        <v>-2.6426887439004343E-2</v>
      </c>
      <c r="L113" s="63">
        <f>IF(OR('Price History'!L114="",'Price History'!L113="",'Price History'!L113=0),"",'Price History'!L114/'Price History'!L113-1)</f>
        <v>3.2053460188016691E-2</v>
      </c>
      <c r="M113" s="63">
        <f>IF(OR('Price History'!M114="",'Price History'!M113="",'Price History'!M113=0),"",'Price History'!M114/'Price History'!M113-1)</f>
        <v>-3.4679665738161503E-2</v>
      </c>
      <c r="N113" s="63">
        <f>IF(OR('Price History'!N114="",'Price History'!N113="",'Price History'!N113=0),"",'Price History'!N114/'Price History'!N113-1)</f>
        <v>6.8385884318229451E-3</v>
      </c>
      <c r="O113" s="63" t="str">
        <f>IF(OR('Price History'!O114="",'Price History'!O113="",'Price History'!O113=0),"",'Price History'!O114/'Price History'!O113-1)</f>
        <v/>
      </c>
      <c r="P113" s="63" t="str">
        <f>IF(OR('Price History'!P114="",'Price History'!P113="",'Price History'!P113=0),"",'Price History'!P114/'Price History'!P113-1)</f>
        <v/>
      </c>
      <c r="Q113" s="63" t="str">
        <f>IF(OR('Price History'!Q114="",'Price History'!Q113="",'Price History'!Q113=0),"",'Price History'!Q114/'Price History'!Q113-1)</f>
        <v/>
      </c>
    </row>
    <row r="114" spans="1:17" ht="15" customHeight="1" x14ac:dyDescent="0.2">
      <c r="A114" s="49">
        <f>'Price History'!A115</f>
        <v>45933</v>
      </c>
      <c r="B114" s="63">
        <f>IF(OR('Price History'!B115="",'Price History'!B114="",'Price History'!B114=0),"",'Price History'!B115/'Price History'!B114-1)</f>
        <v>-3.782223825512665E-2</v>
      </c>
      <c r="C114" s="63">
        <f>IF(OR('Price History'!C115="",'Price History'!C114="",'Price History'!C114=0),"",'Price History'!C115/'Price History'!C114-1)</f>
        <v>2.1052631578947434E-2</v>
      </c>
      <c r="D114" s="63">
        <f>IF(OR('Price History'!D115="",'Price History'!D114="",'Price History'!D114=0),"",'Price History'!D115/'Price History'!D114-1)</f>
        <v>8.4811669749453644E-2</v>
      </c>
      <c r="E114" s="63">
        <f>IF(OR('Price History'!E115="",'Price History'!E114="",'Price History'!E114=0),"",'Price History'!E115/'Price History'!E114-1)</f>
        <v>1.1478791139808209E-2</v>
      </c>
      <c r="F114" s="63">
        <f>IF(OR('Price History'!F115="",'Price History'!F114="",'Price History'!F114=0),"",'Price History'!F115/'Price History'!F114-1)</f>
        <v>1.7530741110003412E-2</v>
      </c>
      <c r="G114" s="63">
        <f>IF(OR('Price History'!G115="",'Price History'!G114="",'Price History'!G114=0),"",'Price History'!G115/'Price History'!G114-1)</f>
        <v>3.5046509442826279E-2</v>
      </c>
      <c r="H114" s="63">
        <f>IF(OR('Price History'!H115="",'Price History'!H114="",'Price History'!H114=0),"",'Price History'!H115/'Price History'!H114-1)</f>
        <v>0.19431550836141676</v>
      </c>
      <c r="I114" s="63">
        <f>IF(OR('Price History'!I115="",'Price History'!I114="",'Price History'!I114=0),"",'Price History'!I115/'Price History'!I114-1)</f>
        <v>5.292103934003034E-2</v>
      </c>
      <c r="J114" s="63">
        <f>IF(OR('Price History'!J115="",'Price History'!J114="",'Price History'!J114=0),"",'Price History'!J115/'Price History'!J114-1)</f>
        <v>2.513354934757861E-2</v>
      </c>
      <c r="K114" s="63">
        <f>IF(OR('Price History'!K115="",'Price History'!K114="",'Price History'!K114=0),"",'Price History'!K115/'Price History'!K114-1)</f>
        <v>-2.5342118601115016E-2</v>
      </c>
      <c r="L114" s="63">
        <f>IF(OR('Price History'!L115="",'Price History'!L114="",'Price History'!L114=0),"",'Price History'!L115/'Price History'!L114-1)</f>
        <v>6.8883523558677107E-2</v>
      </c>
      <c r="M114" s="63">
        <f>IF(OR('Price History'!M115="",'Price History'!M114="",'Price History'!M114=0),"",'Price History'!M115/'Price History'!M114-1)</f>
        <v>0.15567739142980797</v>
      </c>
      <c r="N114" s="63">
        <f>IF(OR('Price History'!N115="",'Price History'!N114="",'Price History'!N114=0),"",'Price History'!N115/'Price History'!N114-1)</f>
        <v>4.552289106652152E-2</v>
      </c>
      <c r="O114" s="63" t="str">
        <f>IF(OR('Price History'!O115="",'Price History'!O114="",'Price History'!O114=0),"",'Price History'!O115/'Price History'!O114-1)</f>
        <v/>
      </c>
      <c r="P114" s="63" t="str">
        <f>IF(OR('Price History'!P115="",'Price History'!P114="",'Price History'!P114=0),"",'Price History'!P115/'Price History'!P114-1)</f>
        <v/>
      </c>
      <c r="Q114" s="63" t="str">
        <f>IF(OR('Price History'!Q115="",'Price History'!Q114="",'Price History'!Q114=0),"",'Price History'!Q115/'Price History'!Q114-1)</f>
        <v/>
      </c>
    </row>
    <row r="115" spans="1:17" ht="15" customHeight="1" x14ac:dyDescent="0.2">
      <c r="A115" s="49">
        <f>'Price History'!A116</f>
        <v>45940</v>
      </c>
      <c r="B115" s="63">
        <f>IF(OR('Price History'!B116="",'Price History'!B115="",'Price History'!B115=0),"",'Price History'!B116/'Price History'!B115-1)</f>
        <v>-2.6619368979639013E-2</v>
      </c>
      <c r="C115" s="63">
        <f>IF(OR('Price History'!C116="",'Price History'!C115="",'Price History'!C115=0),"",'Price History'!C116/'Price History'!C115-1)</f>
        <v>5.9106529209622005E-2</v>
      </c>
      <c r="D115" s="63">
        <f>IF(OR('Price History'!D116="",'Price History'!D115="",'Price History'!D115=0),"",'Price History'!D116/'Price History'!D115-1)</f>
        <v>-9.3032493073182065E-2</v>
      </c>
      <c r="E115" s="63">
        <f>IF(OR('Price History'!E116="",'Price History'!E115="",'Price History'!E115=0),"",'Price History'!E116/'Price History'!E115-1)</f>
        <v>-4.0606436740845853E-2</v>
      </c>
      <c r="F115" s="63">
        <f>IF(OR('Price History'!F116="",'Price History'!F115="",'Price History'!F115=0),"",'Price History'!F116/'Price History'!F115-1)</f>
        <v>7.7570017147057246E-3</v>
      </c>
      <c r="G115" s="63">
        <f>IF(OR('Price History'!G116="",'Price History'!G115="",'Price History'!G115=0),"",'Price History'!G116/'Price History'!G115-1)</f>
        <v>-0.10784313725490191</v>
      </c>
      <c r="H115" s="63">
        <f>IF(OR('Price History'!H116="",'Price History'!H115="",'Price History'!H115=0),"",'Price History'!H116/'Price History'!H115-1)</f>
        <v>-3.3168290475430018E-2</v>
      </c>
      <c r="I115" s="63">
        <f>IF(OR('Price History'!I116="",'Price History'!I115="",'Price History'!I115=0),"",'Price History'!I116/'Price History'!I115-1)</f>
        <v>-2.3771452936787174E-2</v>
      </c>
      <c r="J115" s="63">
        <f>IF(OR('Price History'!J116="",'Price History'!J115="",'Price History'!J115=0),"",'Price History'!J116/'Price History'!J115-1)</f>
        <v>-4.9803519562617415E-2</v>
      </c>
      <c r="K115" s="63">
        <f>IF(OR('Price History'!K116="",'Price History'!K115="",'Price History'!K115=0),"",'Price History'!K116/'Price History'!K115-1)</f>
        <v>1.3693881088576942E-2</v>
      </c>
      <c r="L115" s="63">
        <f>IF(OR('Price History'!L116="",'Price History'!L115="",'Price History'!L115=0),"",'Price History'!L116/'Price History'!L115-1)</f>
        <v>-3.9460624935829358E-2</v>
      </c>
      <c r="M115" s="63">
        <f>IF(OR('Price History'!M116="",'Price History'!M115="",'Price History'!M115=0),"",'Price History'!M116/'Price History'!M115-1)</f>
        <v>5.4993757802746623E-2</v>
      </c>
      <c r="N115" s="63">
        <f>IF(OR('Price History'!N116="",'Price History'!N115="",'Price History'!N115=0),"",'Price History'!N116/'Price History'!N115-1)</f>
        <v>1.1133151500124061E-2</v>
      </c>
      <c r="O115" s="63" t="str">
        <f>IF(OR('Price History'!O116="",'Price History'!O115="",'Price History'!O115=0),"",'Price History'!O116/'Price History'!O115-1)</f>
        <v/>
      </c>
      <c r="P115" s="63" t="str">
        <f>IF(OR('Price History'!P116="",'Price History'!P115="",'Price History'!P115=0),"",'Price History'!P116/'Price History'!P115-1)</f>
        <v/>
      </c>
      <c r="Q115" s="63" t="str">
        <f>IF(OR('Price History'!Q116="",'Price History'!Q115="",'Price History'!Q115=0),"",'Price History'!Q116/'Price History'!Q115-1)</f>
        <v/>
      </c>
    </row>
    <row r="116" spans="1:17" ht="15" customHeight="1" x14ac:dyDescent="0.2">
      <c r="A116" s="49">
        <f>'Price History'!A117</f>
        <v>45947</v>
      </c>
      <c r="B116" s="63">
        <f>IF(OR('Price History'!B117="",'Price History'!B116="",'Price History'!B116=0),"",'Price History'!B117/'Price History'!B116-1)</f>
        <v>-1.2592219489792944E-2</v>
      </c>
      <c r="C116" s="63">
        <f>IF(OR('Price History'!C117="",'Price History'!C116="",'Price History'!C116=0),"",'Price History'!C117/'Price History'!C116-1)</f>
        <v>-7.138221933809219E-2</v>
      </c>
      <c r="D116" s="63">
        <f>IF(OR('Price History'!D117="",'Price History'!D116="",'Price History'!D116=0),"",'Price History'!D117/'Price History'!D116-1)</f>
        <v>9.9424262169004018E-2</v>
      </c>
      <c r="E116" s="63">
        <f>IF(OR('Price History'!E117="",'Price History'!E116="",'Price History'!E116=0),"",'Price History'!E117/'Price History'!E116-1)</f>
        <v>7.6086621692388334E-2</v>
      </c>
      <c r="F116" s="63">
        <f>IF(OR('Price History'!F117="",'Price History'!F116="",'Price History'!F116=0),"",'Price History'!F117/'Price History'!F116-1)</f>
        <v>-1.83114568141306E-2</v>
      </c>
      <c r="G116" s="63">
        <f>IF(OR('Price History'!G117="",'Price History'!G116="",'Price History'!G116=0),"",'Price History'!G117/'Price History'!G116-1)</f>
        <v>0.12606837606837606</v>
      </c>
      <c r="H116" s="63">
        <f>IF(OR('Price History'!H117="",'Price History'!H116="",'Price History'!H116=0),"",'Price History'!H117/'Price History'!H116-1)</f>
        <v>0.11442731277533036</v>
      </c>
      <c r="I116" s="63">
        <f>IF(OR('Price History'!I117="",'Price History'!I116="",'Price History'!I116=0),"",'Price History'!I117/'Price History'!I116-1)</f>
        <v>3.2758244158115346E-4</v>
      </c>
      <c r="J116" s="63">
        <f>IF(OR('Price History'!J117="",'Price History'!J116="",'Price History'!J116=0),"",'Price History'!J117/'Price History'!J116-1)</f>
        <v>0.11552638676616023</v>
      </c>
      <c r="K116" s="63">
        <f>IF(OR('Price History'!K117="",'Price History'!K116="",'Price History'!K116=0),"",'Price History'!K117/'Price History'!K116-1)</f>
        <v>1.5446876424988654E-2</v>
      </c>
      <c r="L116" s="63">
        <f>IF(OR('Price History'!L117="",'Price History'!L116="",'Price History'!L116=0),"",'Price History'!L117/'Price History'!L116-1)</f>
        <v>5.1378892610275617E-2</v>
      </c>
      <c r="M116" s="63">
        <f>IF(OR('Price History'!M117="",'Price History'!M116="",'Price History'!M116=0),"",'Price History'!M117/'Price History'!M116-1)</f>
        <v>2.9524880184604418E-2</v>
      </c>
      <c r="N116" s="63">
        <f>IF(OR('Price History'!N117="",'Price History'!N116="",'Price History'!N116=0),"",'Price History'!N117/'Price History'!N116-1)</f>
        <v>2.2119228034036986E-2</v>
      </c>
      <c r="O116" s="63" t="str">
        <f>IF(OR('Price History'!O117="",'Price History'!O116="",'Price History'!O116=0),"",'Price History'!O117/'Price History'!O116-1)</f>
        <v/>
      </c>
      <c r="P116" s="63" t="str">
        <f>IF(OR('Price History'!P117="",'Price History'!P116="",'Price History'!P116=0),"",'Price History'!P117/'Price History'!P116-1)</f>
        <v/>
      </c>
      <c r="Q116" s="63" t="str">
        <f>IF(OR('Price History'!Q117="",'Price History'!Q116="",'Price History'!Q116=0),"",'Price History'!Q117/'Price History'!Q116-1)</f>
        <v/>
      </c>
    </row>
    <row r="117" spans="1:17" ht="15" customHeight="1" x14ac:dyDescent="0.2">
      <c r="A117" s="49">
        <f>'Price History'!A118</f>
        <v>45954</v>
      </c>
      <c r="B117" s="63">
        <f>IF(OR('Price History'!B118="",'Price History'!B117="",'Price History'!B117=0),"",'Price History'!B118/'Price History'!B117-1)</f>
        <v>6.0793374542399192E-2</v>
      </c>
      <c r="C117" s="63">
        <f>IF(OR('Price History'!C118="",'Price History'!C117="",'Price History'!C117=0),"",'Price History'!C118/'Price History'!C117-1)</f>
        <v>7.4912648497554191E-2</v>
      </c>
      <c r="D117" s="63">
        <f>IF(OR('Price History'!D118="",'Price History'!D117="",'Price History'!D117=0),"",'Price History'!D118/'Price History'!D117-1)</f>
        <v>3.7210838749792696E-3</v>
      </c>
      <c r="E117" s="63">
        <f>IF(OR('Price History'!E118="",'Price History'!E117="",'Price History'!E117=0),"",'Price History'!E118/'Price History'!E117-1)</f>
        <v>1.3740589127758884E-2</v>
      </c>
      <c r="F117" s="63">
        <f>IF(OR('Price History'!F118="",'Price History'!F117="",'Price History'!F117=0),"",'Price History'!F118/'Price History'!F117-1)</f>
        <v>8.8065368108286801E-2</v>
      </c>
      <c r="G117" s="63">
        <f>IF(OR('Price History'!G118="",'Price History'!G117="",'Price History'!G117=0),"",'Price History'!G118/'Price History'!G117-1)</f>
        <v>6.8762989066594393E-2</v>
      </c>
      <c r="H117" s="63">
        <f>IF(OR('Price History'!H118="",'Price History'!H117="",'Price History'!H117=0),"",'Price History'!H118/'Price History'!H117-1)</f>
        <v>8.2221563395592501E-2</v>
      </c>
      <c r="I117" s="63">
        <f>IF(OR('Price History'!I118="",'Price History'!I117="",'Price History'!I117=0),"",'Price History'!I118/'Price History'!I117-1)</f>
        <v>1.6592075100971382E-2</v>
      </c>
      <c r="J117" s="63">
        <f>IF(OR('Price History'!J118="",'Price History'!J117="",'Price History'!J117=0),"",'Price History'!J118/'Price History'!J117-1)</f>
        <v>1.8939393939394034E-2</v>
      </c>
      <c r="K117" s="63">
        <f>IF(OR('Price History'!K118="",'Price History'!K117="",'Price History'!K117=0),"",'Price History'!K118/'Price History'!K117-1)</f>
        <v>3.6373842267751755E-2</v>
      </c>
      <c r="L117" s="63">
        <f>IF(OR('Price History'!L118="",'Price History'!L117="",'Price History'!L117=0),"",'Price History'!L118/'Price History'!L117-1)</f>
        <v>-4.0666937779587631E-4</v>
      </c>
      <c r="M117" s="63">
        <f>IF(OR('Price History'!M118="",'Price History'!M117="",'Price History'!M117=0),"",'Price History'!M118/'Price History'!M117-1)</f>
        <v>6.9310344827586245E-2</v>
      </c>
      <c r="N117" s="63">
        <f>IF(OR('Price History'!N118="",'Price History'!N117="",'Price History'!N117=0),"",'Price History'!N118/'Price History'!N117-1)</f>
        <v>1.0988220052301934E-2</v>
      </c>
      <c r="O117" s="63" t="str">
        <f>IF(OR('Price History'!O118="",'Price History'!O117="",'Price History'!O117=0),"",'Price History'!O118/'Price History'!O117-1)</f>
        <v/>
      </c>
      <c r="P117" s="63" t="str">
        <f>IF(OR('Price History'!P118="",'Price History'!P117="",'Price History'!P117=0),"",'Price History'!P118/'Price History'!P117-1)</f>
        <v/>
      </c>
      <c r="Q117" s="63" t="str">
        <f>IF(OR('Price History'!Q118="",'Price History'!Q117="",'Price History'!Q117=0),"",'Price History'!Q118/'Price History'!Q117-1)</f>
        <v/>
      </c>
    </row>
    <row r="118" spans="1:17" ht="15" customHeight="1" x14ac:dyDescent="0.2">
      <c r="A118" s="49">
        <f>'Price History'!A119</f>
        <v>45961</v>
      </c>
      <c r="B118" s="63">
        <f>IF(OR('Price History'!B119="",'Price History'!B118="",'Price History'!B118=0),"",'Price History'!B119/'Price History'!B118-1)</f>
        <v>-3.7367051369088022E-2</v>
      </c>
      <c r="C118" s="63">
        <f>IF(OR('Price History'!C119="",'Price History'!C118="",'Price History'!C118=0),"",'Price History'!C119/'Price History'!C118-1)</f>
        <v>2.5159277077103193E-2</v>
      </c>
      <c r="D118" s="63">
        <f>IF(OR('Price History'!D119="",'Price History'!D118="",'Price History'!D118=0),"",'Price History'!D119/'Price History'!D118-1)</f>
        <v>2.5292808053431592E-2</v>
      </c>
      <c r="E118" s="63">
        <f>IF(OR('Price History'!E119="",'Price History'!E118="",'Price History'!E118=0),"",'Price History'!E119/'Price History'!E118-1)</f>
        <v>4.3769237285742557E-2</v>
      </c>
      <c r="F118" s="63">
        <f>IF(OR('Price History'!F119="",'Price History'!F118="",'Price History'!F118=0),"",'Price History'!F119/'Price History'!F118-1)</f>
        <v>2.9735265114162024E-2</v>
      </c>
      <c r="G118" s="63">
        <f>IF(OR('Price History'!G119="",'Price History'!G118="",'Price History'!G118=0),"",'Price History'!G119/'Price History'!G118-1)</f>
        <v>2.1897193101116041E-2</v>
      </c>
      <c r="H118" s="63">
        <f>IF(OR('Price History'!H119="",'Price History'!H118="",'Price History'!H118=0),"",'Price History'!H119/'Price History'!H118-1)</f>
        <v>2.168751712172412E-2</v>
      </c>
      <c r="I118" s="63">
        <f>IF(OR('Price History'!I119="",'Price History'!I118="",'Price History'!I118=0),"",'Price History'!I119/'Price History'!I118-1)</f>
        <v>8.7136261140341453E-2</v>
      </c>
      <c r="J118" s="63">
        <f>IF(OR('Price History'!J119="",'Price History'!J118="",'Price History'!J118=0),"",'Price History'!J119/'Price History'!J118-1)</f>
        <v>-1.8508265443328398E-2</v>
      </c>
      <c r="K118" s="63">
        <f>IF(OR('Price History'!K119="",'Price History'!K118="",'Price History'!K118=0),"",'Price History'!K119/'Price History'!K118-1)</f>
        <v>8.5793208037697077E-2</v>
      </c>
      <c r="L118" s="63">
        <f>IF(OR('Price History'!L119="",'Price History'!L118="",'Price History'!L118=0),"",'Price History'!L119/'Price History'!L118-1)</f>
        <v>1.8544887442365265E-2</v>
      </c>
      <c r="M118" s="63">
        <f>IF(OR('Price History'!M119="",'Price History'!M118="",'Price History'!M118=0),"",'Price History'!M119/'Price History'!M118-1)</f>
        <v>3.6547350317102101E-2</v>
      </c>
      <c r="N118" s="63">
        <f>IF(OR('Price History'!N119="",'Price History'!N118="",'Price History'!N118=0),"",'Price History'!N119/'Price History'!N118-1)</f>
        <v>9.919551958992967E-3</v>
      </c>
      <c r="O118" s="63" t="str">
        <f>IF(OR('Price History'!O119="",'Price History'!O118="",'Price History'!O118=0),"",'Price History'!O119/'Price History'!O118-1)</f>
        <v/>
      </c>
      <c r="P118" s="63" t="str">
        <f>IF(OR('Price History'!P119="",'Price History'!P118="",'Price History'!P118=0),"",'Price History'!P119/'Price History'!P118-1)</f>
        <v/>
      </c>
      <c r="Q118" s="63" t="str">
        <f>IF(OR('Price History'!Q119="",'Price History'!Q118="",'Price History'!Q118=0),"",'Price History'!Q119/'Price History'!Q118-1)</f>
        <v/>
      </c>
    </row>
    <row r="119" spans="1:17" ht="15" customHeight="1" x14ac:dyDescent="0.2">
      <c r="A119" s="49">
        <f>'Price History'!A120</f>
        <v>45968</v>
      </c>
      <c r="B119" s="63">
        <f>IF(OR('Price History'!B120="",'Price History'!B119="",'Price History'!B119=0),"",'Price History'!B120/'Price History'!B119-1)</f>
        <v>-3.9258323293467789E-2</v>
      </c>
      <c r="C119" s="63">
        <f>IF(OR('Price History'!C120="",'Price History'!C119="",'Price History'!C119=0),"",'Price History'!C120/'Price History'!C119-1)</f>
        <v>-0.14610945526032082</v>
      </c>
      <c r="D119" s="63">
        <f>IF(OR('Price History'!D120="",'Price History'!D119="",'Price History'!D119=0),"",'Price History'!D120/'Price History'!D119-1)</f>
        <v>-3.9906347063432879E-2</v>
      </c>
      <c r="E119" s="63">
        <f>IF(OR('Price History'!E120="",'Price History'!E119="",'Price History'!E119=0),"",'Price History'!E120/'Price History'!E119-1)</f>
        <v>-5.4649243838432948E-2</v>
      </c>
      <c r="F119" s="63">
        <f>IF(OR('Price History'!F120="",'Price History'!F119="",'Price History'!F119=0),"",'Price History'!F120/'Price History'!F119-1)</f>
        <v>-5.8931860036832706E-3</v>
      </c>
      <c r="G119" s="63">
        <f>IF(OR('Price History'!G120="",'Price History'!G119="",'Price History'!G119=0),"",'Price History'!G120/'Price History'!G119-1)</f>
        <v>-1.2658227848101222E-2</v>
      </c>
      <c r="H119" s="63">
        <f>IF(OR('Price History'!H120="",'Price History'!H119="",'Price History'!H119=0),"",'Price History'!H120/'Price History'!H119-1)</f>
        <v>6.3234571211511659E-2</v>
      </c>
      <c r="I119" s="63">
        <f>IF(OR('Price History'!I120="",'Price History'!I119="",'Price History'!I119=0),"",'Price History'!I120/'Price History'!I119-1)</f>
        <v>-7.0818312015408225E-2</v>
      </c>
      <c r="J119" s="63">
        <f>IF(OR('Price History'!J120="",'Price History'!J119="",'Price History'!J119=0),"",'Price History'!J120/'Price History'!J119-1)</f>
        <v>1.2168587315657842E-2</v>
      </c>
      <c r="K119" s="63">
        <f>IF(OR('Price History'!K120="",'Price History'!K119="",'Price History'!K119=0),"",'Price History'!K120/'Price History'!K119-1)</f>
        <v>-0.1124357759265725</v>
      </c>
      <c r="L119" s="63">
        <f>IF(OR('Price History'!L120="",'Price History'!L119="",'Price History'!L119=0),"",'Price History'!L120/'Price History'!L119-1)</f>
        <v>-4.636687414705587E-2</v>
      </c>
      <c r="M119" s="63">
        <f>IF(OR('Price History'!M120="",'Price History'!M119="",'Price History'!M119=0),"",'Price History'!M120/'Price History'!M119-1)</f>
        <v>-6.771751529606973E-2</v>
      </c>
      <c r="N119" s="63">
        <f>IF(OR('Price History'!N120="",'Price History'!N119="",'Price History'!N119=0),"",'Price History'!N120/'Price History'!N119-1)</f>
        <v>-3.7831614070540587E-2</v>
      </c>
      <c r="O119" s="63" t="str">
        <f>IF(OR('Price History'!O120="",'Price History'!O119="",'Price History'!O119=0),"",'Price History'!O120/'Price History'!O119-1)</f>
        <v/>
      </c>
      <c r="P119" s="63" t="str">
        <f>IF(OR('Price History'!P120="",'Price History'!P119="",'Price History'!P119=0),"",'Price History'!P120/'Price History'!P119-1)</f>
        <v/>
      </c>
      <c r="Q119" s="63" t="str">
        <f>IF(OR('Price History'!Q120="",'Price History'!Q119="",'Price History'!Q119=0),"",'Price History'!Q120/'Price History'!Q119-1)</f>
        <v/>
      </c>
    </row>
    <row r="120" spans="1:17" ht="15" customHeight="1" x14ac:dyDescent="0.2">
      <c r="A120" s="49">
        <f>'Price History'!A121</f>
        <v>45975</v>
      </c>
      <c r="B120" s="63">
        <f>IF(OR('Price History'!B121="",'Price History'!B120="",'Price History'!B120=0),"",'Price History'!B121/'Price History'!B120-1)</f>
        <v>1.2723658051689846E-2</v>
      </c>
      <c r="C120" s="63">
        <f>IF(OR('Price History'!C121="",'Price History'!C120="",'Price History'!C120=0),"",'Price History'!C121/'Price History'!C120-1)</f>
        <v>-2.4359450427033025E-2</v>
      </c>
      <c r="D120" s="63">
        <f>IF(OR('Price History'!D121="",'Price History'!D120="",'Price History'!D120=0),"",'Price History'!D121/'Price History'!D120-1)</f>
        <v>-9.8135619886721148E-3</v>
      </c>
      <c r="E120" s="63">
        <f>IF(OR('Price History'!E121="",'Price History'!E120="",'Price History'!E120=0),"",'Price History'!E121/'Price History'!E120-1)</f>
        <v>-1.9946770454740692E-2</v>
      </c>
      <c r="F120" s="63">
        <f>IF(OR('Price History'!F121="",'Price History'!F120="",'Price History'!F120=0),"",'Price History'!F121/'Price History'!F120-1)</f>
        <v>-4.1496850685439624E-3</v>
      </c>
      <c r="G120" s="63">
        <f>IF(OR('Price History'!G121="",'Price History'!G120="",'Price History'!G120=0),"",'Price History'!G121/'Price History'!G120-1)</f>
        <v>-4.9522373051784752E-2</v>
      </c>
      <c r="H120" s="63">
        <f>IF(OR('Price History'!H121="",'Price History'!H120="",'Price History'!H120=0),"",'Price History'!H121/'Price History'!H120-1)</f>
        <v>3.7449562878278497E-2</v>
      </c>
      <c r="I120" s="63">
        <f>IF(OR('Price History'!I121="",'Price History'!I120="",'Price History'!I120=0),"",'Price History'!I121/'Price History'!I120-1)</f>
        <v>1.0736114802019525E-2</v>
      </c>
      <c r="J120" s="63">
        <f>IF(OR('Price History'!J121="",'Price History'!J120="",'Price History'!J120=0),"",'Price History'!J121/'Price History'!J120-1)</f>
        <v>-2.2054140127388489E-2</v>
      </c>
      <c r="K120" s="63">
        <f>IF(OR('Price History'!K121="",'Price History'!K120="",'Price History'!K120=0),"",'Price History'!K121/'Price History'!K120-1)</f>
        <v>-2.2031135839937099E-2</v>
      </c>
      <c r="L120" s="63">
        <f>IF(OR('Price History'!L121="",'Price History'!L120="",'Price History'!L120=0),"",'Price History'!L121/'Price History'!L120-1)</f>
        <v>-5.8638743455498021E-3</v>
      </c>
      <c r="M120" s="63">
        <f>IF(OR('Price History'!M121="",'Price History'!M120="",'Price History'!M120=0),"",'Price History'!M121/'Price History'!M120-1)</f>
        <v>-4.9110122358175801E-2</v>
      </c>
      <c r="N120" s="63">
        <f>IF(OR('Price History'!N121="",'Price History'!N120="",'Price History'!N120=0),"",'Price History'!N121/'Price History'!N120-1)</f>
        <v>6.7599579944806587E-2</v>
      </c>
      <c r="O120" s="63" t="str">
        <f>IF(OR('Price History'!O121="",'Price History'!O120="",'Price History'!O120=0),"",'Price History'!O121/'Price History'!O120-1)</f>
        <v/>
      </c>
      <c r="P120" s="63" t="str">
        <f>IF(OR('Price History'!P121="",'Price History'!P120="",'Price History'!P120=0),"",'Price History'!P121/'Price History'!P120-1)</f>
        <v/>
      </c>
      <c r="Q120" s="63" t="str">
        <f>IF(OR('Price History'!Q121="",'Price History'!Q120="",'Price History'!Q120=0),"",'Price History'!Q121/'Price History'!Q120-1)</f>
        <v/>
      </c>
    </row>
    <row r="121" spans="1:17" ht="15" customHeight="1" x14ac:dyDescent="0.2">
      <c r="A121" s="49">
        <f>'Price History'!A122</f>
        <v>45982</v>
      </c>
      <c r="B121" s="63">
        <f>IF(OR('Price History'!B122="",'Price History'!B121="",'Price History'!B121=0),"",'Price History'!B122/'Price History'!B121-1)</f>
        <v>-2.08993989912718E-2</v>
      </c>
      <c r="C121" s="63">
        <f>IF(OR('Price History'!C122="",'Price History'!C121="",'Price History'!C121=0),"",'Price History'!C122/'Price History'!C121-1)</f>
        <v>-0.10611250666057692</v>
      </c>
      <c r="D121" s="63">
        <f>IF(OR('Price History'!D122="",'Price History'!D121="",'Price History'!D121=0),"",'Price History'!D122/'Price History'!D121-1)</f>
        <v>-4.0129893344455714E-2</v>
      </c>
      <c r="E121" s="63">
        <f>IF(OR('Price History'!E122="",'Price History'!E121="",'Price History'!E121=0),"",'Price History'!E122/'Price History'!E121-1)</f>
        <v>-6.599310868422581E-3</v>
      </c>
      <c r="F121" s="63">
        <f>IF(OR('Price History'!F122="",'Price History'!F121="",'Price History'!F121=0),"",'Price History'!F122/'Price History'!F121-1)</f>
        <v>-8.7208869707567471E-2</v>
      </c>
      <c r="G121" s="63">
        <f>IF(OR('Price History'!G122="",'Price History'!G121="",'Price History'!G121=0),"",'Price History'!G122/'Price History'!G121-1)</f>
        <v>-3.2795556731023634E-2</v>
      </c>
      <c r="H121" s="63">
        <f>IF(OR('Price History'!H122="",'Price History'!H121="",'Price History'!H121=0),"",'Price History'!H122/'Price History'!H121-1)</f>
        <v>-0.15986711501843376</v>
      </c>
      <c r="I121" s="63">
        <f>IF(OR('Price History'!I122="",'Price History'!I121="",'Price History'!I121=0),"",'Price History'!I122/'Price History'!I121-1)</f>
        <v>-5.9367933953830776E-2</v>
      </c>
      <c r="J121" s="63">
        <f>IF(OR('Price History'!J122="",'Price History'!J121="",'Price History'!J121=0),"",'Price History'!J122/'Price History'!J121-1)</f>
        <v>2.4098347309289281E-2</v>
      </c>
      <c r="K121" s="63">
        <f>IF(OR('Price History'!K122="",'Price History'!K121="",'Price History'!K121=0),"",'Price History'!K122/'Price History'!K121-1)</f>
        <v>-0.11010861444744557</v>
      </c>
      <c r="L121" s="63">
        <f>IF(OR('Price History'!L122="",'Price History'!L121="",'Price History'!L121=0),"",'Price History'!L122/'Price History'!L121-1)</f>
        <v>-3.4267256512885313E-2</v>
      </c>
      <c r="M121" s="63">
        <f>IF(OR('Price History'!M122="",'Price History'!M121="",'Price History'!M121=0),"",'Price History'!M122/'Price History'!M121-1)</f>
        <v>-6.5157629993566002E-2</v>
      </c>
      <c r="N121" s="63">
        <f>IF(OR('Price History'!N122="",'Price History'!N121="",'Price History'!N121=0),"",'Price History'!N122/'Price History'!N121-1)</f>
        <v>-2.3767585496969001E-2</v>
      </c>
      <c r="O121" s="63" t="str">
        <f>IF(OR('Price History'!O122="",'Price History'!O121="",'Price History'!O121=0),"",'Price History'!O122/'Price History'!O121-1)</f>
        <v/>
      </c>
      <c r="P121" s="63" t="str">
        <f>IF(OR('Price History'!P122="",'Price History'!P121="",'Price History'!P121=0),"",'Price History'!P122/'Price History'!P121-1)</f>
        <v/>
      </c>
      <c r="Q121" s="63" t="str">
        <f>IF(OR('Price History'!Q122="",'Price History'!Q121="",'Price History'!Q121=0),"",'Price History'!Q122/'Price History'!Q121-1)</f>
        <v/>
      </c>
    </row>
    <row r="122" spans="1:17" ht="15" customHeight="1" x14ac:dyDescent="0.2">
      <c r="A122" s="49">
        <f>'Price History'!A123</f>
        <v>45989</v>
      </c>
      <c r="B122" s="63">
        <f>IF(OR('Price History'!B123="",'Price History'!B122="",'Price History'!B122=0),"",'Price History'!B123/'Price History'!B122-1)</f>
        <v>-1.2523520157932122E-2</v>
      </c>
      <c r="C122" s="63">
        <f>IF(OR('Price History'!C123="",'Price History'!C122="",'Price History'!C122=0),"",'Price History'!C123/'Price History'!C122-1)</f>
        <v>0.11283317721195596</v>
      </c>
      <c r="D122" s="63">
        <f>IF(OR('Price History'!D123="",'Price History'!D122="",'Price History'!D122=0),"",'Price History'!D123/'Price History'!D122-1)</f>
        <v>9.6661390276958636E-2</v>
      </c>
      <c r="E122" s="63">
        <f>IF(OR('Price History'!E123="",'Price History'!E122="",'Price History'!E122=0),"",'Price History'!E123/'Price History'!E122-1)</f>
        <v>0.18447971781305106</v>
      </c>
      <c r="F122" s="63">
        <f>IF(OR('Price History'!F123="",'Price History'!F122="",'Price History'!F122=0),"",'Price History'!F123/'Price History'!F122-1)</f>
        <v>3.7662020053802925E-2</v>
      </c>
      <c r="G122" s="63">
        <f>IF(OR('Price History'!G123="",'Price History'!G122="",'Price History'!G122=0),"",'Price History'!G123/'Price History'!G122-1)</f>
        <v>7.146112478352018E-2</v>
      </c>
      <c r="H122" s="63">
        <f>IF(OR('Price History'!H123="",'Price History'!H122="",'Price History'!H122=0),"",'Price History'!H123/'Price History'!H122-1)</f>
        <v>0.14037710372763645</v>
      </c>
      <c r="I122" s="63">
        <f>IF(OR('Price History'!I123="",'Price History'!I122="",'Price History'!I122=0),"",'Price History'!I123/'Price History'!I122-1)</f>
        <v>-1.0509838998211118E-2</v>
      </c>
      <c r="J122" s="63">
        <f>IF(OR('Price History'!J123="",'Price History'!J122="",'Price History'!J122=0),"",'Price History'!J123/'Price History'!J122-1)</f>
        <v>2.1782335638762973E-2</v>
      </c>
      <c r="K122" s="63">
        <f>IF(OR('Price History'!K123="",'Price History'!K122="",'Price History'!K122=0),"",'Price History'!K123/'Price History'!K122-1)</f>
        <v>8.782692928640623E-2</v>
      </c>
      <c r="L122" s="63">
        <f>IF(OR('Price History'!L123="",'Price History'!L122="",'Price History'!L122=0),"",'Price History'!L123/'Price History'!L122-1)</f>
        <v>5.9805133425434365E-2</v>
      </c>
      <c r="M122" s="63">
        <f>IF(OR('Price History'!M123="",'Price History'!M122="",'Price History'!M122=0),"",'Price History'!M123/'Price History'!M122-1)</f>
        <v>0.12450728899455665</v>
      </c>
      <c r="N122" s="63">
        <f>IF(OR('Price History'!N123="",'Price History'!N122="",'Price History'!N122=0),"",'Price History'!N123/'Price History'!N122-1)</f>
        <v>1.6051176305183379E-2</v>
      </c>
      <c r="O122" s="63" t="str">
        <f>IF(OR('Price History'!O123="",'Price History'!O122="",'Price History'!O122=0),"",'Price History'!O123/'Price History'!O122-1)</f>
        <v/>
      </c>
      <c r="P122" s="63" t="str">
        <f>IF(OR('Price History'!P123="",'Price History'!P122="",'Price History'!P122=0),"",'Price History'!P123/'Price History'!P122-1)</f>
        <v/>
      </c>
      <c r="Q122" s="63" t="str">
        <f>IF(OR('Price History'!Q123="",'Price History'!Q122="",'Price History'!Q122=0),"",'Price History'!Q123/'Price History'!Q122-1)</f>
        <v/>
      </c>
    </row>
    <row r="123" spans="1:17" ht="15" customHeight="1" x14ac:dyDescent="0.2">
      <c r="A123" s="49">
        <f>'Price History'!A124</f>
        <v>45996</v>
      </c>
      <c r="B123" s="63">
        <f>IF(OR('Price History'!B124="",'Price History'!B123="",'Price History'!B123=0),"",'Price History'!B124/'Price History'!B123-1)</f>
        <v>8.1623090619435734E-2</v>
      </c>
      <c r="C123" s="63">
        <f>IF(OR('Price History'!C124="",'Price History'!C123="",'Price History'!C123=0),"",'Price History'!C124/'Price History'!C123-1)</f>
        <v>-1.5993265993266004E-2</v>
      </c>
      <c r="D123" s="63">
        <f>IF(OR('Price History'!D124="",'Price History'!D123="",'Price History'!D123=0),"",'Price History'!D124/'Price History'!D123-1)</f>
        <v>3.723584905660382E-2</v>
      </c>
      <c r="E123" s="63">
        <f>IF(OR('Price History'!E124="",'Price History'!E123="",'Price History'!E123=0),"",'Price History'!E124/'Price History'!E123-1)</f>
        <v>-3.1566408576533589E-2</v>
      </c>
      <c r="F123" s="63">
        <f>IF(OR('Price History'!F124="",'Price History'!F123="",'Price History'!F123=0),"",'Price History'!F124/'Price History'!F123-1)</f>
        <v>5.6563752062219752E-3</v>
      </c>
      <c r="G123" s="63">
        <f>IF(OR('Price History'!G124="",'Price History'!G123="",'Price History'!G123=0),"",'Price History'!G124/'Price History'!G123-1)</f>
        <v>3.3177371331348349E-2</v>
      </c>
      <c r="H123" s="63">
        <f>IF(OR('Price History'!H124="",'Price History'!H123="",'Price History'!H123=0),"",'Price History'!H124/'Price History'!H123-1)</f>
        <v>3.1292286874153863E-3</v>
      </c>
      <c r="I123" s="63">
        <f>IF(OR('Price History'!I124="",'Price History'!I123="",'Price History'!I123=0),"",'Price History'!I124/'Price History'!I123-1)</f>
        <v>3.0564971751412484E-2</v>
      </c>
      <c r="J123" s="63">
        <f>IF(OR('Price History'!J124="",'Price History'!J123="",'Price History'!J123=0),"",'Price History'!J124/'Price History'!J123-1)</f>
        <v>-4.2791566171321849E-3</v>
      </c>
      <c r="K123" s="63">
        <f>IF(OR('Price History'!K124="",'Price History'!K123="",'Price History'!K123=0),"",'Price History'!K124/'Price History'!K123-1)</f>
        <v>7.9014544375185514E-2</v>
      </c>
      <c r="L123" s="63">
        <f>IF(OR('Price History'!L124="",'Price History'!L123="",'Price History'!L123=0),"",'Price History'!L124/'Price History'!L123-1)</f>
        <v>1.1011629103632847E-2</v>
      </c>
      <c r="M123" s="63">
        <f>IF(OR('Price History'!M124="",'Price History'!M123="",'Price History'!M123=0),"",'Price History'!M124/'Price History'!M123-1)</f>
        <v>5.1688644077227064E-2</v>
      </c>
      <c r="N123" s="63">
        <f>IF(OR('Price History'!N124="",'Price History'!N123="",'Price History'!N123=0),"",'Price History'!N124/'Price History'!N123-1)</f>
        <v>5.0437028666313166E-2</v>
      </c>
      <c r="O123" s="63" t="str">
        <f>IF(OR('Price History'!O124="",'Price History'!O123="",'Price History'!O123=0),"",'Price History'!O124/'Price History'!O123-1)</f>
        <v/>
      </c>
      <c r="P123" s="63" t="str">
        <f>IF(OR('Price History'!P124="",'Price History'!P123="",'Price History'!P123=0),"",'Price History'!P124/'Price History'!P123-1)</f>
        <v/>
      </c>
      <c r="Q123" s="63" t="str">
        <f>IF(OR('Price History'!Q124="",'Price History'!Q123="",'Price History'!Q123=0),"",'Price History'!Q124/'Price History'!Q123-1)</f>
        <v/>
      </c>
    </row>
    <row r="124" spans="1:17" ht="15" customHeight="1" x14ac:dyDescent="0.2">
      <c r="A124" s="49">
        <f>'Price History'!A125</f>
        <v>46003</v>
      </c>
      <c r="B124" s="63">
        <f>IF(OR('Price History'!B125="",'Price History'!B124="",'Price History'!B124=0),"",'Price History'!B125/'Price History'!B124-1)</f>
        <v>2.9370992895512149E-2</v>
      </c>
      <c r="C124" s="63">
        <f>IF(OR('Price History'!C125="",'Price History'!C124="",'Price History'!C124=0),"",'Price History'!C125/'Price History'!C124-1)</f>
        <v>-2.9784586670814184E-2</v>
      </c>
      <c r="D124" s="63">
        <f>IF(OR('Price History'!D125="",'Price History'!D124="",'Price History'!D124=0),"",'Price History'!D125/'Price History'!D124-1)</f>
        <v>-1.693543252658114E-2</v>
      </c>
      <c r="E124" s="63">
        <f>IF(OR('Price History'!E125="",'Price History'!E124="",'Price History'!E124=0),"",'Price History'!E125/'Price History'!E124-1)</f>
        <v>-7.7670151701517032E-2</v>
      </c>
      <c r="F124" s="63">
        <f>IF(OR('Price History'!F125="",'Price History'!F124="",'Price History'!F124=0),"",'Price History'!F125/'Price History'!F124-1)</f>
        <v>-1.4139520349972567E-2</v>
      </c>
      <c r="G124" s="63">
        <f>IF(OR('Price History'!G125="",'Price History'!G124="",'Price History'!G124=0),"",'Price History'!G125/'Price History'!G124-1)</f>
        <v>-1.696171263894608E-2</v>
      </c>
      <c r="H124" s="63">
        <f>IF(OR('Price History'!H125="",'Price History'!H124="",'Price History'!H124=0),"",'Price History'!H125/'Price History'!H124-1)</f>
        <v>1.652474496248213E-2</v>
      </c>
      <c r="I124" s="63">
        <f>IF(OR('Price History'!I125="",'Price History'!I124="",'Price History'!I124=0),"",'Price History'!I125/'Price History'!I124-1)</f>
        <v>-4.0513129762622557E-2</v>
      </c>
      <c r="J124" s="63">
        <f>IF(OR('Price History'!J125="",'Price History'!J124="",'Price History'!J124=0),"",'Price History'!J125/'Price History'!J124-1)</f>
        <v>1.7190185966557303E-2</v>
      </c>
      <c r="K124" s="63">
        <f>IF(OR('Price History'!K125="",'Price History'!K124="",'Price History'!K124=0),"",'Price History'!K125/'Price History'!K124-1)</f>
        <v>9.9581866197182567E-3</v>
      </c>
      <c r="L124" s="63">
        <f>IF(OR('Price History'!L125="",'Price History'!L124="",'Price History'!L124=0),"",'Price History'!L125/'Price History'!L124-1)</f>
        <v>-9.0933767643865959E-3</v>
      </c>
      <c r="M124" s="63">
        <f>IF(OR('Price History'!M125="",'Price History'!M124="",'Price History'!M124=0),"",'Price History'!M125/'Price History'!M124-1)</f>
        <v>-0.14680986139032903</v>
      </c>
      <c r="N124" s="63">
        <f>IF(OR('Price History'!N125="",'Price History'!N124="",'Price History'!N124=0),"",'Price History'!N125/'Price History'!N124-1)</f>
        <v>-7.5524721173267917E-3</v>
      </c>
      <c r="O124" s="63" t="str">
        <f>IF(OR('Price History'!O125="",'Price History'!O124="",'Price History'!O124=0),"",'Price History'!O125/'Price History'!O124-1)</f>
        <v/>
      </c>
      <c r="P124" s="63" t="str">
        <f>IF(OR('Price History'!P125="",'Price History'!P124="",'Price History'!P124=0),"",'Price History'!P125/'Price History'!P124-1)</f>
        <v/>
      </c>
      <c r="Q124" s="63" t="str">
        <f>IF(OR('Price History'!Q125="",'Price History'!Q124="",'Price History'!Q124=0),"",'Price History'!Q125/'Price History'!Q124-1)</f>
        <v/>
      </c>
    </row>
    <row r="125" spans="1:17" ht="15" customHeight="1" x14ac:dyDescent="0.2">
      <c r="A125" s="49">
        <f>'Price History'!A126</f>
        <v>46010</v>
      </c>
      <c r="B125" s="63">
        <f>IF(OR('Price History'!B126="",'Price History'!B125="",'Price History'!B125=0),"",'Price History'!B126/'Price History'!B125-1)</f>
        <v>-1.599191987206483E-3</v>
      </c>
      <c r="C125" s="63">
        <f>IF(OR('Price History'!C126="",'Price History'!C125="",'Price History'!C125=0),"",'Price History'!C126/'Price History'!C125-1)</f>
        <v>5.0977877524847726E-2</v>
      </c>
      <c r="D125" s="63">
        <f>IF(OR('Price History'!D126="",'Price History'!D125="",'Price History'!D125=0),"",'Price History'!D126/'Price History'!D125-1)</f>
        <v>-2.2972660406161749E-2</v>
      </c>
      <c r="E125" s="63">
        <f>IF(OR('Price History'!E126="",'Price History'!E125="",'Price History'!E125=0),"",'Price History'!E126/'Price History'!E125-1)</f>
        <v>-5.4371683382880009E-2</v>
      </c>
      <c r="F125" s="63">
        <f>IF(OR('Price History'!F126="",'Price History'!F125="",'Price History'!F125=0),"",'Price History'!F126/'Price History'!F125-1)</f>
        <v>-4.6592709984152214E-2</v>
      </c>
      <c r="G125" s="63">
        <f>IF(OR('Price History'!G126="",'Price History'!G125="",'Price History'!G125=0),"",'Price History'!G126/'Price History'!G125-1)</f>
        <v>4.3387218359996593E-2</v>
      </c>
      <c r="H125" s="63">
        <f>IF(OR('Price History'!H126="",'Price History'!H125="",'Price History'!H125=0),"",'Price History'!H126/'Price History'!H125-1)</f>
        <v>0.10276188106494155</v>
      </c>
      <c r="I125" s="63">
        <f>IF(OR('Price History'!I126="",'Price History'!I125="",'Price History'!I125=0),"",'Price History'!I126/'Price History'!I125-1)</f>
        <v>3.4110387384298946E-2</v>
      </c>
      <c r="J125" s="63">
        <f>IF(OR('Price History'!J126="",'Price History'!J125="",'Price History'!J125=0),"",'Price History'!J126/'Price History'!J125-1)</f>
        <v>-2.2660931018589681E-2</v>
      </c>
      <c r="K125" s="63">
        <f>IF(OR('Price History'!K126="",'Price History'!K125="",'Price History'!K125=0),"",'Price History'!K126/'Price History'!K125-1)</f>
        <v>5.3440104592253679E-2</v>
      </c>
      <c r="L125" s="63">
        <f>IF(OR('Price History'!L126="",'Price History'!L125="",'Price History'!L125=0),"",'Price History'!L126/'Price History'!L125-1)</f>
        <v>-1.0580742364059814E-2</v>
      </c>
      <c r="M125" s="63">
        <f>IF(OR('Price History'!M126="",'Price History'!M125="",'Price History'!M125=0),"",'Price History'!M126/'Price History'!M125-1)</f>
        <v>-8.9911328827433357E-3</v>
      </c>
      <c r="N125" s="63">
        <f>IF(OR('Price History'!N126="",'Price History'!N125="",'Price History'!N125=0),"",'Price History'!N126/'Price History'!N125-1)</f>
        <v>9.2027254225288679E-3</v>
      </c>
      <c r="O125" s="63" t="str">
        <f>IF(OR('Price History'!O126="",'Price History'!O125="",'Price History'!O125=0),"",'Price History'!O126/'Price History'!O125-1)</f>
        <v/>
      </c>
      <c r="P125" s="63" t="str">
        <f>IF(OR('Price History'!P126="",'Price History'!P125="",'Price History'!P125=0),"",'Price History'!P126/'Price History'!P125-1)</f>
        <v/>
      </c>
      <c r="Q125" s="63" t="str">
        <f>IF(OR('Price History'!Q126="",'Price History'!Q125="",'Price History'!Q125=0),"",'Price History'!Q126/'Price History'!Q125-1)</f>
        <v/>
      </c>
    </row>
    <row r="126" spans="1:17" ht="15" customHeight="1" x14ac:dyDescent="0.2">
      <c r="A126" s="49">
        <f>'Price History'!A127</f>
        <v>46017</v>
      </c>
      <c r="B126" s="63">
        <f>IF(OR('Price History'!B127="",'Price History'!B126="",'Price History'!B126=0),"",'Price History'!B127/'Price History'!B126-1)</f>
        <v>-5.788793345697707E-3</v>
      </c>
      <c r="C126" s="63">
        <f>IF(OR('Price History'!C127="",'Price History'!C126="",'Price History'!C126=0),"",'Price History'!C127/'Price History'!C126-1)</f>
        <v>5.4911531421597548E-3</v>
      </c>
      <c r="D126" s="63">
        <f>IF(OR('Price History'!D127="",'Price History'!D126="",'Price History'!D126=0),"",'Price History'!D127/'Price History'!D126-1)</f>
        <v>1.5842502982898132E-2</v>
      </c>
      <c r="E126" s="63">
        <f>IF(OR('Price History'!E127="",'Price History'!E126="",'Price History'!E126=0),"",'Price History'!E127/'Price History'!E126-1)</f>
        <v>3.4581031848630817E-2</v>
      </c>
      <c r="F126" s="63">
        <f>IF(OR('Price History'!F127="",'Price History'!F126="",'Price History'!F126=0),"",'Price History'!F127/'Price History'!F126-1)</f>
        <v>-1.6622340425531679E-4</v>
      </c>
      <c r="G126" s="63">
        <f>IF(OR('Price History'!G127="",'Price History'!G126="",'Price History'!G126=0),"",'Price History'!G127/'Price History'!G126-1)</f>
        <v>2.7213614835032596E-2</v>
      </c>
      <c r="H126" s="63">
        <f>IF(OR('Price History'!H127="",'Price History'!H126="",'Price History'!H126=0),"",'Price History'!H127/'Price History'!H126-1)</f>
        <v>7.0961191335740192E-2</v>
      </c>
      <c r="I126" s="63">
        <f>IF(OR('Price History'!I127="",'Price History'!I126="",'Price History'!I126=0),"",'Price History'!I127/'Price History'!I126-1)</f>
        <v>5.2710094480358016E-2</v>
      </c>
      <c r="J126" s="63">
        <f>IF(OR('Price History'!J127="",'Price History'!J126="",'Price History'!J126=0),"",'Price History'!J127/'Price History'!J126-1)</f>
        <v>1.1632476617150056E-2</v>
      </c>
      <c r="K126" s="63">
        <f>IF(OR('Price History'!K127="",'Price History'!K126="",'Price History'!K126=0),"",'Price History'!K127/'Price History'!K126-1)</f>
        <v>-2.4149343261971157E-2</v>
      </c>
      <c r="L126" s="63">
        <f>IF(OR('Price History'!L127="",'Price History'!L126="",'Price History'!L126=0),"",'Price History'!L127/'Price History'!L126-1)</f>
        <v>4.8070600449904743E-2</v>
      </c>
      <c r="M126" s="63">
        <f>IF(OR('Price History'!M127="",'Price History'!M126="",'Price History'!M126=0),"",'Price History'!M127/'Price History'!M126-1)</f>
        <v>4.8554623951946096E-2</v>
      </c>
      <c r="N126" s="63">
        <f>IF(OR('Price History'!N127="",'Price History'!N126="",'Price History'!N126=0),"",'Price History'!N127/'Price History'!N126-1)</f>
        <v>1.4686540990793473E-2</v>
      </c>
      <c r="O126" s="63" t="str">
        <f>IF(OR('Price History'!O127="",'Price History'!O126="",'Price History'!O126=0),"",'Price History'!O127/'Price History'!O126-1)</f>
        <v/>
      </c>
      <c r="P126" s="63" t="str">
        <f>IF(OR('Price History'!P127="",'Price History'!P126="",'Price History'!P126=0),"",'Price History'!P127/'Price History'!P126-1)</f>
        <v/>
      </c>
      <c r="Q126" s="63" t="str">
        <f>IF(OR('Price History'!Q127="",'Price History'!Q126="",'Price History'!Q126=0),"",'Price History'!Q127/'Price History'!Q126-1)</f>
        <v/>
      </c>
    </row>
    <row r="127" spans="1:17" ht="15" customHeight="1" x14ac:dyDescent="0.2">
      <c r="A127" s="49">
        <f>'Price History'!A128</f>
        <v>46024</v>
      </c>
      <c r="B127" s="63">
        <f>IF(OR('Price History'!B128="",'Price History'!B127="",'Price History'!B127=0),"",'Price History'!B128/'Price History'!B127-1)</f>
        <v>-5.7942340305257245E-2</v>
      </c>
      <c r="C127" s="63">
        <f>IF(OR('Price History'!C128="",'Price History'!C127="",'Price History'!C127=0),"",'Price History'!C128/'Price History'!C127-1)</f>
        <v>1.3349514563106624E-2</v>
      </c>
      <c r="D127" s="63">
        <f>IF(OR('Price History'!D128="",'Price History'!D127="",'Price History'!D127=0),"",'Price History'!D128/'Price History'!D127-1)</f>
        <v>8.4856676765322714E-2</v>
      </c>
      <c r="E127" s="63">
        <f>IF(OR('Price History'!E128="",'Price History'!E127="",'Price History'!E127=0),"",'Price History'!E128/'Price History'!E127-1)</f>
        <v>-1.2807769857723028E-2</v>
      </c>
      <c r="F127" s="63">
        <f>IF(OR('Price History'!F128="",'Price History'!F127="",'Price History'!F127=0),"",'Price History'!F128/'Price History'!F127-1)</f>
        <v>-5.7356608478802973E-2</v>
      </c>
      <c r="G127" s="63">
        <f>IF(OR('Price History'!G128="",'Price History'!G127="",'Price History'!G127=0),"",'Price History'!G128/'Price History'!G127-1)</f>
        <v>-3.9856205064081607E-3</v>
      </c>
      <c r="H127" s="63">
        <f>IF(OR('Price History'!H128="",'Price History'!H127="",'Price History'!H127=0),"",'Price History'!H128/'Price History'!H127-1)</f>
        <v>0.10755293374065089</v>
      </c>
      <c r="I127" s="63">
        <f>IF(OR('Price History'!I128="",'Price History'!I127="",'Price History'!I127=0),"",'Price History'!I128/'Price History'!I127-1)</f>
        <v>-8.817509053692385E-3</v>
      </c>
      <c r="J127" s="63">
        <f>IF(OR('Price History'!J128="",'Price History'!J127="",'Price History'!J127=0),"",'Price History'!J128/'Price History'!J127-1)</f>
        <v>2.6415973894802214E-3</v>
      </c>
      <c r="K127" s="63">
        <f>IF(OR('Price History'!K128="",'Price History'!K127="",'Price History'!K127=0),"",'Price History'!K128/'Price History'!K127-1)</f>
        <v>-0.1104869906205288</v>
      </c>
      <c r="L127" s="63">
        <f>IF(OR('Price History'!L128="",'Price History'!L127="",'Price History'!L127=0),"",'Price History'!L128/'Price History'!L127-1)</f>
        <v>5.5375775987320131E-2</v>
      </c>
      <c r="M127" s="63">
        <f>IF(OR('Price History'!M128="",'Price History'!M127="",'Price History'!M127=0),"",'Price History'!M128/'Price History'!M127-1)</f>
        <v>4.7917412579066676E-2</v>
      </c>
      <c r="N127" s="63">
        <f>IF(OR('Price History'!N128="",'Price History'!N127="",'Price History'!N127=0),"",'Price History'!N128/'Price History'!N127-1)</f>
        <v>-2.326636422553463E-2</v>
      </c>
      <c r="O127" s="63" t="str">
        <f>IF(OR('Price History'!O128="",'Price History'!O127="",'Price History'!O127=0),"",'Price History'!O128/'Price History'!O127-1)</f>
        <v/>
      </c>
      <c r="P127" s="63" t="str">
        <f>IF(OR('Price History'!P128="",'Price History'!P127="",'Price History'!P127=0),"",'Price History'!P128/'Price History'!P127-1)</f>
        <v/>
      </c>
      <c r="Q127" s="63" t="str">
        <f>IF(OR('Price History'!Q128="",'Price History'!Q127="",'Price History'!Q127=0),"",'Price History'!Q128/'Price History'!Q127-1)</f>
        <v/>
      </c>
    </row>
    <row r="128" spans="1:17" ht="15" customHeight="1" x14ac:dyDescent="0.2">
      <c r="A128" s="49">
        <f>'Price History'!A129</f>
        <v>46031</v>
      </c>
      <c r="B128" s="63">
        <f>IF(OR('Price History'!B129="",'Price History'!B128="",'Price History'!B128=0),"",'Price History'!B129/'Price History'!B128-1)</f>
        <v>1.950195019501777E-3</v>
      </c>
      <c r="C128" s="63">
        <f>IF(OR('Price History'!C129="",'Price History'!C128="",'Price History'!C128=0),"",'Price History'!C129/'Price History'!C128-1)</f>
        <v>-8.0164670658682602E-2</v>
      </c>
      <c r="D128" s="63">
        <f>IF(OR('Price History'!D129="",'Price History'!D128="",'Price History'!D128=0),"",'Price History'!D129/'Price History'!D128-1)</f>
        <v>9.4605509632404772E-2</v>
      </c>
      <c r="E128" s="63">
        <f>IF(OR('Price History'!E129="",'Price History'!E128="",'Price History'!E128=0),"",'Price History'!E129/'Price History'!E128-1)</f>
        <v>-7.6232667855703484E-3</v>
      </c>
      <c r="F128" s="63">
        <f>IF(OR('Price History'!F129="",'Price History'!F128="",'Price History'!F128=0),"",'Price History'!F129/'Price History'!F128-1)</f>
        <v>3.7477954144620851E-2</v>
      </c>
      <c r="G128" s="63">
        <f>IF(OR('Price History'!G129="",'Price History'!G128="",'Price History'!G128=0),"",'Price History'!G129/'Price History'!G128-1)</f>
        <v>9.8469988230678762E-2</v>
      </c>
      <c r="H128" s="63">
        <f>IF(OR('Price History'!H129="",'Price History'!H128="",'Price History'!H128=0),"",'Price History'!H129/'Price History'!H128-1)</f>
        <v>9.4065056115655077E-2</v>
      </c>
      <c r="I128" s="63">
        <f>IF(OR('Price History'!I129="",'Price History'!I128="",'Price History'!I128=0),"",'Price History'!I129/'Price History'!I128-1)</f>
        <v>-2.1127879269261185E-2</v>
      </c>
      <c r="J128" s="63">
        <f>IF(OR('Price History'!J129="",'Price History'!J128="",'Price History'!J128=0),"",'Price History'!J129/'Price History'!J128-1)</f>
        <v>2.7121270825261057E-3</v>
      </c>
      <c r="K128" s="63">
        <f>IF(OR('Price History'!K129="",'Price History'!K128="",'Price History'!K128=0),"",'Price History'!K129/'Price History'!K128-1)</f>
        <v>5.7369236268318913E-2</v>
      </c>
      <c r="L128" s="63">
        <f>IF(OR('Price History'!L129="",'Price History'!L128="",'Price History'!L128=0),"",'Price History'!L129/'Price History'!L128-1)</f>
        <v>1.2577829229373227E-2</v>
      </c>
      <c r="M128" s="63">
        <f>IF(OR('Price History'!M129="",'Price History'!M128="",'Price History'!M128=0),"",'Price History'!M129/'Price History'!M128-1)</f>
        <v>-6.85040715221229E-2</v>
      </c>
      <c r="N128" s="63">
        <f>IF(OR('Price History'!N129="",'Price History'!N128="",'Price History'!N128=0),"",'Price History'!N129/'Price History'!N128-1)</f>
        <v>2.5943865702342306E-2</v>
      </c>
      <c r="O128" s="63" t="str">
        <f>IF(OR('Price History'!O129="",'Price History'!O128="",'Price History'!O128=0),"",'Price History'!O129/'Price History'!O128-1)</f>
        <v/>
      </c>
      <c r="P128" s="63" t="str">
        <f>IF(OR('Price History'!P129="",'Price History'!P128="",'Price History'!P128=0),"",'Price History'!P129/'Price History'!P128-1)</f>
        <v/>
      </c>
      <c r="Q128" s="63" t="str">
        <f>IF(OR('Price History'!Q129="",'Price History'!Q128="",'Price History'!Q128=0),"",'Price History'!Q129/'Price History'!Q128-1)</f>
        <v/>
      </c>
    </row>
    <row r="129" spans="1:17" ht="15" customHeight="1" x14ac:dyDescent="0.2">
      <c r="A129" s="49">
        <f>'Price History'!A130</f>
        <v>46038</v>
      </c>
      <c r="B129" s="63">
        <f>IF(OR('Price History'!B130="",'Price History'!B129="",'Price History'!B129=0),"",'Price History'!B130/'Price History'!B129-1)</f>
        <v>-0.11328043120227571</v>
      </c>
      <c r="C129" s="63">
        <f>IF(OR('Price History'!C130="",'Price History'!C129="",'Price History'!C129=0),"",'Price History'!C130/'Price History'!C129-1)</f>
        <v>5.6473268776955132E-2</v>
      </c>
      <c r="D129" s="63">
        <f>IF(OR('Price History'!D130="",'Price History'!D129="",'Price History'!D129=0),"",'Price History'!D130/'Price History'!D129-1)</f>
        <v>6.6481929224102565E-2</v>
      </c>
      <c r="E129" s="63">
        <f>IF(OR('Price History'!E130="",'Price History'!E129="",'Price History'!E129=0),"",'Price History'!E130/'Price History'!E129-1)</f>
        <v>1.953793083456512E-2</v>
      </c>
      <c r="F129" s="63">
        <f>IF(OR('Price History'!F130="",'Price History'!F129="",'Price History'!F129=0),"",'Price History'!F130/'Price History'!F129-1)</f>
        <v>-3.5529111772205746E-2</v>
      </c>
      <c r="G129" s="63">
        <f>IF(OR('Price History'!G130="",'Price History'!G129="",'Price History'!G129=0),"",'Price History'!G130/'Price History'!G129-1)</f>
        <v>0.11985714285714288</v>
      </c>
      <c r="H129" s="63">
        <f>IF(OR('Price History'!H130="",'Price History'!H129="",'Price History'!H129=0),"",'Price History'!H130/'Price History'!H129-1)</f>
        <v>5.1175055782549661E-2</v>
      </c>
      <c r="I129" s="63">
        <f>IF(OR('Price History'!I130="",'Price History'!I129="",'Price History'!I129=0),"",'Price History'!I130/'Price History'!I129-1)</f>
        <v>7.4110137401275367E-3</v>
      </c>
      <c r="J129" s="63">
        <f>IF(OR('Price History'!J130="",'Price History'!J129="",'Price History'!J129=0),"",'Price History'!J130/'Price History'!J129-1)</f>
        <v>2.9443585780525527E-2</v>
      </c>
      <c r="K129" s="63">
        <f>IF(OR('Price History'!K130="",'Price History'!K129="",'Price History'!K129=0),"",'Price History'!K130/'Price History'!K129-1)</f>
        <v>-3.6790805115781144E-2</v>
      </c>
      <c r="L129" s="63">
        <f>IF(OR('Price History'!L130="",'Price History'!L129="",'Price History'!L129=0),"",'Price History'!L130/'Price History'!L129-1)</f>
        <v>5.7998331427865146E-2</v>
      </c>
      <c r="M129" s="63">
        <f>IF(OR('Price History'!M130="",'Price History'!M129="",'Price History'!M129=0),"",'Price History'!M130/'Price History'!M129-1)</f>
        <v>8.1611443941802086E-2</v>
      </c>
      <c r="N129" s="63">
        <f>IF(OR('Price History'!N130="",'Price History'!N129="",'Price History'!N129=0),"",'Price History'!N130/'Price History'!N129-1)</f>
        <v>-4.8506014745828496E-2</v>
      </c>
      <c r="O129" s="63" t="str">
        <f>IF(OR('Price History'!O130="",'Price History'!O129="",'Price History'!O129=0),"",'Price History'!O130/'Price History'!O129-1)</f>
        <v/>
      </c>
      <c r="P129" s="63" t="str">
        <f>IF(OR('Price History'!P130="",'Price History'!P129="",'Price History'!P129=0),"",'Price History'!P130/'Price History'!P129-1)</f>
        <v/>
      </c>
      <c r="Q129" s="63" t="str">
        <f>IF(OR('Price History'!Q130="",'Price History'!Q129="",'Price History'!Q129=0),"",'Price History'!Q130/'Price History'!Q129-1)</f>
        <v/>
      </c>
    </row>
    <row r="130" spans="1:17" ht="15" customHeight="1" x14ac:dyDescent="0.2">
      <c r="A130" s="49">
        <f>'Price History'!A131</f>
        <v>46045</v>
      </c>
      <c r="B130" s="63">
        <f>IF(OR('Price History'!B131="",'Price History'!B130="",'Price History'!B130=0),"",'Price History'!B131/'Price History'!B130-1)</f>
        <v>1.6716196136701278E-2</v>
      </c>
      <c r="C130" s="63">
        <f>IF(OR('Price History'!C131="",'Price History'!C130="",'Price History'!C130=0),"",'Price History'!C131/'Price History'!C130-1)</f>
        <v>5.0142494030655405E-2</v>
      </c>
      <c r="D130" s="63">
        <f>IF(OR('Price History'!D131="",'Price History'!D130="",'Price History'!D130=0),"",'Price History'!D131/'Price History'!D130-1)</f>
        <v>2.2427994140898244E-2</v>
      </c>
      <c r="E130" s="63">
        <f>IF(OR('Price History'!E131="",'Price History'!E130="",'Price History'!E130=0),"",'Price History'!E131/'Price History'!E130-1)</f>
        <v>-9.0017343834408958E-2</v>
      </c>
      <c r="F130" s="63">
        <f>IF(OR('Price History'!F131="",'Price History'!F130="",'Price History'!F130=0),"",'Price History'!F131/'Price History'!F130-1)</f>
        <v>-3.0845157310301907E-3</v>
      </c>
      <c r="G130" s="63">
        <f>IF(OR('Price History'!G131="",'Price History'!G130="",'Price History'!G130=0),"",'Price History'!G131/'Price History'!G130-1)</f>
        <v>-3.5081005230258921E-2</v>
      </c>
      <c r="H130" s="63">
        <f>IF(OR('Price History'!H131="",'Price History'!H130="",'Price History'!H130=0),"",'Price History'!H131/'Price History'!H130-1)</f>
        <v>0.10172294968986906</v>
      </c>
      <c r="I130" s="63">
        <f>IF(OR('Price History'!I131="",'Price History'!I130="",'Price History'!I130=0),"",'Price History'!I131/'Price History'!I130-1)</f>
        <v>7.7323739461956364E-3</v>
      </c>
      <c r="J130" s="63">
        <f>IF(OR('Price History'!J131="",'Price History'!J130="",'Price History'!J130=0),"",'Price History'!J131/'Price History'!J130-1)</f>
        <v>-4.5492080174161065E-2</v>
      </c>
      <c r="K130" s="63">
        <f>IF(OR('Price History'!K131="",'Price History'!K130="",'Price History'!K130=0),"",'Price History'!K131/'Price History'!K130-1)</f>
        <v>-7.9550772110436041E-3</v>
      </c>
      <c r="L130" s="63">
        <f>IF(OR('Price History'!L131="",'Price History'!L130="",'Price History'!L130=0),"",'Price History'!L131/'Price History'!L130-1)</f>
        <v>-2.1991822429906493E-2</v>
      </c>
      <c r="M130" s="63">
        <f>IF(OR('Price History'!M131="",'Price History'!M130="",'Price History'!M130=0),"",'Price History'!M131/'Price History'!M130-1)</f>
        <v>3.1424857288192998E-2</v>
      </c>
      <c r="N130" s="63">
        <f>IF(OR('Price History'!N131="",'Price History'!N130="",'Price History'!N130=0),"",'Price History'!N131/'Price History'!N130-1)</f>
        <v>6.1287837592894689E-2</v>
      </c>
      <c r="O130" s="63" t="str">
        <f>IF(OR('Price History'!O131="",'Price History'!O130="",'Price History'!O130=0),"",'Price History'!O131/'Price History'!O130-1)</f>
        <v/>
      </c>
      <c r="P130" s="63" t="str">
        <f>IF(OR('Price History'!P131="",'Price History'!P130="",'Price History'!P130=0),"",'Price History'!P131/'Price History'!P130-1)</f>
        <v/>
      </c>
      <c r="Q130" s="63" t="str">
        <f>IF(OR('Price History'!Q131="",'Price History'!Q130="",'Price History'!Q130=0),"",'Price History'!Q131/'Price History'!Q130-1)</f>
        <v/>
      </c>
    </row>
    <row r="131" spans="1:17" ht="15" customHeight="1" x14ac:dyDescent="0.2">
      <c r="A131" s="49">
        <f>'Price History'!A132</f>
        <v>46052</v>
      </c>
      <c r="B131" s="63">
        <f>IF(OR('Price History'!B132="",'Price History'!B131="",'Price History'!B131=0),"",'Price History'!B132/'Price History'!B131-1)</f>
        <v>-2.5974025974025983E-2</v>
      </c>
      <c r="C131" s="63">
        <f>IF(OR('Price History'!C132="",'Price History'!C131="",'Price History'!C131=0),"",'Price History'!C132/'Price History'!C131-1)</f>
        <v>3.9606865189966367E-2</v>
      </c>
      <c r="D131" s="63">
        <f>IF(OR('Price History'!D132="",'Price History'!D131="",'Price History'!D131=0),"",'Price History'!D132/'Price History'!D131-1)</f>
        <v>2.4448539998848107E-2</v>
      </c>
      <c r="E131" s="63">
        <f>IF(OR('Price History'!E132="",'Price History'!E131="",'Price History'!E131=0),"",'Price History'!E132/'Price History'!E131-1)</f>
        <v>3.5150757694110357E-2</v>
      </c>
      <c r="F131" s="63">
        <f>IF(OR('Price History'!F132="",'Price History'!F131="",'Price History'!F131=0),"",'Price History'!F132/'Price History'!F131-1)</f>
        <v>-2.4487270155587049E-2</v>
      </c>
      <c r="G131" s="63">
        <f>IF(OR('Price History'!G132="",'Price History'!G131="",'Price History'!G131=0),"",'Price History'!G132/'Price History'!G131-1)</f>
        <v>-5.6121099947118003E-2</v>
      </c>
      <c r="H131" s="63">
        <f>IF(OR('Price History'!H132="",'Price History'!H131="",'Price History'!H131=0),"",'Price History'!H132/'Price History'!H131-1)</f>
        <v>3.8108344801701444E-2</v>
      </c>
      <c r="I131" s="63">
        <f>IF(OR('Price History'!I132="",'Price History'!I131="",'Price History'!I131=0),"",'Price History'!I132/'Price History'!I131-1)</f>
        <v>1.8436617466830008E-2</v>
      </c>
      <c r="J131" s="63">
        <f>IF(OR('Price History'!J132="",'Price History'!J131="",'Price History'!J131=0),"",'Price History'!J132/'Price History'!J131-1)</f>
        <v>2.6818718049547829E-2</v>
      </c>
      <c r="K131" s="63">
        <f>IF(OR('Price History'!K132="",'Price History'!K131="",'Price History'!K131=0),"",'Price History'!K132/'Price History'!K131-1)</f>
        <v>-0.13567216981132069</v>
      </c>
      <c r="L131" s="63">
        <f>IF(OR('Price History'!L132="",'Price History'!L131="",'Price History'!L131=0),"",'Price History'!L132/'Price History'!L131-1)</f>
        <v>-1.2870666228685712E-2</v>
      </c>
      <c r="M131" s="63">
        <f>IF(OR('Price History'!M132="",'Price History'!M131="",'Price History'!M131=0),"",'Price History'!M132/'Price History'!M131-1)</f>
        <v>2.0220286043070912E-2</v>
      </c>
      <c r="N131" s="63">
        <f>IF(OR('Price History'!N132="",'Price History'!N131="",'Price History'!N131=0),"",'Price History'!N132/'Price History'!N131-1)</f>
        <v>3.1809739330928011E-3</v>
      </c>
      <c r="O131" s="63" t="str">
        <f>IF(OR('Price History'!O132="",'Price History'!O131="",'Price History'!O131=0),"",'Price History'!O132/'Price History'!O131-1)</f>
        <v/>
      </c>
      <c r="P131" s="63" t="str">
        <f>IF(OR('Price History'!P132="",'Price History'!P131="",'Price History'!P131=0),"",'Price History'!P132/'Price History'!P131-1)</f>
        <v/>
      </c>
      <c r="Q131" s="63" t="str">
        <f>IF(OR('Price History'!Q132="",'Price History'!Q131="",'Price History'!Q131=0),"",'Price History'!Q132/'Price History'!Q131-1)</f>
        <v/>
      </c>
    </row>
    <row r="132" spans="1:17" ht="15" customHeight="1" x14ac:dyDescent="0.2">
      <c r="A132" s="49">
        <f>'Price History'!A133</f>
        <v>46059</v>
      </c>
      <c r="B132" s="63">
        <f>IF(OR('Price History'!B133="",'Price History'!B132="",'Price History'!B132=0),"",'Price History'!B133/'Price History'!B132-1)</f>
        <v>-8.4808184143222554E-2</v>
      </c>
      <c r="C132" s="63">
        <f>IF(OR('Price History'!C133="",'Price History'!C132="",'Price History'!C132=0),"",'Price History'!C133/'Price History'!C132-1)</f>
        <v>-2.998447862283049E-2</v>
      </c>
      <c r="D132" s="63">
        <f>IF(OR('Price History'!D133="",'Price History'!D132="",'Price History'!D132=0),"",'Price History'!D133/'Price History'!D132-1)</f>
        <v>-7.0203794799719166E-3</v>
      </c>
      <c r="E132" s="63">
        <f>IF(OR('Price History'!E133="",'Price History'!E132="",'Price History'!E132=0),"",'Price History'!E133/'Price History'!E132-1)</f>
        <v>4.8898279504980824E-3</v>
      </c>
      <c r="F132" s="63">
        <f>IF(OR('Price History'!F133="",'Price History'!F132="",'Price History'!F132=0),"",'Price History'!F133/'Price History'!F132-1)</f>
        <v>-0.10394200271862253</v>
      </c>
      <c r="G132" s="63">
        <f>IF(OR('Price History'!G133="",'Price History'!G132="",'Price History'!G132=0),"",'Price History'!G133/'Price History'!G132-1)</f>
        <v>1.0504937320540586E-2</v>
      </c>
      <c r="H132" s="63">
        <f>IF(OR('Price History'!H133="",'Price History'!H132="",'Price History'!H132=0),"",'Price History'!H133/'Price History'!H132-1)</f>
        <v>-4.8664674122637863E-2</v>
      </c>
      <c r="I132" s="63">
        <f>IF(OR('Price History'!I133="",'Price History'!I132="",'Price History'!I132=0),"",'Price History'!I133/'Price History'!I132-1)</f>
        <v>-2.9927274629833134E-2</v>
      </c>
      <c r="J132" s="63">
        <f>IF(OR('Price History'!J133="",'Price History'!J132="",'Price History'!J132=0),"",'Price History'!J133/'Price History'!J132-1)</f>
        <v>4.8943014705882248E-2</v>
      </c>
      <c r="K132" s="63">
        <f>IF(OR('Price History'!K133="",'Price History'!K132="",'Price History'!K132=0),"",'Price History'!K133/'Price History'!K132-1)</f>
        <v>-7.2924483252609251E-2</v>
      </c>
      <c r="L132" s="63">
        <f>IF(OR('Price History'!L133="",'Price History'!L132="",'Price History'!L132=0),"",'Price History'!L133/'Price History'!L132-1)</f>
        <v>5.5330348499516013E-2</v>
      </c>
      <c r="M132" s="63">
        <f>IF(OR('Price History'!M133="",'Price History'!M132="",'Price History'!M132=0),"",'Price History'!M133/'Price History'!M132-1)</f>
        <v>5.0488774304436657E-2</v>
      </c>
      <c r="N132" s="63">
        <f>IF(OR('Price History'!N133="",'Price History'!N132="",'Price History'!N132=0),"",'Price History'!N133/'Price History'!N132-1)</f>
        <v>1.706746116194946E-2</v>
      </c>
      <c r="O132" s="63" t="str">
        <f>IF(OR('Price History'!O133="",'Price History'!O132="",'Price History'!O132=0),"",'Price History'!O133/'Price History'!O132-1)</f>
        <v/>
      </c>
      <c r="P132" s="63" t="str">
        <f>IF(OR('Price History'!P133="",'Price History'!P132="",'Price History'!P132=0),"",'Price History'!P133/'Price History'!P132-1)</f>
        <v/>
      </c>
      <c r="Q132" s="63" t="str">
        <f>IF(OR('Price History'!Q133="",'Price History'!Q132="",'Price History'!Q132=0),"",'Price History'!Q133/'Price History'!Q132-1)</f>
        <v/>
      </c>
    </row>
    <row r="133" spans="1:17" ht="15" customHeight="1" x14ac:dyDescent="0.2">
      <c r="A133" s="49">
        <f>'Price History'!A134</f>
        <v>46066</v>
      </c>
      <c r="B133" s="63">
        <f>IF(OR('Price History'!B134="",'Price History'!B133="",'Price History'!B133=0),"",'Price History'!B134/'Price History'!B133-1)</f>
        <v>-1.6431924882629012E-2</v>
      </c>
      <c r="C133" s="63">
        <f>IF(OR('Price History'!C134="",'Price History'!C133="",'Price History'!C133=0),"",'Price History'!C134/'Price History'!C133-1)</f>
        <v>2.9820350570950671E-2</v>
      </c>
      <c r="D133" s="63">
        <f>IF(OR('Price History'!D134="",'Price History'!D133="",'Price History'!D133=0),"",'Price History'!D134/'Price History'!D133-1)</f>
        <v>-4.5293380797022387E-3</v>
      </c>
      <c r="E133" s="63">
        <f>IF(OR('Price History'!E134="",'Price History'!E133="",'Price History'!E133=0),"",'Price History'!E134/'Price History'!E133-1)</f>
        <v>-2.3278865793584069E-2</v>
      </c>
      <c r="F133" s="63">
        <f>IF(OR('Price History'!F134="",'Price History'!F133="",'Price History'!F133=0),"",'Price History'!F134/'Price History'!F133-1)</f>
        <v>8.6266181229773586E-2</v>
      </c>
      <c r="G133" s="63">
        <f>IF(OR('Price History'!G134="",'Price History'!G133="",'Price History'!G133=0),"",'Price History'!G134/'Price History'!G133-1)</f>
        <v>1.4692632892092439E-2</v>
      </c>
      <c r="H133" s="63">
        <f>IF(OR('Price History'!H134="",'Price History'!H133="",'Price History'!H133=0),"",'Price History'!H134/'Price History'!H133-1)</f>
        <v>4.2995768831234793E-2</v>
      </c>
      <c r="I133" s="63">
        <f>IF(OR('Price History'!I134="",'Price History'!I133="",'Price History'!I133=0),"",'Price History'!I134/'Price History'!I133-1)</f>
        <v>-1.4022976107006091E-2</v>
      </c>
      <c r="J133" s="63">
        <f>IF(OR('Price History'!J134="",'Price History'!J133="",'Price History'!J133=0),"",'Price History'!J134/'Price History'!J133-1)</f>
        <v>1.4749908725812499E-2</v>
      </c>
      <c r="K133" s="63">
        <f>IF(OR('Price History'!K134="",'Price History'!K133="",'Price History'!K133=0),"",'Price History'!K134/'Price History'!K133-1)</f>
        <v>-3.303899926416487E-2</v>
      </c>
      <c r="L133" s="63">
        <f>IF(OR('Price History'!L134="",'Price History'!L133="",'Price History'!L133=0),"",'Price History'!L134/'Price History'!L133-1)</f>
        <v>5.0193492905260095E-2</v>
      </c>
      <c r="M133" s="63">
        <f>IF(OR('Price History'!M134="",'Price History'!M133="",'Price History'!M133=0),"",'Price History'!M134/'Price History'!M133-1)</f>
        <v>0.19915124245832905</v>
      </c>
      <c r="N133" s="63">
        <f>IF(OR('Price History'!N134="",'Price History'!N133="",'Price History'!N133=0),"",'Price History'!N134/'Price History'!N133-1)</f>
        <v>2.8352025443588946E-2</v>
      </c>
      <c r="O133" s="63" t="str">
        <f>IF(OR('Price History'!O134="",'Price History'!O133="",'Price History'!O133=0),"",'Price History'!O134/'Price History'!O133-1)</f>
        <v/>
      </c>
      <c r="P133" s="63" t="str">
        <f>IF(OR('Price History'!P134="",'Price History'!P133="",'Price History'!P133=0),"",'Price History'!P134/'Price History'!P133-1)</f>
        <v/>
      </c>
      <c r="Q133" s="63" t="str">
        <f>IF(OR('Price History'!Q134="",'Price History'!Q133="",'Price History'!Q133=0),"",'Price History'!Q134/'Price History'!Q133-1)</f>
        <v/>
      </c>
    </row>
    <row r="134" spans="1:17" ht="15" customHeight="1" x14ac:dyDescent="0.2">
      <c r="A134" s="49">
        <f>'Price History'!A135</f>
        <v>46073</v>
      </c>
      <c r="B134" s="63">
        <f>IF(OR('Price History'!B135="",'Price History'!B134="",'Price History'!B134=0),"",'Price History'!B135/'Price History'!B134-1)</f>
        <v>-2.0305337727772099E-2</v>
      </c>
      <c r="C134" s="63">
        <f>IF(OR('Price History'!C135="",'Price History'!C134="",'Price History'!C134=0),"",'Price History'!C135/'Price History'!C134-1)</f>
        <v>-6.2151281870188702E-2</v>
      </c>
      <c r="D134" s="63">
        <f>IF(OR('Price History'!D135="",'Price History'!D134="",'Price History'!D134=0),"",'Price History'!D135/'Price History'!D134-1)</f>
        <v>4.4774315552996269E-2</v>
      </c>
      <c r="E134" s="63">
        <f>IF(OR('Price History'!E135="",'Price History'!E134="",'Price History'!E134=0),"",'Price History'!E135/'Price History'!E134-1)</f>
        <v>2.3003352092751284E-2</v>
      </c>
      <c r="F134" s="63">
        <f>IF(OR('Price History'!F135="",'Price History'!F134="",'Price History'!F134=0),"",'Price History'!F135/'Price History'!F134-1)</f>
        <v>-9.5521832231635684E-2</v>
      </c>
      <c r="G134" s="63">
        <f>IF(OR('Price History'!G135="",'Price History'!G134="",'Price History'!G134=0),"",'Price History'!G135/'Price History'!G134-1)</f>
        <v>2.1788129226145703E-2</v>
      </c>
      <c r="H134" s="63">
        <f>IF(OR('Price History'!H135="",'Price History'!H134="",'Price History'!H134=0),"",'Price History'!H135/'Price History'!H134-1)</f>
        <v>4.0105912646358544E-2</v>
      </c>
      <c r="I134" s="63">
        <f>IF(OR('Price History'!I135="",'Price History'!I134="",'Price History'!I134=0),"",'Price History'!I135/'Price History'!I134-1)</f>
        <v>3.8345823532629497E-2</v>
      </c>
      <c r="J134" s="63">
        <f>IF(OR('Price History'!J135="",'Price History'!J134="",'Price History'!J134=0),"",'Price History'!J135/'Price History'!J134-1)</f>
        <v>1.8277326041591602E-2</v>
      </c>
      <c r="K134" s="63">
        <f>IF(OR('Price History'!K135="",'Price History'!K134="",'Price History'!K134=0),"",'Price History'!K135/'Price History'!K134-1)</f>
        <v>2.9145422722776093E-2</v>
      </c>
      <c r="L134" s="63">
        <f>IF(OR('Price History'!L135="",'Price History'!L134="",'Price History'!L134=0),"",'Price History'!L135/'Price History'!L134-1)</f>
        <v>1.1409542526476635E-2</v>
      </c>
      <c r="M134" s="63">
        <f>IF(OR('Price History'!M135="",'Price History'!M134="",'Price History'!M134=0),"",'Price History'!M135/'Price History'!M134-1)</f>
        <v>3.9312667888969477E-2</v>
      </c>
      <c r="N134" s="63">
        <f>IF(OR('Price History'!N135="",'Price History'!N134="",'Price History'!N134=0),"",'Price History'!N135/'Price History'!N134-1)</f>
        <v>-2.9645756607727947E-2</v>
      </c>
      <c r="O134" s="63" t="str">
        <f>IF(OR('Price History'!O135="",'Price History'!O134="",'Price History'!O134=0),"",'Price History'!O135/'Price History'!O134-1)</f>
        <v/>
      </c>
      <c r="P134" s="63" t="str">
        <f>IF(OR('Price History'!P135="",'Price History'!P134="",'Price History'!P134=0),"",'Price History'!P135/'Price History'!P134-1)</f>
        <v/>
      </c>
      <c r="Q134" s="63" t="str">
        <f>IF(OR('Price History'!Q135="",'Price History'!Q134="",'Price History'!Q134=0),"",'Price History'!Q135/'Price History'!Q134-1)</f>
        <v/>
      </c>
    </row>
    <row r="135" spans="1:17" ht="15" customHeight="1" x14ac:dyDescent="0.2">
      <c r="A135" s="49">
        <f>'Price History'!A136</f>
        <v>46080</v>
      </c>
      <c r="B135" s="63">
        <f>IF(OR('Price History'!B136="",'Price History'!B135="",'Price History'!B135=0),"",'Price History'!B136/'Price History'!B135-1)</f>
        <v>1.4693940682881657E-2</v>
      </c>
      <c r="C135" s="63">
        <f>IF(OR('Price History'!C136="",'Price History'!C135="",'Price History'!C135=0),"",'Price History'!C136/'Price History'!C135-1)</f>
        <v>5.3467881617592639E-3</v>
      </c>
      <c r="D135" s="63">
        <f>IF(OR('Price History'!D136="",'Price History'!D135="",'Price History'!D135=0),"",'Price History'!D136/'Price History'!D135-1)</f>
        <v>-1.2949189910110959E-2</v>
      </c>
      <c r="E135" s="63">
        <f>IF(OR('Price History'!E136="",'Price History'!E135="",'Price History'!E135=0),"",'Price History'!E136/'Price History'!E135-1)</f>
        <v>-3.9380730497519778E-2</v>
      </c>
      <c r="F135" s="63">
        <f>IF(OR('Price History'!F136="",'Price History'!F135="",'Price History'!F135=0),"",'Price History'!F136/'Price History'!F135-1)</f>
        <v>-4.2717447246526041E-2</v>
      </c>
      <c r="G135" s="63">
        <f>IF(OR('Price History'!G136="",'Price History'!G135="",'Price History'!G135=0),"",'Price History'!G136/'Price History'!G135-1)</f>
        <v>1.9117647058823684E-2</v>
      </c>
      <c r="H135" s="63">
        <f>IF(OR('Price History'!H136="",'Price History'!H135="",'Price History'!H135=0),"",'Price History'!H136/'Price History'!H135-1)</f>
        <v>-3.6901230819534336E-2</v>
      </c>
      <c r="I135" s="63">
        <f>IF(OR('Price History'!I136="",'Price History'!I135="",'Price History'!I135=0),"",'Price History'!I136/'Price History'!I135-1)</f>
        <v>-6.6536718996944466E-2</v>
      </c>
      <c r="J135" s="63">
        <f>IF(OR('Price History'!J136="",'Price History'!J135="",'Price History'!J135=0),"",'Price History'!J136/'Price History'!J135-1)</f>
        <v>7.4906367041198685E-3</v>
      </c>
      <c r="K135" s="63">
        <f>IF(OR('Price History'!K136="",'Price History'!K135="",'Price History'!K135=0),"",'Price History'!K136/'Price History'!K135-1)</f>
        <v>1.4418811002661958E-2</v>
      </c>
      <c r="L135" s="63">
        <f>IF(OR('Price History'!L136="",'Price History'!L135="",'Price History'!L135=0),"",'Price History'!L136/'Price History'!L135-1)</f>
        <v>1.0903006423058192E-2</v>
      </c>
      <c r="M135" s="63">
        <f>IF(OR('Price History'!M136="",'Price History'!M135="",'Price History'!M135=0),"",'Price History'!M136/'Price History'!M135-1)</f>
        <v>4.5702564102564125E-2</v>
      </c>
      <c r="N135" s="63">
        <f>IF(OR('Price History'!N136="",'Price History'!N135="",'Price History'!N135=0),"",'Price History'!N136/'Price History'!N135-1)</f>
        <v>4.1790731809603798E-2</v>
      </c>
      <c r="O135" s="63" t="str">
        <f>IF(OR('Price History'!O136="",'Price History'!O135="",'Price History'!O135=0),"",'Price History'!O136/'Price History'!O135-1)</f>
        <v/>
      </c>
      <c r="P135" s="63" t="str">
        <f>IF(OR('Price History'!P136="",'Price History'!P135="",'Price History'!P135=0),"",'Price History'!P136/'Price History'!P135-1)</f>
        <v/>
      </c>
      <c r="Q135" s="63" t="str">
        <f>IF(OR('Price History'!Q136="",'Price History'!Q135="",'Price History'!Q135=0),"",'Price History'!Q136/'Price History'!Q135-1)</f>
        <v/>
      </c>
    </row>
    <row r="136" spans="1:17" ht="15" customHeight="1" x14ac:dyDescent="0.2">
      <c r="A136" s="49">
        <f>'Price History'!A137</f>
        <v>46087</v>
      </c>
      <c r="B136" s="63">
        <f>IF(OR('Price History'!B137="",'Price History'!B136="",'Price History'!B136=0),"",'Price History'!B137/'Price History'!B136-1)</f>
        <v>8.0827712358522819E-2</v>
      </c>
      <c r="C136" s="63">
        <f>IF(OR('Price History'!C137="",'Price History'!C136="",'Price History'!C136=0),"",'Price History'!C137/'Price History'!C136-1)</f>
        <v>-4.5692883895132042E-3</v>
      </c>
      <c r="D136" s="63">
        <f>IF(OR('Price History'!D137="",'Price History'!D136="",'Price History'!D136=0),"",'Price History'!D137/'Price History'!D136-1)</f>
        <v>-0.10875799691153765</v>
      </c>
      <c r="E136" s="63">
        <f>IF(OR('Price History'!E137="",'Price History'!E136="",'Price History'!E136=0),"",'Price History'!E137/'Price History'!E136-1)</f>
        <v>3.4204349867000383E-2</v>
      </c>
      <c r="F136" s="63">
        <f>IF(OR('Price History'!F137="",'Price History'!F136="",'Price History'!F136=0),"",'Price History'!F137/'Price History'!F136-1)</f>
        <v>0.15322580645161299</v>
      </c>
      <c r="G136" s="63">
        <f>IF(OR('Price History'!G137="",'Price History'!G136="",'Price History'!G136=0),"",'Price History'!G137/'Price History'!G136-1)</f>
        <v>-0.11806375442739081</v>
      </c>
      <c r="H136" s="63">
        <f>IF(OR('Price History'!H137="",'Price History'!H136="",'Price History'!H136=0),"",'Price History'!H137/'Price History'!H136-1)</f>
        <v>-0.10202003055508402</v>
      </c>
      <c r="I136" s="63">
        <f>IF(OR('Price History'!I137="",'Price History'!I136="",'Price History'!I136=0),"",'Price History'!I137/'Price History'!I136-1)</f>
        <v>3.5555053896947353E-3</v>
      </c>
      <c r="J136" s="63">
        <f>IF(OR('Price History'!J137="",'Price History'!J136="",'Price History'!J136=0),"",'Price History'!J137/'Price History'!J136-1)</f>
        <v>-5.6323209651399364E-2</v>
      </c>
      <c r="K136" s="63">
        <f>IF(OR('Price History'!K137="",'Price History'!K136="",'Price History'!K136=0),"",'Price History'!K137/'Price History'!K136-1)</f>
        <v>0.14556454552081055</v>
      </c>
      <c r="L136" s="63">
        <f>IF(OR('Price History'!L137="",'Price History'!L136="",'Price History'!L136=0),"",'Price History'!L137/'Price History'!L136-1)</f>
        <v>-9.52800469859576E-2</v>
      </c>
      <c r="M136" s="63">
        <f>IF(OR('Price History'!M137="",'Price History'!M136="",'Price History'!M136=0),"",'Price History'!M137/'Price History'!M136-1)</f>
        <v>-5.1433951900819896E-2</v>
      </c>
      <c r="N136" s="63">
        <f>IF(OR('Price History'!N137="",'Price History'!N136="",'Price History'!N136=0),"",'Price History'!N137/'Price History'!N136-1)</f>
        <v>-8.0792222691866367E-2</v>
      </c>
      <c r="O136" s="63" t="str">
        <f>IF(OR('Price History'!O137="",'Price History'!O136="",'Price History'!O136=0),"",'Price History'!O137/'Price History'!O136-1)</f>
        <v/>
      </c>
      <c r="P136" s="63" t="str">
        <f>IF(OR('Price History'!P137="",'Price History'!P136="",'Price History'!P136=0),"",'Price History'!P137/'Price History'!P136-1)</f>
        <v/>
      </c>
      <c r="Q136" s="63" t="str">
        <f>IF(OR('Price History'!Q137="",'Price History'!Q136="",'Price History'!Q136=0),"",'Price History'!Q137/'Price History'!Q136-1)</f>
        <v/>
      </c>
    </row>
    <row r="137" spans="1:17" ht="15" customHeight="1" x14ac:dyDescent="0.2">
      <c r="A137" s="49">
        <f>'Price History'!A138</f>
        <v>46094</v>
      </c>
      <c r="B137" s="63">
        <f>IF(OR('Price History'!B138="",'Price History'!B137="",'Price History'!B137=0),"",'Price History'!B138/'Price History'!B137-1)</f>
        <v>-0.12093646428319582</v>
      </c>
      <c r="C137" s="63">
        <f>IF(OR('Price History'!C138="",'Price History'!C137="",'Price History'!C137=0),"",'Price History'!C138/'Price History'!C137-1)</f>
        <v>5.1170140717886614E-3</v>
      </c>
      <c r="D137" s="63">
        <f>IF(OR('Price History'!D138="",'Price History'!D137="",'Price History'!D137=0),"",'Price History'!D138/'Price History'!D137-1)</f>
        <v>4.0911200495049593E-2</v>
      </c>
      <c r="E137" s="63">
        <f>IF(OR('Price History'!E138="",'Price History'!E137="",'Price History'!E137=0),"",'Price History'!E138/'Price History'!E137-1)</f>
        <v>-2.5175502299685237E-2</v>
      </c>
      <c r="F137" s="63">
        <f>IF(OR('Price History'!F138="",'Price History'!F137="",'Price History'!F137=0),"",'Price History'!F138/'Price History'!F137-1)</f>
        <v>2.9836829836829892E-2</v>
      </c>
      <c r="G137" s="63">
        <f>IF(OR('Price History'!G138="",'Price History'!G137="",'Price History'!G137=0),"",'Price History'!G138/'Price History'!G137-1)</f>
        <v>5.5034954633348177E-2</v>
      </c>
      <c r="H137" s="63">
        <f>IF(OR('Price History'!H138="",'Price History'!H137="",'Price History'!H137=0),"",'Price History'!H138/'Price History'!H137-1)</f>
        <v>0.1507696462327841</v>
      </c>
      <c r="I137" s="63">
        <f>IF(OR('Price History'!I138="",'Price History'!I137="",'Price History'!I137=0),"",'Price History'!I138/'Price History'!I137-1)</f>
        <v>1.3665504442694987E-2</v>
      </c>
      <c r="J137" s="63">
        <f>IF(OR('Price History'!J138="",'Price History'!J137="",'Price History'!J137=0),"",'Price History'!J138/'Price History'!J137-1)</f>
        <v>-2.0737327188940058E-2</v>
      </c>
      <c r="K137" s="63">
        <f>IF(OR('Price History'!K138="",'Price History'!K137="",'Price History'!K137=0),"",'Price History'!K138/'Price History'!K137-1)</f>
        <v>-3.9513871214049479E-2</v>
      </c>
      <c r="L137" s="63">
        <f>IF(OR('Price History'!L138="",'Price History'!L137="",'Price History'!L137=0),"",'Price History'!L138/'Price History'!L137-1)</f>
        <v>-1.7114697984595972E-3</v>
      </c>
      <c r="M137" s="63">
        <f>IF(OR('Price History'!M138="",'Price History'!M137="",'Price History'!M137=0),"",'Price History'!M138/'Price History'!M137-1)</f>
        <v>7.0725452891057916E-2</v>
      </c>
      <c r="N137" s="63">
        <f>IF(OR('Price History'!N138="",'Price History'!N137="",'Price History'!N137=0),"",'Price History'!N138/'Price History'!N137-1)</f>
        <v>2.7699314633558902E-2</v>
      </c>
      <c r="O137" s="63" t="str">
        <f>IF(OR('Price History'!O138="",'Price History'!O137="",'Price History'!O137=0),"",'Price History'!O138/'Price History'!O137-1)</f>
        <v/>
      </c>
      <c r="P137" s="63" t="str">
        <f>IF(OR('Price History'!P138="",'Price History'!P137="",'Price History'!P137=0),"",'Price History'!P138/'Price History'!P137-1)</f>
        <v/>
      </c>
      <c r="Q137" s="63" t="str">
        <f>IF(OR('Price History'!Q138="",'Price History'!Q137="",'Price History'!Q137=0),"",'Price History'!Q138/'Price History'!Q137-1)</f>
        <v/>
      </c>
    </row>
    <row r="138" spans="1:17" ht="15" customHeight="1" x14ac:dyDescent="0.2">
      <c r="A138" s="49">
        <f>'Price History'!A139</f>
        <v>46101</v>
      </c>
      <c r="B138" s="63">
        <f>IF(OR('Price History'!B139="",'Price History'!B138="",'Price History'!B138=0),"",'Price History'!B139/'Price History'!B138-1)</f>
        <v>-4.6927643189474955E-3</v>
      </c>
      <c r="C138" s="63">
        <f>IF(OR('Price History'!C139="",'Price History'!C138="",'Price History'!C138=0),"",'Price History'!C139/'Price History'!C138-1)</f>
        <v>-1.7593771056374941E-2</v>
      </c>
      <c r="D138" s="63">
        <f>IF(OR('Price History'!D139="",'Price History'!D138="",'Price History'!D138=0),"",'Price History'!D139/'Price History'!D138-1)</f>
        <v>-2.1134139363449322E-2</v>
      </c>
      <c r="E138" s="63">
        <f>IF(OR('Price History'!E139="",'Price History'!E138="",'Price History'!E138=0),"",'Price History'!E139/'Price History'!E138-1)</f>
        <v>-3.6162155450707778E-2</v>
      </c>
      <c r="F138" s="63">
        <f>IF(OR('Price History'!F139="",'Price History'!F138="",'Price History'!F138=0),"",'Price History'!F139/'Price History'!F138-1)</f>
        <v>-7.4241738343141739E-2</v>
      </c>
      <c r="G138" s="63">
        <f>IF(OR('Price History'!G139="",'Price History'!G138="",'Price History'!G138=0),"",'Price History'!G139/'Price History'!G138-1)</f>
        <v>5.6464119554490377E-2</v>
      </c>
      <c r="H138" s="63">
        <f>IF(OR('Price History'!H139="",'Price History'!H138="",'Price History'!H138=0),"",'Price History'!H139/'Price History'!H138-1)</f>
        <v>-7.5798465257082004E-3</v>
      </c>
      <c r="I138" s="63">
        <f>IF(OR('Price History'!I139="",'Price History'!I138="",'Price History'!I138=0),"",'Price History'!I139/'Price History'!I138-1)</f>
        <v>-4.1886269070735116E-2</v>
      </c>
      <c r="J138" s="63">
        <f>IF(OR('Price History'!J139="",'Price History'!J138="",'Price History'!J138=0),"",'Price History'!J139/'Price History'!J138-1)</f>
        <v>-2.8387096774193599E-2</v>
      </c>
      <c r="K138" s="63">
        <f>IF(OR('Price History'!K139="",'Price History'!K138="",'Price History'!K138=0),"",'Price History'!K139/'Price History'!K138-1)</f>
        <v>-1.7886717456110368E-3</v>
      </c>
      <c r="L138" s="63">
        <f>IF(OR('Price History'!L139="",'Price History'!L138="",'Price History'!L138=0),"",'Price History'!L139/'Price History'!L138-1)</f>
        <v>-2.6809730720345204E-2</v>
      </c>
      <c r="M138" s="63">
        <f>IF(OR('Price History'!M139="",'Price History'!M138="",'Price History'!M138=0),"",'Price History'!M139/'Price History'!M138-1)</f>
        <v>-1.1588380716934465E-2</v>
      </c>
      <c r="N138" s="63">
        <f>IF(OR('Price History'!N139="",'Price History'!N138="",'Price History'!N138=0),"",'Price History'!N139/'Price History'!N138-1)</f>
        <v>-3.2684194826777979E-2</v>
      </c>
      <c r="O138" s="63" t="str">
        <f>IF(OR('Price History'!O139="",'Price History'!O138="",'Price History'!O138=0),"",'Price History'!O139/'Price History'!O138-1)</f>
        <v/>
      </c>
      <c r="P138" s="63" t="str">
        <f>IF(OR('Price History'!P139="",'Price History'!P138="",'Price History'!P138=0),"",'Price History'!P139/'Price History'!P138-1)</f>
        <v/>
      </c>
      <c r="Q138" s="63" t="str">
        <f>IF(OR('Price History'!Q139="",'Price History'!Q138="",'Price History'!Q138=0),"",'Price History'!Q139/'Price History'!Q138-1)</f>
        <v/>
      </c>
    </row>
    <row r="139" spans="1:17" ht="15" customHeight="1" x14ac:dyDescent="0.2">
      <c r="A139" s="49">
        <f>'Price History'!A140</f>
        <v>46108</v>
      </c>
      <c r="B139" s="63">
        <f>IF(OR('Price History'!B140="",'Price History'!B139="",'Price History'!B139=0),"",'Price History'!B140/'Price History'!B139-1)</f>
        <v>-5.3636913157364519E-2</v>
      </c>
      <c r="C139" s="63">
        <f>IF(OR('Price History'!C140="",'Price History'!C139="",'Price History'!C139=0),"",'Price History'!C140/'Price History'!C139-1)</f>
        <v>-7.963725041914349E-2</v>
      </c>
      <c r="D139" s="63">
        <f>IF(OR('Price History'!D140="",'Price History'!D139="",'Price History'!D139=0),"",'Price History'!D140/'Price History'!D139-1)</f>
        <v>-1.1220345416587563E-2</v>
      </c>
      <c r="E139" s="63">
        <f>IF(OR('Price History'!E140="",'Price History'!E139="",'Price History'!E139=0),"",'Price History'!E140/'Price History'!E139-1)</f>
        <v>-3.1657595568580721E-2</v>
      </c>
      <c r="F139" s="63">
        <f>IF(OR('Price History'!F140="",'Price History'!F139="",'Price History'!F139=0),"",'Price History'!F140/'Price History'!F139-1)</f>
        <v>-9.6332518337408302E-2</v>
      </c>
      <c r="G139" s="63">
        <f>IF(OR('Price History'!G140="",'Price History'!G139="",'Price History'!G139=0),"",'Price History'!G140/'Price History'!G139-1)</f>
        <v>-3.7032094481884381E-2</v>
      </c>
      <c r="H139" s="63">
        <f>IF(OR('Price History'!H140="",'Price History'!H139="",'Price History'!H139=0),"",'Price History'!H140/'Price History'!H139-1)</f>
        <v>-0.15530858358950095</v>
      </c>
      <c r="I139" s="63">
        <f>IF(OR('Price History'!I140="",'Price History'!I139="",'Price History'!I139=0),"",'Price History'!I140/'Price History'!I139-1)</f>
        <v>-2.9994209612043909E-2</v>
      </c>
      <c r="J139" s="63">
        <f>IF(OR('Price History'!J140="",'Price History'!J139="",'Price History'!J139=0),"",'Price History'!J140/'Price History'!J139-1)</f>
        <v>6.9525818295446129E-3</v>
      </c>
      <c r="K139" s="63">
        <f>IF(OR('Price History'!K140="",'Price History'!K139="",'Price History'!K139=0),"",'Price History'!K140/'Price History'!K139-1)</f>
        <v>-5.0570745951685758E-2</v>
      </c>
      <c r="L139" s="63">
        <f>IF(OR('Price History'!L140="",'Price History'!L139="",'Price History'!L139=0),"",'Price History'!L140/'Price History'!L139-1)</f>
        <v>-7.5932450492042225E-3</v>
      </c>
      <c r="M139" s="63">
        <f>IF(OR('Price History'!M140="",'Price History'!M139="",'Price History'!M139=0),"",'Price History'!M140/'Price History'!M139-1)</f>
        <v>-1.879787400343913E-2</v>
      </c>
      <c r="N139" s="63">
        <f>IF(OR('Price History'!N140="",'Price History'!N139="",'Price History'!N139=0),"",'Price History'!N140/'Price History'!N139-1)</f>
        <v>-4.6101321585903077E-2</v>
      </c>
      <c r="O139" s="63" t="str">
        <f>IF(OR('Price History'!O140="",'Price History'!O139="",'Price History'!O139=0),"",'Price History'!O140/'Price History'!O139-1)</f>
        <v/>
      </c>
      <c r="P139" s="63" t="str">
        <f>IF(OR('Price History'!P140="",'Price History'!P139="",'Price History'!P139=0),"",'Price History'!P140/'Price History'!P139-1)</f>
        <v/>
      </c>
      <c r="Q139" s="63" t="str">
        <f>IF(OR('Price History'!Q140="",'Price History'!Q139="",'Price History'!Q139=0),"",'Price History'!Q140/'Price History'!Q139-1)</f>
        <v/>
      </c>
    </row>
    <row r="140" spans="1:17" ht="15" customHeight="1" x14ac:dyDescent="0.2">
      <c r="A140" s="49">
        <f>'Price History'!A141</f>
        <v>46114</v>
      </c>
      <c r="B140" s="63">
        <f>IF(OR('Price History'!B141="",'Price History'!B140="",'Price History'!B140=0),"",'Price History'!B141/'Price History'!B140-1)</f>
        <v>3.4406404360415532E-2</v>
      </c>
      <c r="C140" s="63">
        <f>IF(OR('Price History'!C141="",'Price History'!C140="",'Price History'!C140=0),"",'Price History'!C141/'Price History'!C140-1)</f>
        <v>4.8935994038254549E-2</v>
      </c>
      <c r="D140" s="63">
        <f>IF(OR('Price History'!D141="",'Price History'!D140="",'Price History'!D140=0),"",'Price History'!D141/'Price History'!D140-1)</f>
        <v>1.1332314755810202E-2</v>
      </c>
      <c r="E140" s="63">
        <f>IF(OR('Price History'!E141="",'Price History'!E140="",'Price History'!E140=0),"",'Price History'!E141/'Price History'!E140-1)</f>
        <v>4.6128774777171699E-2</v>
      </c>
      <c r="F140" s="63">
        <f>IF(OR('Price History'!F141="",'Price History'!F140="",'Price History'!F140=0),"",'Price History'!F141/'Price History'!F140-1)</f>
        <v>7.9870129870129869E-2</v>
      </c>
      <c r="G140" s="63">
        <f>IF(OR('Price History'!G141="",'Price History'!G140="",'Price History'!G140=0),"",'Price History'!G141/'Price History'!G140-1)</f>
        <v>5.0997782705099803E-2</v>
      </c>
      <c r="H140" s="63">
        <f>IF(OR('Price History'!H141="",'Price History'!H140="",'Price History'!H140=0),"",'Price History'!H141/'Price History'!H140-1)</f>
        <v>2.5250545882089526E-2</v>
      </c>
      <c r="I140" s="63">
        <f>IF(OR('Price History'!I141="",'Price History'!I140="",'Price History'!I140=0),"",'Price History'!I141/'Price History'!I140-1)</f>
        <v>5.8918338108882473E-2</v>
      </c>
      <c r="J140" s="63">
        <f>IF(OR('Price History'!J141="",'Price History'!J140="",'Price History'!J140=0),"",'Price History'!J141/'Price History'!J140-1)</f>
        <v>3.7781225756400305E-2</v>
      </c>
      <c r="K140" s="63">
        <f>IF(OR('Price History'!K141="",'Price History'!K140="",'Price History'!K140=0),"",'Price History'!K141/'Price History'!K140-1)</f>
        <v>3.7746400111841272E-2</v>
      </c>
      <c r="L140" s="63">
        <f>IF(OR('Price History'!L141="",'Price History'!L140="",'Price History'!L140=0),"",'Price History'!L141/'Price History'!L140-1)</f>
        <v>3.7644610393585243E-2</v>
      </c>
      <c r="M140" s="63">
        <f>IF(OR('Price History'!M141="",'Price History'!M140="",'Price History'!M140=0),"",'Price History'!M141/'Price History'!M140-1)</f>
        <v>4.0705779264746944E-2</v>
      </c>
      <c r="N140" s="63">
        <f>IF(OR('Price History'!N141="",'Price History'!N140="",'Price History'!N140=0),"",'Price History'!N141/'Price History'!N140-1)</f>
        <v>1.3023298773870318E-2</v>
      </c>
      <c r="O140" s="63" t="str">
        <f>IF(OR('Price History'!O141="",'Price History'!O140="",'Price History'!O140=0),"",'Price History'!O141/'Price History'!O140-1)</f>
        <v/>
      </c>
      <c r="P140" s="63" t="str">
        <f>IF(OR('Price History'!P141="",'Price History'!P140="",'Price History'!P140=0),"",'Price History'!P141/'Price History'!P140-1)</f>
        <v/>
      </c>
      <c r="Q140" s="63" t="str">
        <f>IF(OR('Price History'!Q141="",'Price History'!Q140="",'Price History'!Q140=0),"",'Price History'!Q141/'Price History'!Q140-1)</f>
        <v/>
      </c>
    </row>
    <row r="141" spans="1:17" ht="15" customHeight="1" x14ac:dyDescent="0.2">
      <c r="A141" s="49">
        <f>'Price History'!A142</f>
        <v>46122</v>
      </c>
      <c r="B141" s="63">
        <f>IF(OR('Price History'!B142="",'Price History'!B141="",'Price History'!B141=0),"",'Price History'!B142/'Price History'!B141-1)</f>
        <v>-7.2328338547669957E-2</v>
      </c>
      <c r="C141" s="63">
        <f>IF(OR('Price History'!C142="",'Price History'!C141="",'Price History'!C141=0),"",'Price History'!C142/'Price History'!C141-1)</f>
        <v>0.16316703504894203</v>
      </c>
      <c r="D141" s="63">
        <f>IF(OR('Price History'!D142="",'Price History'!D141="",'Price History'!D141=0),"",'Price History'!D142/'Price History'!D141-1)</f>
        <v>0.12226414521381979</v>
      </c>
      <c r="E141" s="63">
        <f>IF(OR('Price History'!E142="",'Price History'!E141="",'Price History'!E141=0),"",'Price History'!E142/'Price History'!E141-1)</f>
        <v>0.18121125417262762</v>
      </c>
      <c r="F141" s="63">
        <f>IF(OR('Price History'!F142="",'Price History'!F141="",'Price History'!F141=0),"",'Price History'!F142/'Price History'!F141-1)</f>
        <v>-5.0310683503708153E-2</v>
      </c>
      <c r="G141" s="63">
        <f>IF(OR('Price History'!G142="",'Price History'!G141="",'Price History'!G141=0),"",'Price History'!G142/'Price History'!G141-1)</f>
        <v>0.14537183544303778</v>
      </c>
      <c r="H141" s="63">
        <f>IF(OR('Price History'!H142="",'Price History'!H141="",'Price History'!H141=0),"",'Price History'!H142/'Price History'!H141-1)</f>
        <v>0.14839995631280023</v>
      </c>
      <c r="I141" s="63">
        <f>IF(OR('Price History'!I142="",'Price History'!I141="",'Price History'!I141=0),"",'Price History'!I142/'Price History'!I141-1)</f>
        <v>6.3363211004002551E-2</v>
      </c>
      <c r="J141" s="63">
        <f>IF(OR('Price History'!J142="",'Price History'!J141="",'Price History'!J141=0),"",'Price History'!J142/'Price History'!J141-1)</f>
        <v>2.5566270464229657E-2</v>
      </c>
      <c r="K141" s="63">
        <f>IF(OR('Price History'!K142="",'Price History'!K141="",'Price History'!K141=0),"",'Price History'!K142/'Price History'!K141-1)</f>
        <v>-0.13741075037047024</v>
      </c>
      <c r="L141" s="63">
        <f>IF(OR('Price History'!L142="",'Price History'!L141="",'Price History'!L141=0),"",'Price History'!L142/'Price History'!L141-1)</f>
        <v>9.3086361491269365E-2</v>
      </c>
      <c r="M141" s="63">
        <f>IF(OR('Price History'!M142="",'Price History'!M141="",'Price History'!M141=0),"",'Price History'!M142/'Price History'!M141-1)</f>
        <v>0.12943472769719455</v>
      </c>
      <c r="N141" s="63">
        <f>IF(OR('Price History'!N142="",'Price History'!N141="",'Price History'!N141=0),"",'Price History'!N142/'Price History'!N141-1)</f>
        <v>-5.5617606163524957E-3</v>
      </c>
      <c r="O141" s="63" t="str">
        <f>IF(OR('Price History'!O142="",'Price History'!O141="",'Price History'!O141=0),"",'Price History'!O142/'Price History'!O141-1)</f>
        <v/>
      </c>
      <c r="P141" s="63" t="str">
        <f>IF(OR('Price History'!P142="",'Price History'!P141="",'Price History'!P141=0),"",'Price History'!P142/'Price History'!P141-1)</f>
        <v/>
      </c>
      <c r="Q141" s="63" t="str">
        <f>IF(OR('Price History'!Q142="",'Price History'!Q141="",'Price History'!Q141=0),"",'Price History'!Q142/'Price History'!Q141-1)</f>
        <v/>
      </c>
    </row>
    <row r="142" spans="1:17" ht="15" customHeight="1" x14ac:dyDescent="0.2">
      <c r="A142" s="49">
        <f>'Price History'!A143</f>
        <v>46129</v>
      </c>
      <c r="B142" s="63">
        <f>IF(OR('Price History'!B143="",'Price History'!B142="",'Price History'!B142=0),"",'Price History'!B143/'Price History'!B142-1)</f>
        <v>8.4757044597293163E-2</v>
      </c>
      <c r="C142" s="63">
        <f>IF(OR('Price History'!C143="",'Price History'!C142="",'Price History'!C142=0),"",'Price History'!C143/'Price History'!C142-1)</f>
        <v>0.11455717678995581</v>
      </c>
      <c r="D142" s="63">
        <f>IF(OR('Price History'!D143="",'Price History'!D142="",'Price History'!D142=0),"",'Price History'!D143/'Price History'!D142-1)</f>
        <v>-1.2501014692751E-2</v>
      </c>
      <c r="E142" s="63">
        <f>IF(OR('Price History'!E143="",'Price History'!E142="",'Price History'!E142=0),"",'Price History'!E143/'Price History'!E142-1)</f>
        <v>9.4173058807697441E-2</v>
      </c>
      <c r="F142" s="63">
        <f>IF(OR('Price History'!F143="",'Price History'!F142="",'Price History'!F142=0),"",'Price History'!F143/'Price History'!F142-1)</f>
        <v>0.11850991979738268</v>
      </c>
      <c r="G142" s="63">
        <f>IF(OR('Price History'!G143="",'Price History'!G142="",'Price History'!G142=0),"",'Price History'!G143/'Price History'!G142-1)</f>
        <v>3.1140275139584395E-2</v>
      </c>
      <c r="H142" s="63">
        <f>IF(OR('Price History'!H143="",'Price History'!H142="",'Price History'!H142=0),"",'Price History'!H143/'Price History'!H142-1)</f>
        <v>8.198007560807441E-2</v>
      </c>
      <c r="I142" s="63">
        <f>IF(OR('Price History'!I143="",'Price History'!I142="",'Price History'!I142=0),"",'Price History'!I143/'Price History'!I142-1)</f>
        <v>6.9183056777819107E-2</v>
      </c>
      <c r="J142" s="63">
        <f>IF(OR('Price History'!J143="",'Price History'!J142="",'Price History'!J142=0),"",'Price History'!J143/'Price History'!J142-1)</f>
        <v>5.7657263648954071E-2</v>
      </c>
      <c r="K142" s="63">
        <f>IF(OR('Price History'!K143="",'Price History'!K142="",'Price History'!K142=0),"",'Price History'!K143/'Price History'!K142-1)</f>
        <v>0.14313602998594388</v>
      </c>
      <c r="L142" s="63">
        <f>IF(OR('Price History'!L143="",'Price History'!L142="",'Price History'!L142=0),"",'Price History'!L143/'Price History'!L142-1)</f>
        <v>-2.6983270372371582E-4</v>
      </c>
      <c r="M142" s="63">
        <f>IF(OR('Price History'!M143="",'Price History'!M142="",'Price History'!M142=0),"",'Price History'!M143/'Price History'!M142-1)</f>
        <v>4.1442174104570961E-2</v>
      </c>
      <c r="N142" s="63">
        <f>IF(OR('Price History'!N143="",'Price History'!N142="",'Price History'!N142=0),"",'Price History'!N143/'Price History'!N142-1)</f>
        <v>1.1300341531620406E-2</v>
      </c>
      <c r="O142" s="63" t="str">
        <f>IF(OR('Price History'!O143="",'Price History'!O142="",'Price History'!O142=0),"",'Price History'!O143/'Price History'!O142-1)</f>
        <v/>
      </c>
      <c r="P142" s="63" t="str">
        <f>IF(OR('Price History'!P143="",'Price History'!P142="",'Price History'!P142=0),"",'Price History'!P143/'Price History'!P142-1)</f>
        <v/>
      </c>
      <c r="Q142" s="63" t="str">
        <f>IF(OR('Price History'!Q143="",'Price History'!Q142="",'Price History'!Q142=0),"",'Price History'!Q143/'Price History'!Q142-1)</f>
        <v/>
      </c>
    </row>
    <row r="143" spans="1:17" ht="15" customHeight="1" x14ac:dyDescent="0.2">
      <c r="A143" s="49">
        <f>'Price History'!A144</f>
        <v>46136</v>
      </c>
      <c r="B143" s="63">
        <f>IF(OR('Price History'!B144="",'Price History'!B143="",'Price History'!B143=0),"",'Price History'!B144/'Price History'!B143-1)</f>
        <v>4.0499079566373997E-3</v>
      </c>
      <c r="C143" s="63">
        <f>IF(OR('Price History'!C144="",'Price History'!C143="",'Price History'!C143=0),"",'Price History'!C144/'Price History'!C143-1)</f>
        <v>7.7208792547037719E-2</v>
      </c>
      <c r="D143" s="63">
        <f>IF(OR('Price History'!D144="",'Price History'!D143="",'Price History'!D143=0),"",'Price History'!D144/'Price History'!D143-1)</f>
        <v>-1.4385532264693524E-3</v>
      </c>
      <c r="E143" s="63">
        <f>IF(OR('Price History'!E144="",'Price History'!E143="",'Price History'!E143=0),"",'Price History'!E144/'Price History'!E143-1)</f>
        <v>3.9897673045702575E-2</v>
      </c>
      <c r="F143" s="63">
        <f>IF(OR('Price History'!F144="",'Price History'!F143="",'Price History'!F143=0),"",'Price History'!F144/'Price History'!F143-1)</f>
        <v>5.6986508161147365E-2</v>
      </c>
      <c r="G143" s="63">
        <f>IF(OR('Price History'!G144="",'Price History'!G143="",'Price History'!G143=0),"",'Price History'!G144/'Price History'!G143-1)</f>
        <v>8.0160768114324155E-2</v>
      </c>
      <c r="H143" s="63">
        <f>IF(OR('Price History'!H144="",'Price History'!H143="",'Price History'!H143=0),"",'Price History'!H144/'Price History'!H143-1)</f>
        <v>9.1524380864482557E-2</v>
      </c>
      <c r="I143" s="63">
        <f>IF(OR('Price History'!I144="",'Price History'!I143="",'Price History'!I143=0),"",'Price History'!I144/'Price History'!I143-1)</f>
        <v>3.2675525585085241E-2</v>
      </c>
      <c r="J143" s="63">
        <f>IF(OR('Price History'!J144="",'Price History'!J143="",'Price History'!J143=0),"",'Price History'!J144/'Price History'!J143-1)</f>
        <v>-2.0675396278428626E-2</v>
      </c>
      <c r="K143" s="63">
        <f>IF(OR('Price History'!K144="",'Price History'!K143="",'Price History'!K143=0),"",'Price History'!K144/'Price History'!K143-1)</f>
        <v>-2.2542523396406722E-2</v>
      </c>
      <c r="L143" s="63">
        <f>IF(OR('Price History'!L144="",'Price History'!L143="",'Price History'!L143=0),"",'Price History'!L144/'Price History'!L143-1)</f>
        <v>8.6261808367071424E-2</v>
      </c>
      <c r="M143" s="63">
        <f>IF(OR('Price History'!M144="",'Price History'!M143="",'Price History'!M143=0),"",'Price History'!M144/'Price History'!M143-1)</f>
        <v>5.2450055313333799E-2</v>
      </c>
      <c r="N143" s="63">
        <f>IF(OR('Price History'!N144="",'Price History'!N143="",'Price History'!N143=0),"",'Price History'!N144/'Price History'!N143-1)</f>
        <v>-2.4728014505892904E-2</v>
      </c>
      <c r="O143" s="63" t="str">
        <f>IF(OR('Price History'!O144="",'Price History'!O143="",'Price History'!O143=0),"",'Price History'!O144/'Price History'!O143-1)</f>
        <v/>
      </c>
      <c r="P143" s="63" t="str">
        <f>IF(OR('Price History'!P144="",'Price History'!P143="",'Price History'!P143=0),"",'Price History'!P144/'Price History'!P143-1)</f>
        <v/>
      </c>
      <c r="Q143" s="63" t="str">
        <f>IF(OR('Price History'!Q144="",'Price History'!Q143="",'Price History'!Q143=0),"",'Price History'!Q144/'Price History'!Q143-1)</f>
        <v/>
      </c>
    </row>
    <row r="144" spans="1:17" ht="15" customHeight="1" x14ac:dyDescent="0.2">
      <c r="A144" s="49">
        <f>'Price History'!A145</f>
        <v>46143</v>
      </c>
      <c r="B144" s="63">
        <f>IF(OR('Price History'!B145="",'Price History'!B144="",'Price History'!B144=0),"",'Price History'!B145/'Price History'!B144-1)</f>
        <v>2.1471642764015586E-2</v>
      </c>
      <c r="C144" s="63">
        <f>IF(OR('Price History'!C145="",'Price History'!C144="",'Price History'!C144=0),"",'Price History'!C145/'Price History'!C144-1)</f>
        <v>-2.3797411112995381E-2</v>
      </c>
      <c r="D144" s="63">
        <f>IF(OR('Price History'!D145="",'Price History'!D144="",'Price History'!D144=0),"",'Price History'!D145/'Price History'!D144-1)</f>
        <v>-2.1046854634012568E-2</v>
      </c>
      <c r="E144" s="63">
        <f>IF(OR('Price History'!E145="",'Price History'!E144="",'Price History'!E144=0),"",'Price History'!E145/'Price History'!E144-1)</f>
        <v>-3.5008042388117167E-3</v>
      </c>
      <c r="F144" s="63">
        <f>IF(OR('Price History'!F145="",'Price History'!F144="",'Price History'!F144=0),"",'Price History'!F145/'Price History'!F144-1)</f>
        <v>1.6781219316254425E-2</v>
      </c>
      <c r="G144" s="63">
        <f>IF(OR('Price History'!G145="",'Price History'!G144="",'Price History'!G144=0),"",'Price History'!G145/'Price History'!G144-1)</f>
        <v>-0.10785529715762276</v>
      </c>
      <c r="H144" s="63">
        <f>IF(OR('Price History'!H145="",'Price History'!H144="",'Price History'!H144=0),"",'Price History'!H145/'Price History'!H144-1)</f>
        <v>9.1580769850217347E-2</v>
      </c>
      <c r="I144" s="63">
        <f>IF(OR('Price History'!I145="",'Price History'!I144="",'Price History'!I144=0),"",'Price History'!I145/'Price History'!I144-1)</f>
        <v>-4.715033370144539E-2</v>
      </c>
      <c r="J144" s="63">
        <f>IF(OR('Price History'!J145="",'Price History'!J144="",'Price History'!J144=0),"",'Price History'!J145/'Price History'!J144-1)</f>
        <v>-4.8557353976073081E-3</v>
      </c>
      <c r="K144" s="63">
        <f>IF(OR('Price History'!K145="",'Price History'!K144="",'Price History'!K144=0),"",'Price History'!K145/'Price History'!K144-1)</f>
        <v>6.8488363966734411E-3</v>
      </c>
      <c r="L144" s="63">
        <f>IF(OR('Price History'!L145="",'Price History'!L144="",'Price History'!L144=0),"",'Price History'!L145/'Price History'!L144-1)</f>
        <v>-1.190180390597817E-2</v>
      </c>
      <c r="M144" s="63">
        <f>IF(OR('Price History'!M145="",'Price History'!M144="",'Price History'!M144=0),"",'Price History'!M145/'Price History'!M144-1)</f>
        <v>1.499412601248995E-2</v>
      </c>
      <c r="N144" s="63">
        <f>IF(OR('Price History'!N145="",'Price History'!N144="",'Price History'!N144=0),"",'Price History'!N145/'Price History'!N144-1)</f>
        <v>-1.4803969415975282E-2</v>
      </c>
      <c r="O144" s="63" t="str">
        <f>IF(OR('Price History'!O145="",'Price History'!O144="",'Price History'!O144=0),"",'Price History'!O145/'Price History'!O144-1)</f>
        <v/>
      </c>
      <c r="P144" s="63" t="str">
        <f>IF(OR('Price History'!P145="",'Price History'!P144="",'Price History'!P144=0),"",'Price History'!P145/'Price History'!P144-1)</f>
        <v/>
      </c>
      <c r="Q144" s="63" t="str">
        <f>IF(OR('Price History'!Q145="",'Price History'!Q144="",'Price History'!Q144=0),"",'Price History'!Q145/'Price History'!Q144-1)</f>
        <v/>
      </c>
    </row>
    <row r="145" spans="1:17" ht="15" customHeight="1" x14ac:dyDescent="0.2">
      <c r="A145" s="49">
        <f>'Price History'!A146</f>
        <v>46150</v>
      </c>
      <c r="B145" s="63">
        <f>IF(OR('Price History'!B146="",'Price History'!B145="",'Price History'!B145=0),"",'Price History'!B146/'Price History'!B145-1)</f>
        <v>9.2936061585098262E-3</v>
      </c>
      <c r="C145" s="63">
        <f>IF(OR('Price History'!C146="",'Price History'!C145="",'Price History'!C145=0),"",'Price History'!C146/'Price History'!C145-1)</f>
        <v>-0.17909669947886497</v>
      </c>
      <c r="D145" s="63">
        <f>IF(OR('Price History'!D146="",'Price History'!D145="",'Price History'!D145=0),"",'Price History'!D146/'Price History'!D145-1)</f>
        <v>0.1156255693683339</v>
      </c>
      <c r="E145" s="63">
        <f>IF(OR('Price History'!E146="",'Price History'!E145="",'Price History'!E145=0),"",'Price History'!E146/'Price History'!E145-1)</f>
        <v>2.0698822635776715E-2</v>
      </c>
      <c r="F145" s="63">
        <f>IF(OR('Price History'!F146="",'Price History'!F145="",'Price History'!F145=0),"",'Price History'!F146/'Price History'!F145-1)</f>
        <v>0.15828285488543581</v>
      </c>
      <c r="G145" s="63">
        <f>IF(OR('Price History'!G146="",'Price History'!G145="",'Price History'!G145=0),"",'Price History'!G146/'Price History'!G145-1)</f>
        <v>8.2778196142037741E-2</v>
      </c>
      <c r="H145" s="63">
        <f>IF(OR('Price History'!H146="",'Price History'!H145="",'Price History'!H145=0),"",'Price History'!H146/'Price History'!H145-1)</f>
        <v>0.37734457129156573</v>
      </c>
      <c r="I145" s="63">
        <f>IF(OR('Price History'!I146="",'Price History'!I145="",'Price History'!I145=0),"",'Price History'!I146/'Price History'!I145-1)</f>
        <v>8.4404132023179645E-2</v>
      </c>
      <c r="J145" s="63">
        <f>IF(OR('Price History'!J146="",'Price History'!J145="",'Price History'!J145=0),"",'Price History'!J146/'Price History'!J145-1)</f>
        <v>1.8951983593805233E-2</v>
      </c>
      <c r="K145" s="63">
        <f>IF(OR('Price History'!K146="",'Price History'!K145="",'Price History'!K145=0),"",'Price History'!K146/'Price History'!K145-1)</f>
        <v>-4.3520510862774864E-2</v>
      </c>
      <c r="L145" s="63">
        <f>IF(OR('Price History'!L146="",'Price History'!L145="",'Price History'!L145=0),"",'Price History'!L146/'Price History'!L145-1)</f>
        <v>3.523021600824805E-2</v>
      </c>
      <c r="M145" s="63">
        <f>IF(OR('Price History'!M146="",'Price History'!M145="",'Price History'!M145=0),"",'Price History'!M146/'Price History'!M145-1)</f>
        <v>3.5515214279187468E-2</v>
      </c>
      <c r="N145" s="63">
        <f>IF(OR('Price History'!N146="",'Price History'!N145="",'Price History'!N145=0),"",'Price History'!N146/'Price History'!N145-1)</f>
        <v>1.3917720324589489E-2</v>
      </c>
      <c r="O145" s="63" t="str">
        <f>IF(OR('Price History'!O146="",'Price History'!O145="",'Price History'!O145=0),"",'Price History'!O146/'Price History'!O145-1)</f>
        <v/>
      </c>
      <c r="P145" s="63" t="str">
        <f>IF(OR('Price History'!P146="",'Price History'!P145="",'Price History'!P145=0),"",'Price History'!P146/'Price History'!P145-1)</f>
        <v/>
      </c>
      <c r="Q145" s="63" t="str">
        <f>IF(OR('Price History'!Q146="",'Price History'!Q145="",'Price History'!Q145=0),"",'Price History'!Q146/'Price History'!Q145-1)</f>
        <v/>
      </c>
    </row>
    <row r="146" spans="1:17" ht="15" customHeight="1" x14ac:dyDescent="0.2">
      <c r="A146" s="49">
        <f>'Price History'!A147</f>
        <v>46157</v>
      </c>
      <c r="B146" s="63">
        <f>IF(OR('Price History'!B147="",'Price History'!B146="",'Price History'!B146=0),"",'Price History'!B147/'Price History'!B146-1)</f>
        <v>-2.1498577300031574E-2</v>
      </c>
      <c r="C146" s="63">
        <f>IF(OR('Price History'!C147="",'Price History'!C146="",'Price History'!C146=0),"",'Price History'!C147/'Price History'!C146-1)</f>
        <v>1.4107356986667874E-3</v>
      </c>
      <c r="D146" s="63">
        <f>IF(OR('Price History'!D147="",'Price History'!D146="",'Price History'!D146=0),"",'Price History'!D147/'Price History'!D146-1)</f>
        <v>-5.6663861006771343E-2</v>
      </c>
      <c r="E146" s="63">
        <f>IF(OR('Price History'!E147="",'Price History'!E146="",'Price History'!E146=0),"",'Price History'!E147/'Price History'!E146-1)</f>
        <v>-1.1186046511627912E-2</v>
      </c>
      <c r="F146" s="63">
        <f>IF(OR('Price History'!F147="",'Price History'!F146="",'Price History'!F146=0),"",'Price History'!F147/'Price History'!F146-1)</f>
        <v>0.12566318023343959</v>
      </c>
      <c r="G146" s="63">
        <f>IF(OR('Price History'!G147="",'Price History'!G146="",'Price History'!G146=0),"",'Price History'!G147/'Price History'!G146-1)</f>
        <v>-3.4720736143804776E-2</v>
      </c>
      <c r="H146" s="63">
        <f>IF(OR('Price History'!H147="",'Price History'!H146="",'Price History'!H146=0),"",'Price History'!H147/'Price History'!H146-1)</f>
        <v>-2.9659485009574049E-2</v>
      </c>
      <c r="I146" s="63">
        <f>IF(OR('Price History'!I147="",'Price History'!I146="",'Price History'!I146=0),"",'Price History'!I147/'Price History'!I146-1)</f>
        <v>4.702602230483266E-2</v>
      </c>
      <c r="J146" s="63">
        <f>IF(OR('Price History'!J147="",'Price History'!J146="",'Price History'!J146=0),"",'Price History'!J147/'Price History'!J146-1)</f>
        <v>-2.4706780484419433E-2</v>
      </c>
      <c r="K146" s="63">
        <f>IF(OR('Price History'!K147="",'Price History'!K146="",'Price History'!K146=0),"",'Price History'!K147/'Price History'!K146-1)</f>
        <v>-2.7648766328011609E-2</v>
      </c>
      <c r="L146" s="63">
        <f>IF(OR('Price History'!L147="",'Price History'!L146="",'Price History'!L146=0),"",'Price History'!L147/'Price History'!L146-1)</f>
        <v>-1.7805091333074174E-2</v>
      </c>
      <c r="M146" s="63">
        <f>IF(OR('Price History'!M147="",'Price History'!M146="",'Price History'!M146=0),"",'Price History'!M147/'Price History'!M146-1)</f>
        <v>9.109627320057645E-2</v>
      </c>
      <c r="N146" s="63">
        <f>IF(OR('Price History'!N147="",'Price History'!N146="",'Price History'!N146=0),"",'Price History'!N147/'Price History'!N146-1)</f>
        <v>1.6588339304825173E-2</v>
      </c>
      <c r="O146" s="63" t="str">
        <f>IF(OR('Price History'!O147="",'Price History'!O146="",'Price History'!O146=0),"",'Price History'!O147/'Price History'!O146-1)</f>
        <v/>
      </c>
      <c r="P146" s="63" t="str">
        <f>IF(OR('Price History'!P147="",'Price History'!P146="",'Price History'!P146=0),"",'Price History'!P147/'Price History'!P146-1)</f>
        <v/>
      </c>
      <c r="Q146" s="63" t="str">
        <f>IF(OR('Price History'!Q147="",'Price History'!Q146="",'Price History'!Q146=0),"",'Price History'!Q147/'Price History'!Q146-1)</f>
        <v/>
      </c>
    </row>
    <row r="147" spans="1:17" ht="15" customHeight="1" x14ac:dyDescent="0.2">
      <c r="A147" s="49">
        <f>'Price History'!A148</f>
        <v>46164</v>
      </c>
      <c r="B147" s="63">
        <f>IF(OR('Price History'!B148="",'Price History'!B147="",'Price History'!B147=0),"",'Price History'!B148/'Price History'!B147-1)</f>
        <v>-1.1470113085621958E-2</v>
      </c>
      <c r="C147" s="63">
        <f>IF(OR('Price History'!C148="",'Price History'!C147="",'Price History'!C147=0),"",'Price History'!C148/'Price History'!C147-1)</f>
        <v>8.494752412481521E-2</v>
      </c>
      <c r="D147" s="63">
        <f>IF(OR('Price History'!D148="",'Price History'!D147="",'Price History'!D147=0),"",'Price History'!D148/'Price History'!D147-1)</f>
        <v>8.7288005806327229E-2</v>
      </c>
      <c r="E147" s="63">
        <f>IF(OR('Price History'!E148="",'Price History'!E147="",'Price History'!E147=0),"",'Price History'!E148/'Price History'!E147-1)</f>
        <v>-2.5988381664667548E-2</v>
      </c>
      <c r="F147" s="63">
        <f>IF(OR('Price History'!F148="",'Price History'!F147="",'Price History'!F147=0),"",'Price History'!F148/'Price History'!F147-1)</f>
        <v>0.11681928359816851</v>
      </c>
      <c r="G147" s="63">
        <f>IF(OR('Price History'!G148="",'Price History'!G147="",'Price History'!G147=0),"",'Price History'!G148/'Price History'!G147-1)</f>
        <v>4.6610874023166771E-2</v>
      </c>
      <c r="H147" s="63">
        <f>IF(OR('Price History'!H148="",'Price History'!H147="",'Price History'!H147=0),"",'Price History'!H148/'Price History'!H147-1)</f>
        <v>3.6348080479121192E-2</v>
      </c>
      <c r="I147" s="63">
        <f>IF(OR('Price History'!I148="",'Price History'!I147="",'Price History'!I147=0),"",'Price History'!I148/'Price History'!I147-1)</f>
        <v>-4.4336943014379515E-2</v>
      </c>
      <c r="J147" s="63">
        <f>IF(OR('Price History'!J148="",'Price History'!J147="",'Price History'!J147=0),"",'Price History'!J148/'Price History'!J147-1)</f>
        <v>3.8212481320714531E-2</v>
      </c>
      <c r="K147" s="63">
        <f>IF(OR('Price History'!K148="",'Price History'!K147="",'Price History'!K147=0),"",'Price History'!K148/'Price History'!K147-1)</f>
        <v>2.1568773789088613E-2</v>
      </c>
      <c r="L147" s="63">
        <f>IF(OR('Price History'!L148="",'Price History'!L147="",'Price History'!L147=0),"",'Price History'!L148/'Price History'!L147-1)</f>
        <v>4.2042784716200821E-4</v>
      </c>
      <c r="M147" s="63">
        <f>IF(OR('Price History'!M148="",'Price History'!M147="",'Price History'!M147=0),"",'Price History'!M148/'Price History'!M147-1)</f>
        <v>-0.11721572221922683</v>
      </c>
      <c r="N147" s="63">
        <f>IF(OR('Price History'!N148="",'Price History'!N147="",'Price History'!N147=0),"",'Price History'!N148/'Price History'!N147-1)</f>
        <v>-5.5612770339855677E-3</v>
      </c>
      <c r="O147" s="63" t="str">
        <f>IF(OR('Price History'!O148="",'Price History'!O147="",'Price History'!O147=0),"",'Price History'!O148/'Price History'!O147-1)</f>
        <v/>
      </c>
      <c r="P147" s="63" t="str">
        <f>IF(OR('Price History'!P148="",'Price History'!P147="",'Price History'!P147=0),"",'Price History'!P148/'Price History'!P147-1)</f>
        <v/>
      </c>
      <c r="Q147" s="63" t="str">
        <f>IF(OR('Price History'!Q148="",'Price History'!Q147="",'Price History'!Q147=0),"",'Price History'!Q148/'Price History'!Q147-1)</f>
        <v/>
      </c>
    </row>
    <row r="148" spans="1:17" ht="15" customHeight="1" x14ac:dyDescent="0.2">
      <c r="A148" s="49">
        <f>'Price History'!A149</f>
        <v>46171</v>
      </c>
      <c r="B148" s="63">
        <f>IF(OR('Price History'!B149="",'Price History'!B148="",'Price History'!B148=0),"",'Price History'!B149/'Price History'!B148-1)</f>
        <v>5.9037424415754103E-2</v>
      </c>
      <c r="C148" s="63">
        <f>IF(OR('Price History'!C149="",'Price History'!C148="",'Price History'!C148=0),"",'Price History'!C149/'Price History'!C148-1)</f>
        <v>3.5317795234694582E-2</v>
      </c>
      <c r="D148" s="63">
        <f>IF(OR('Price History'!D149="",'Price History'!D148="",'Price History'!D148=0),"",'Price History'!D149/'Price History'!D148-1)</f>
        <v>-1.2333884499969416E-2</v>
      </c>
      <c r="E148" s="63">
        <f>IF(OR('Price History'!E149="",'Price History'!E148="",'Price History'!E148=0),"",'Price History'!E149/'Price History'!E148-1)</f>
        <v>7.8789781233399303E-2</v>
      </c>
      <c r="F148" s="63">
        <f>IF(OR('Price History'!F149="",'Price History'!F148="",'Price History'!F148=0),"",'Price History'!F149/'Price History'!F148-1)</f>
        <v>0.10176644360040998</v>
      </c>
      <c r="G148" s="63">
        <f>IF(OR('Price History'!G149="",'Price History'!G148="",'Price History'!G148=0),"",'Price History'!G149/'Price History'!G148-1)</f>
        <v>1.7633975852573425E-2</v>
      </c>
      <c r="H148" s="63">
        <f>IF(OR('Price History'!H149="",'Price History'!H148="",'Price History'!H148=0),"",'Price History'!H149/'Price History'!H148-1)</f>
        <v>0.29294274300932099</v>
      </c>
      <c r="I148" s="63">
        <f>IF(OR('Price History'!I149="",'Price History'!I148="",'Price History'!I148=0),"",'Price History'!I149/'Price History'!I148-1)</f>
        <v>-1.9458505549621585E-2</v>
      </c>
      <c r="J148" s="63">
        <f>IF(OR('Price History'!J149="",'Price History'!J148="",'Price History'!J148=0),"",'Price History'!J149/'Price History'!J148-1)</f>
        <v>-1.6655243317340696E-2</v>
      </c>
      <c r="K148" s="63">
        <f>IF(OR('Price History'!K149="",'Price History'!K148="",'Price History'!K148=0),"",'Price History'!K149/'Price History'!K148-1)</f>
        <v>0.14362945645821146</v>
      </c>
      <c r="L148" s="63">
        <f>IF(OR('Price History'!L149="",'Price History'!L148="",'Price History'!L148=0),"",'Price History'!L149/'Price History'!L148-1)</f>
        <v>3.4435874616829842E-2</v>
      </c>
      <c r="M148" s="63">
        <f>IF(OR('Price History'!M149="",'Price History'!M148="",'Price History'!M148=0),"",'Price History'!M149/'Price History'!M148-1)</f>
        <v>-3.5882245159714166E-2</v>
      </c>
      <c r="N148" s="63">
        <f>IF(OR('Price History'!N149="",'Price History'!N148="",'Price History'!N148=0),"",'Price History'!N149/'Price History'!N148-1)</f>
        <v>2.9964098315382603E-2</v>
      </c>
      <c r="O148" s="63" t="str">
        <f>IF(OR('Price History'!O149="",'Price History'!O148="",'Price History'!O148=0),"",'Price History'!O149/'Price History'!O148-1)</f>
        <v/>
      </c>
      <c r="P148" s="63" t="str">
        <f>IF(OR('Price History'!P149="",'Price History'!P148="",'Price History'!P148=0),"",'Price History'!P149/'Price History'!P148-1)</f>
        <v/>
      </c>
      <c r="Q148" s="63" t="str">
        <f>IF(OR('Price History'!Q149="",'Price History'!Q148="",'Price History'!Q148=0),"",'Price History'!Q149/'Price History'!Q148-1)</f>
        <v/>
      </c>
    </row>
    <row r="149" spans="1:17" ht="15" customHeight="1" x14ac:dyDescent="0.2">
      <c r="A149" s="49">
        <f>'Price History'!A150</f>
        <v>46178</v>
      </c>
      <c r="B149" s="63">
        <f>IF(OR('Price History'!B150="",'Price History'!B149="",'Price History'!B149=0),"",'Price History'!B150/'Price History'!B149-1)</f>
        <v>-2.9975695382122525E-2</v>
      </c>
      <c r="C149" s="63">
        <f>IF(OR('Price History'!C150="",'Price History'!C149="",'Price History'!C149=0),"",'Price History'!C150/'Price History'!C149-1)</f>
        <v>-3.2608014046529021E-2</v>
      </c>
      <c r="D149" s="63">
        <f>IF(OR('Price History'!D150="",'Price History'!D149="",'Price History'!D149=0),"",'Price History'!D150/'Price History'!D149-1)</f>
        <v>1.7969195664575111E-2</v>
      </c>
      <c r="E149" s="63">
        <f>IF(OR('Price History'!E150="",'Price History'!E149="",'Price History'!E149=0),"",'Price History'!E150/'Price History'!E149-1)</f>
        <v>-0.13662510911654757</v>
      </c>
      <c r="F149" s="63">
        <f>IF(OR('Price History'!F150="",'Price History'!F149="",'Price History'!F149=0),"",'Price History'!F150/'Price History'!F149-1)</f>
        <v>-8.2024623803009677E-2</v>
      </c>
      <c r="G149" s="63">
        <f>IF(OR('Price History'!G150="",'Price History'!G149="",'Price History'!G149=0),"",'Price History'!G150/'Price History'!G149-1)</f>
        <v>3.9027944007909987E-3</v>
      </c>
      <c r="H149" s="63">
        <f>IF(OR('Price History'!H150="",'Price History'!H149="",'Price History'!H149=0),"",'Price History'!H150/'Price History'!H149-1)</f>
        <v>-0.11018537590113286</v>
      </c>
      <c r="I149" s="63">
        <f>IF(OR('Price History'!I150="",'Price History'!I149="",'Price History'!I149=0),"",'Price History'!I150/'Price History'!I149-1)</f>
        <v>-2.8606611726816333E-2</v>
      </c>
      <c r="J149" s="63">
        <f>IF(OR('Price History'!J150="",'Price History'!J149="",'Price History'!J149=0),"",'Price History'!J150/'Price History'!J149-1)</f>
        <v>7.4580051578727602E-3</v>
      </c>
      <c r="K149" s="63">
        <f>IF(OR('Price History'!K150="",'Price History'!K149="",'Price History'!K149=0),"",'Price History'!K150/'Price History'!K149-1)</f>
        <v>-0.13421489715088786</v>
      </c>
      <c r="L149" s="63">
        <f>IF(OR('Price History'!L150="",'Price History'!L149="",'Price History'!L149=0),"",'Price History'!L150/'Price History'!L149-1)</f>
        <v>-7.8384514278885264E-3</v>
      </c>
      <c r="M149" s="63">
        <f>IF(OR('Price History'!M150="",'Price History'!M149="",'Price History'!M149=0),"",'Price History'!M150/'Price History'!M149-1)</f>
        <v>-4.8145449938234441E-2</v>
      </c>
      <c r="N149" s="63">
        <f>IF(OR('Price History'!N150="",'Price History'!N149="",'Price History'!N149=0),"",'Price History'!N150/'Price History'!N149-1)</f>
        <v>-1.5864503731510826E-3</v>
      </c>
      <c r="O149" s="63" t="str">
        <f>IF(OR('Price History'!O150="",'Price History'!O149="",'Price History'!O149=0),"",'Price History'!O150/'Price History'!O149-1)</f>
        <v/>
      </c>
      <c r="P149" s="63" t="str">
        <f>IF(OR('Price History'!P150="",'Price History'!P149="",'Price History'!P149=0),"",'Price History'!P150/'Price History'!P149-1)</f>
        <v/>
      </c>
      <c r="Q149" s="63" t="str">
        <f>IF(OR('Price History'!Q150="",'Price History'!Q149="",'Price History'!Q149=0),"",'Price History'!Q150/'Price History'!Q149-1)</f>
        <v/>
      </c>
    </row>
    <row r="150" spans="1:17" ht="15" customHeight="1" x14ac:dyDescent="0.2">
      <c r="A150" s="49">
        <f>'Price History'!A151</f>
        <v>46185</v>
      </c>
      <c r="B150" s="63">
        <f>IF(OR('Price History'!B151="",'Price History'!B150="",'Price History'!B150=0),"",'Price History'!B151/'Price History'!B150-1)</f>
        <v>-0.18859370028635059</v>
      </c>
      <c r="C150" s="63">
        <f>IF(OR('Price History'!C151="",'Price History'!C150="",'Price History'!C150=0),"",'Price History'!C151/'Price History'!C150-1)</f>
        <v>5.8144811045569345E-2</v>
      </c>
      <c r="D150" s="63">
        <f>IF(OR('Price History'!D151="",'Price History'!D150="",'Price History'!D150=0),"",'Price History'!D151/'Price History'!D150-1)</f>
        <v>0.13510665513418685</v>
      </c>
      <c r="E150" s="63">
        <f>IF(OR('Price History'!E151="",'Price History'!E150="",'Price History'!E150=0),"",'Price History'!E151/'Price History'!E150-1)</f>
        <v>-9.4885023202758711E-3</v>
      </c>
      <c r="F150" s="63">
        <f>IF(OR('Price History'!F151="",'Price History'!F150="",'Price History'!F150=0),"",'Price History'!F151/'Price History'!F150-1)</f>
        <v>1.7525035765379116E-2</v>
      </c>
      <c r="G150" s="63">
        <f>IF(OR('Price History'!G151="",'Price History'!G150="",'Price History'!G150=0),"",'Price History'!G151/'Price History'!G150-1)</f>
        <v>0.31940700808625344</v>
      </c>
      <c r="H150" s="63">
        <f>IF(OR('Price History'!H151="",'Price History'!H150="",'Price History'!H150=0),"",'Price History'!H151/'Price History'!H150-1)</f>
        <v>0.13610953576926188</v>
      </c>
      <c r="I150" s="63">
        <f>IF(OR('Price History'!I151="",'Price History'!I150="",'Price History'!I150=0),"",'Price History'!I151/'Price History'!I150-1)</f>
        <v>4.388103364212359E-4</v>
      </c>
      <c r="J150" s="63">
        <f>IF(OR('Price History'!J151="",'Price History'!J150="",'Price History'!J150=0),"",'Price History'!J151/'Price History'!J150-1)</f>
        <v>2.9057700290577193E-2</v>
      </c>
      <c r="K150" s="63">
        <f>IF(OR('Price History'!K151="",'Price History'!K150="",'Price History'!K150=0),"",'Price History'!K151/'Price History'!K150-1)</f>
        <v>-5.5633439090976178E-2</v>
      </c>
      <c r="L150" s="63">
        <f>IF(OR('Price History'!L151="",'Price History'!L150="",'Price History'!L150=0),"",'Price History'!L151/'Price History'!L150-1)</f>
        <v>2.1099790447286715E-2</v>
      </c>
      <c r="M150" s="63">
        <f>IF(OR('Price History'!M151="",'Price History'!M150="",'Price History'!M150=0),"",'Price History'!M151/'Price History'!M150-1)</f>
        <v>7.8533160294167459E-3</v>
      </c>
      <c r="N150" s="63">
        <f>IF(OR('Price History'!N151="",'Price History'!N150="",'Price History'!N150=0),"",'Price History'!N151/'Price History'!N150-1)</f>
        <v>-4.2521764429424014E-3</v>
      </c>
      <c r="O150" s="63" t="str">
        <f>IF(OR('Price History'!O151="",'Price History'!O150="",'Price History'!O150=0),"",'Price History'!O151/'Price History'!O150-1)</f>
        <v/>
      </c>
      <c r="P150" s="63" t="str">
        <f>IF(OR('Price History'!P151="",'Price History'!P150="",'Price History'!P150=0),"",'Price History'!P151/'Price History'!P150-1)</f>
        <v/>
      </c>
      <c r="Q150" s="63" t="str">
        <f>IF(OR('Price History'!Q151="",'Price History'!Q150="",'Price History'!Q150=0),"",'Price History'!Q151/'Price History'!Q150-1)</f>
        <v/>
      </c>
    </row>
    <row r="151" spans="1:17" ht="15" customHeight="1" x14ac:dyDescent="0.2">
      <c r="A151" s="49">
        <f>'Price History'!A152</f>
        <v>46191</v>
      </c>
      <c r="B151" s="63">
        <f>IF(OR('Price History'!B152="",'Price History'!B151="",'Price History'!B151=0),"",'Price History'!B152/'Price History'!B151-1)</f>
        <v>-4.3427114988726645E-2</v>
      </c>
      <c r="C151" s="63">
        <f>IF(OR('Price History'!C152="",'Price History'!C151="",'Price History'!C151=0),"",'Price History'!C152/'Price History'!C151-1)</f>
        <v>3.9389855427591103E-2</v>
      </c>
      <c r="D151" s="63">
        <f>IF(OR('Price History'!D152="",'Price History'!D151="",'Price History'!D151=0),"",'Price History'!D152/'Price History'!D151-1)</f>
        <v>3.5486034718682058E-2</v>
      </c>
      <c r="E151" s="63">
        <f>IF(OR('Price History'!E152="",'Price History'!E151="",'Price History'!E151=0),"",'Price History'!E152/'Price History'!E151-1)</f>
        <v>7.6635171565420102E-2</v>
      </c>
      <c r="F151" s="63">
        <f>IF(OR('Price History'!F152="",'Price History'!F151="",'Price History'!F151=0),"",'Price History'!F152/'Price History'!F151-1)</f>
        <v>3.0462800234329901E-3</v>
      </c>
      <c r="G151" s="63">
        <f>IF(OR('Price History'!G152="",'Price History'!G151="",'Price History'!G151=0),"",'Price History'!G152/'Price History'!G151-1)</f>
        <v>1.9721851182525452E-2</v>
      </c>
      <c r="H151" s="63">
        <f>IF(OR('Price History'!H152="",'Price History'!H151="",'Price History'!H151=0),"",'Price History'!H152/'Price History'!H151-1)</f>
        <v>0.15523476737197051</v>
      </c>
      <c r="I151" s="63">
        <f>IF(OR('Price History'!I152="",'Price History'!I151="",'Price History'!I151=0),"",'Price History'!I152/'Price History'!I151-1)</f>
        <v>2.6804425166918389E-2</v>
      </c>
      <c r="J151" s="63">
        <f>IF(OR('Price History'!J152="",'Price History'!J151="",'Price History'!J151=0),"",'Price History'!J152/'Price History'!J151-1)</f>
        <v>-5.5129756622294024E-2</v>
      </c>
      <c r="K151" s="63">
        <f>IF(OR('Price History'!K152="",'Price History'!K151="",'Price History'!K151=0),"",'Price History'!K152/'Price History'!K151-1)</f>
        <v>3.7502929916399808E-3</v>
      </c>
      <c r="L151" s="63">
        <f>IF(OR('Price History'!L152="",'Price History'!L151="",'Price History'!L151=0),"",'Price History'!L152/'Price History'!L151-1)</f>
        <v>9.0085627344137054E-2</v>
      </c>
      <c r="M151" s="63">
        <f>IF(OR('Price History'!M152="",'Price History'!M151="",'Price History'!M151=0),"",'Price History'!M152/'Price History'!M151-1)</f>
        <v>9.9646713111235963E-2</v>
      </c>
      <c r="N151" s="63">
        <f>IF(OR('Price History'!N152="",'Price History'!N151="",'Price History'!N151=0),"",'Price History'!N152/'Price History'!N151-1)</f>
        <v>1.5058548535724636E-2</v>
      </c>
      <c r="O151" s="63" t="str">
        <f>IF(OR('Price History'!O152="",'Price History'!O151="",'Price History'!O151=0),"",'Price History'!O152/'Price History'!O151-1)</f>
        <v/>
      </c>
      <c r="P151" s="63" t="str">
        <f>IF(OR('Price History'!P152="",'Price History'!P151="",'Price History'!P151=0),"",'Price History'!P152/'Price History'!P151-1)</f>
        <v/>
      </c>
      <c r="Q151" s="63" t="str">
        <f>IF(OR('Price History'!Q152="",'Price History'!Q151="",'Price History'!Q151=0),"",'Price History'!Q152/'Price History'!Q151-1)</f>
        <v/>
      </c>
    </row>
    <row r="152" spans="1:17" ht="15" customHeight="1" x14ac:dyDescent="0.2">
      <c r="A152" s="49">
        <f>'Price History'!A153</f>
        <v>46199</v>
      </c>
      <c r="B152" s="63">
        <f>IF(OR('Price History'!B153="",'Price History'!B152="",'Price History'!B152=0),"",'Price History'!B153/'Price History'!B152-1)</f>
        <v>3.8788686206189693E-2</v>
      </c>
      <c r="C152" s="63">
        <f>IF(OR('Price History'!C153="",'Price History'!C152="",'Price History'!C152=0),"",'Price History'!C153/'Price History'!C152-1)</f>
        <v>-7.1138091589556196E-2</v>
      </c>
      <c r="D152" s="63">
        <f>IF(OR('Price History'!D153="",'Price History'!D152="",'Price History'!D152=0),"",'Price History'!D153/'Price History'!D152-1)</f>
        <v>-6.9990879316778054E-2</v>
      </c>
      <c r="E152" s="63">
        <f>IF(OR('Price History'!E153="",'Price History'!E152="",'Price History'!E152=0),"",'Price History'!E153/'Price History'!E152-1)</f>
        <v>-0.11262914792755574</v>
      </c>
      <c r="F152" s="63">
        <f>IF(OR('Price History'!F153="",'Price History'!F152="",'Price History'!F152=0),"",'Price History'!F153/'Price History'!F152-1)</f>
        <v>2.365377876416308E-2</v>
      </c>
      <c r="G152" s="63">
        <f>IF(OR('Price History'!G153="",'Price History'!G152="",'Price History'!G152=0),"",'Price History'!G153/'Price History'!G152-1)</f>
        <v>-4.2071197411003292E-2</v>
      </c>
      <c r="H152" s="63">
        <f>IF(OR('Price History'!H153="",'Price History'!H152="",'Price History'!H152=0),"",'Price History'!H153/'Price History'!H152-1)</f>
        <v>-1.4638577059763458E-3</v>
      </c>
      <c r="I152" s="63">
        <f>IF(OR('Price History'!I153="",'Price History'!I152="",'Price History'!I152=0),"",'Price History'!I153/'Price History'!I152-1)</f>
        <v>-8.6192984954198137E-2</v>
      </c>
      <c r="J152" s="63">
        <f>IF(OR('Price History'!J153="",'Price History'!J152="",'Price History'!J152=0),"",'Price History'!J153/'Price History'!J152-1)</f>
        <v>-4.0557848299416221E-3</v>
      </c>
      <c r="K152" s="63">
        <f>IF(OR('Price History'!K153="",'Price History'!K152="",'Price History'!K152=0),"",'Price History'!K153/'Price History'!K152-1)</f>
        <v>-0.12096209231727251</v>
      </c>
      <c r="L152" s="63">
        <f>IF(OR('Price History'!L153="",'Price History'!L152="",'Price History'!L152=0),"",'Price History'!L153/'Price History'!L152-1)</f>
        <v>-6.4420496840647434E-2</v>
      </c>
      <c r="M152" s="63">
        <f>IF(OR('Price History'!M153="",'Price History'!M152="",'Price History'!M152=0),"",'Price History'!M153/'Price History'!M152-1)</f>
        <v>-8.7374268127908827E-2</v>
      </c>
      <c r="N152" s="63">
        <f>IF(OR('Price History'!N153="",'Price History'!N152="",'Price History'!N152=0),"",'Price History'!N153/'Price History'!N152-1)</f>
        <v>8.7925957088767381E-2</v>
      </c>
      <c r="O152" s="63" t="str">
        <f>IF(OR('Price History'!O153="",'Price History'!O152="",'Price History'!O152=0),"",'Price History'!O153/'Price History'!O152-1)</f>
        <v/>
      </c>
      <c r="P152" s="63" t="str">
        <f>IF(OR('Price History'!P153="",'Price History'!P152="",'Price History'!P152=0),"",'Price History'!P153/'Price History'!P152-1)</f>
        <v/>
      </c>
      <c r="Q152" s="63" t="str">
        <f>IF(OR('Price History'!Q153="",'Price History'!Q152="",'Price History'!Q152=0),"",'Price History'!Q153/'Price History'!Q152-1)</f>
        <v/>
      </c>
    </row>
    <row r="153" spans="1:17" ht="15" customHeight="1" x14ac:dyDescent="0.2">
      <c r="A153" s="49">
        <f>'Price History'!A154</f>
        <v>46205</v>
      </c>
      <c r="B153" s="63">
        <f>IF(OR('Price History'!B154="",'Price History'!B153="",'Price History'!B153=0),"",'Price History'!B154/'Price History'!B153-1)</f>
        <v>8.3806047452276378E-2</v>
      </c>
      <c r="C153" s="63">
        <f>IF(OR('Price History'!C154="",'Price History'!C153="",'Price History'!C153=0),"",'Price History'!C154/'Price History'!C153-1)</f>
        <v>1.5164974619289451E-2</v>
      </c>
      <c r="D153" s="63">
        <f>IF(OR('Price History'!D154="",'Price History'!D153="",'Price History'!D153=0),"",'Price History'!D154/'Price History'!D153-1)</f>
        <v>-1.4097691990504924E-2</v>
      </c>
      <c r="E153" s="63">
        <f>IF(OR('Price History'!E154="",'Price History'!E153="",'Price History'!E153=0),"",'Price History'!E154/'Price History'!E153-1)</f>
        <v>-1.251986192537391E-2</v>
      </c>
      <c r="F153" s="63">
        <f>IF(OR('Price History'!F154="",'Price History'!F153="",'Price History'!F153=0),"",'Price History'!F154/'Price History'!F153-1)</f>
        <v>0.10674958635248455</v>
      </c>
      <c r="G153" s="63">
        <f>IF(OR('Price History'!G154="",'Price History'!G153="",'Price History'!G153=0),"",'Price History'!G154/'Price History'!G153-1)</f>
        <v>-5.2646396396396344E-2</v>
      </c>
      <c r="H153" s="63">
        <f>IF(OR('Price History'!H154="",'Price History'!H153="",'Price History'!H153=0),"",'Price History'!H154/'Price History'!H153-1)</f>
        <v>-0.13844903870779723</v>
      </c>
      <c r="I153" s="63">
        <f>IF(OR('Price History'!I154="",'Price History'!I153="",'Price History'!I153=0),"",'Price History'!I154/'Price History'!I153-1)</f>
        <v>1.1946190204124019E-2</v>
      </c>
      <c r="J153" s="63">
        <f>IF(OR('Price History'!J154="",'Price History'!J153="",'Price History'!J153=0),"",'Price History'!J154/'Price History'!J153-1)</f>
        <v>-3.8579695649066936E-3</v>
      </c>
      <c r="K153" s="63">
        <f>IF(OR('Price History'!K154="",'Price History'!K153="",'Price History'!K153=0),"",'Price History'!K154/'Price History'!K153-1)</f>
        <v>0.14495705304170725</v>
      </c>
      <c r="L153" s="63">
        <f>IF(OR('Price History'!L154="",'Price History'!L153="",'Price History'!L153=0),"",'Price History'!L154/'Price History'!L153-1)</f>
        <v>4.186423036891318E-3</v>
      </c>
      <c r="M153" s="63">
        <f>IF(OR('Price History'!M154="",'Price History'!M153="",'Price History'!M153=0),"",'Price History'!M154/'Price History'!M153-1)</f>
        <v>-1.1251850633327898E-2</v>
      </c>
      <c r="N153" s="63">
        <f>IF(OR('Price History'!N154="",'Price History'!N153="",'Price History'!N153=0),"",'Price History'!N154/'Price History'!N153-1)</f>
        <v>7.4693694793829035E-2</v>
      </c>
      <c r="O153" s="63" t="str">
        <f>IF(OR('Price History'!O154="",'Price History'!O153="",'Price History'!O153=0),"",'Price History'!O154/'Price History'!O153-1)</f>
        <v/>
      </c>
      <c r="P153" s="63" t="str">
        <f>IF(OR('Price History'!P154="",'Price History'!P153="",'Price History'!P153=0),"",'Price History'!P154/'Price History'!P153-1)</f>
        <v/>
      </c>
      <c r="Q153" s="63" t="str">
        <f>IF(OR('Price History'!Q154="",'Price History'!Q153="",'Price History'!Q153=0),"",'Price History'!Q154/'Price History'!Q153-1)</f>
        <v/>
      </c>
    </row>
    <row r="154" spans="1:17" ht="15" customHeight="1" x14ac:dyDescent="0.2">
      <c r="A154" s="49">
        <f>'Price History'!A155</f>
        <v>46213</v>
      </c>
      <c r="B154" s="63">
        <f>IF(OR('Price History'!B155="",'Price History'!B154="",'Price History'!B154=0),"",'Price History'!B155/'Price History'!B154-1)</f>
        <v>1.7840888403422461E-2</v>
      </c>
      <c r="C154" s="63">
        <f>IF(OR('Price History'!C155="",'Price History'!C154="",'Price History'!C154=0),"",'Price History'!C155/'Price History'!C154-1)</f>
        <v>0.16857303581473837</v>
      </c>
      <c r="D154" s="63">
        <f>IF(OR('Price History'!D155="",'Price History'!D154="",'Price History'!D154=0),"",'Price History'!D155/'Price History'!D154-1)</f>
        <v>1.5825288811520899E-2</v>
      </c>
      <c r="E154" s="63">
        <f>IF(OR('Price History'!E155="",'Price History'!E154="",'Price History'!E154=0),"",'Price History'!E155/'Price History'!E154-1)</f>
        <v>0.10964072686919146</v>
      </c>
      <c r="F154" s="63">
        <f>IF(OR('Price History'!F155="",'Price History'!F154="",'Price History'!F154=0),"",'Price History'!F155/'Price History'!F154-1)</f>
        <v>-3.5055160325806689E-2</v>
      </c>
      <c r="G154" s="63">
        <f>IF(OR('Price History'!G155="",'Price History'!G154="",'Price History'!G154=0),"",'Price History'!G155/'Price History'!G154-1)</f>
        <v>-1.7108894077690562E-2</v>
      </c>
      <c r="H154" s="63">
        <f>IF(OR('Price History'!H155="",'Price History'!H154="",'Price History'!H154=0),"",'Price History'!H155/'Price History'!H154-1)</f>
        <v>3.8336955184714583E-3</v>
      </c>
      <c r="I154" s="63">
        <f>IF(OR('Price History'!I155="",'Price History'!I154="",'Price History'!I154=0),"",'Price History'!I155/'Price History'!I154-1)</f>
        <v>8.2790124724118508E-2</v>
      </c>
      <c r="J154" s="63">
        <f>IF(OR('Price History'!J155="",'Price History'!J154="",'Price History'!J154=0),"",'Price History'!J155/'Price History'!J154-1)</f>
        <v>1.0327763035214765E-2</v>
      </c>
      <c r="K154" s="63">
        <f>IF(OR('Price History'!K155="",'Price History'!K154="",'Price History'!K154=0),"",'Price History'!K155/'Price History'!K154-1)</f>
        <v>-1.9412219644238227E-2</v>
      </c>
      <c r="L154" s="63">
        <f>IF(OR('Price History'!L155="",'Price History'!L154="",'Price History'!L154=0),"",'Price History'!L155/'Price History'!L154-1)</f>
        <v>-1.1516491615992663E-4</v>
      </c>
      <c r="M154" s="63">
        <f>IF(OR('Price History'!M155="",'Price History'!M154="",'Price History'!M154=0),"",'Price History'!M155/'Price History'!M154-1)</f>
        <v>6.0992247030246638E-2</v>
      </c>
      <c r="N154" s="63">
        <f>IF(OR('Price History'!N155="",'Price History'!N154="",'Price History'!N154=0),"",'Price History'!N155/'Price History'!N154-1)</f>
        <v>-8.0770396182107351E-2</v>
      </c>
      <c r="O154" s="63" t="str">
        <f>IF(OR('Price History'!O155="",'Price History'!O154="",'Price History'!O154=0),"",'Price History'!O155/'Price History'!O154-1)</f>
        <v/>
      </c>
      <c r="P154" s="63" t="str">
        <f>IF(OR('Price History'!P155="",'Price History'!P154="",'Price History'!P154=0),"",'Price History'!P155/'Price History'!P154-1)</f>
        <v/>
      </c>
      <c r="Q154" s="63" t="str">
        <f>IF(OR('Price History'!Q155="",'Price History'!Q154="",'Price History'!Q154=0),"",'Price History'!Q155/'Price History'!Q154-1)</f>
        <v/>
      </c>
    </row>
    <row r="155" spans="1:17" ht="15" customHeight="1" x14ac:dyDescent="0.2">
      <c r="A155" s="49">
        <f>'Price History'!A156</f>
        <v>46220</v>
      </c>
      <c r="B155" s="63">
        <f>IF(OR('Price History'!B156="",'Price History'!B155="",'Price History'!B155=0),"",'Price History'!B156/'Price History'!B155-1)</f>
        <v>6.0856734036844884E-2</v>
      </c>
      <c r="C155" s="63">
        <f>IF(OR('Price History'!C156="",'Price History'!C155="",'Price History'!C155=0),"",'Price History'!C156/'Price History'!C155-1)</f>
        <v>-9.8149336756525374E-2</v>
      </c>
      <c r="D155" s="63">
        <f>IF(OR('Price History'!D156="",'Price History'!D155="",'Price History'!D155=0),"",'Price History'!D156/'Price History'!D155-1)</f>
        <v>-2.7674537644937991E-2</v>
      </c>
      <c r="E155" s="63">
        <f>IF(OR('Price History'!E156="",'Price History'!E155="",'Price History'!E155=0),"",'Price History'!E156/'Price History'!E155-1)</f>
        <v>-7.2855464159812144E-2</v>
      </c>
      <c r="F155" s="63">
        <f>IF(OR('Price History'!F156="",'Price History'!F155="",'Price History'!F155=0),"",'Price History'!F156/'Price History'!F155-1)</f>
        <v>8.4944972753499437E-2</v>
      </c>
      <c r="G155" s="63">
        <f>IF(OR('Price History'!G156="",'Price History'!G155="",'Price History'!G155=0),"",'Price History'!G156/'Price History'!G155-1)</f>
        <v>-8.1072909467864607E-2</v>
      </c>
      <c r="H155" s="63">
        <f>IF(OR('Price History'!H156="",'Price History'!H155="",'Price History'!H155=0),"",'Price History'!H156/'Price History'!H155-1)</f>
        <v>-0.13310527928111904</v>
      </c>
      <c r="I155" s="63">
        <f>IF(OR('Price History'!I156="",'Price History'!I155="",'Price History'!I155=0),"",'Price History'!I156/'Price History'!I155-1)</f>
        <v>-3.8632916192643196E-2</v>
      </c>
      <c r="J155" s="63">
        <f>IF(OR('Price History'!J156="",'Price History'!J155="",'Price History'!J155=0),"",'Price History'!J156/'Price History'!J155-1)</f>
        <v>6.3320792219776934E-2</v>
      </c>
      <c r="K155" s="63">
        <f>IF(OR('Price History'!K156="",'Price History'!K155="",'Price History'!K155=0),"",'Price History'!K156/'Price History'!K155-1)</f>
        <v>4.4088650524489292E-2</v>
      </c>
      <c r="L155" s="63">
        <f>IF(OR('Price History'!L156="",'Price History'!L155="",'Price History'!L155=0),"",'Price History'!L156/'Price History'!L155-1)</f>
        <v>-8.2329363525373789E-2</v>
      </c>
      <c r="M155" s="63">
        <f>IF(OR('Price History'!M156="",'Price History'!M155="",'Price History'!M155=0),"",'Price History'!M156/'Price History'!M155-1)</f>
        <v>-9.188985761776336E-2</v>
      </c>
      <c r="N155" s="63">
        <f>IF(OR('Price History'!N156="",'Price History'!N155="",'Price History'!N155=0),"",'Price History'!N156/'Price History'!N155-1)</f>
        <v>5.3565174395853177E-4</v>
      </c>
      <c r="O155" s="63" t="str">
        <f>IF(OR('Price History'!O156="",'Price History'!O155="",'Price History'!O155=0),"",'Price History'!O156/'Price History'!O155-1)</f>
        <v/>
      </c>
      <c r="P155" s="63" t="str">
        <f>IF(OR('Price History'!P156="",'Price History'!P155="",'Price History'!P155=0),"",'Price History'!P156/'Price History'!P155-1)</f>
        <v/>
      </c>
      <c r="Q155" s="63" t="str">
        <f>IF(OR('Price History'!Q156="",'Price History'!Q155="",'Price History'!Q155=0),"",'Price History'!Q156/'Price History'!Q155-1)</f>
        <v/>
      </c>
    </row>
    <row r="156" spans="1:17" ht="15" customHeight="1" x14ac:dyDescent="0.2">
      <c r="A156" s="49">
        <f>'Price History'!A157</f>
        <v>46227</v>
      </c>
      <c r="B156" s="63">
        <f>IF(OR('Price History'!B157="",'Price History'!B156="",'Price History'!B156=0),"",'Price History'!B157/'Price History'!B156-1)</f>
        <v>-5.1169652265542598E-2</v>
      </c>
      <c r="C156" s="63">
        <f>IF(OR('Price History'!C157="",'Price History'!C156="",'Price History'!C156=0),"",'Price History'!C157/'Price History'!C156-1)</f>
        <v>3.1907953264930899E-2</v>
      </c>
      <c r="D156" s="63">
        <f>IF(OR('Price History'!D157="",'Price History'!D156="",'Price History'!D156=0),"",'Price History'!D157/'Price History'!D156-1)</f>
        <v>5.4418109614438048E-3</v>
      </c>
      <c r="E156" s="63">
        <f>IF(OR('Price History'!E157="",'Price History'!E156="",'Price History'!E156=0),"",'Price History'!E157/'Price History'!E156-1)</f>
        <v>2.9905886794488135E-2</v>
      </c>
      <c r="F156" s="63">
        <f>IF(OR('Price History'!F157="",'Price History'!F156="",'Price History'!F156=0),"",'Price History'!F157/'Price History'!F156-1)</f>
        <v>-9.7498522749655314E-2</v>
      </c>
      <c r="G156" s="63">
        <f>IF(OR('Price History'!G157="",'Price History'!G156="",'Price History'!G156=0),"",'Price History'!G157/'Price History'!G156-1)</f>
        <v>-1.0481786133960003E-2</v>
      </c>
      <c r="H156" s="63">
        <f>IF(OR('Price History'!H157="",'Price History'!H156="",'Price History'!H156=0),"",'Price History'!H157/'Price History'!H156-1)</f>
        <v>8.4810648448082837E-2</v>
      </c>
      <c r="I156" s="63">
        <f>IF(OR('Price History'!I157="",'Price History'!I156="",'Price History'!I156=0),"",'Price History'!I157/'Price History'!I156-1)</f>
        <v>1.9870815048567581E-2</v>
      </c>
      <c r="J156" s="63">
        <f>IF(OR('Price History'!J157="",'Price History'!J156="",'Price History'!J156=0),"",'Price History'!J157/'Price History'!J156-1)</f>
        <v>-1.4420188263568945E-2</v>
      </c>
      <c r="K156" s="63">
        <f>IF(OR('Price History'!K157="",'Price History'!K156="",'Price History'!K156=0),"",'Price History'!K157/'Price History'!K156-1)</f>
        <v>-7.1460945762199635E-2</v>
      </c>
      <c r="L156" s="63">
        <f>IF(OR('Price History'!L157="",'Price History'!L156="",'Price History'!L156=0),"",'Price History'!L157/'Price History'!L156-1)</f>
        <v>1.265155508697946E-2</v>
      </c>
      <c r="M156" s="63">
        <f>IF(OR('Price History'!M157="",'Price History'!M156="",'Price History'!M156=0),"",'Price History'!M157/'Price History'!M156-1)</f>
        <v>2.7628125431689021E-3</v>
      </c>
      <c r="N156" s="63">
        <f>IF(OR('Price History'!N157="",'Price History'!N156="",'Price History'!N156=0),"",'Price History'!N157/'Price History'!N156-1)</f>
        <v>-1.7069906311129368E-2</v>
      </c>
      <c r="O156" s="63" t="str">
        <f>IF(OR('Price History'!O157="",'Price History'!O156="",'Price History'!O156=0),"",'Price History'!O157/'Price History'!O156-1)</f>
        <v/>
      </c>
      <c r="P156" s="63" t="str">
        <f>IF(OR('Price History'!P157="",'Price History'!P156="",'Price History'!P156=0),"",'Price History'!P157/'Price History'!P156-1)</f>
        <v/>
      </c>
      <c r="Q156" s="63" t="str">
        <f>IF(OR('Price History'!Q157="",'Price History'!Q156="",'Price History'!Q156=0),"",'Price History'!Q157/'Price History'!Q156-1)</f>
        <v/>
      </c>
    </row>
    <row r="157" spans="1:17" ht="15" customHeight="1" x14ac:dyDescent="0.2">
      <c r="A157" s="49">
        <f>'Price History'!A158</f>
        <v>46234</v>
      </c>
      <c r="B157" s="63">
        <f>IF(OR('Price History'!B158="",'Price History'!B157="",'Price History'!B157=0),"",'Price History'!B158/'Price History'!B157-1)</f>
        <v>0.11238949846741586</v>
      </c>
      <c r="C157" s="63">
        <f>IF(OR('Price History'!C158="",'Price History'!C157="",'Price History'!C157=0),"",'Price History'!C158/'Price History'!C157-1)</f>
        <v>3.6553824932467283E-2</v>
      </c>
      <c r="D157" s="63">
        <f>IF(OR('Price History'!D158="",'Price History'!D157="",'Price History'!D157=0),"",'Price History'!D158/'Price History'!D157-1)</f>
        <v>-7.2898940862448636E-2</v>
      </c>
      <c r="E157" s="63">
        <f>IF(OR('Price History'!E158="",'Price History'!E157="",'Price History'!E157=0),"",'Price History'!E158/'Price History'!E157-1)</f>
        <v>1.9271051529115901E-2</v>
      </c>
      <c r="F157" s="63">
        <f>IF(OR('Price History'!F158="",'Price History'!F157="",'Price History'!F157=0),"",'Price History'!F158/'Price History'!F157-1)</f>
        <v>4.1357485814055073E-2</v>
      </c>
      <c r="G157" s="63">
        <f>IF(OR('Price History'!G158="",'Price History'!G157="",'Price History'!G157=0),"",'Price History'!G158/'Price History'!G157-1)</f>
        <v>-0.13157894736842113</v>
      </c>
      <c r="H157" s="63">
        <f>IF(OR('Price History'!H158="",'Price History'!H157="",'Price History'!H157=0),"",'Price History'!H158/'Price History'!H157-1)</f>
        <v>-0.1063249904989414</v>
      </c>
      <c r="I157" s="63">
        <f>IF(OR('Price History'!I158="",'Price History'!I157="",'Price History'!I157=0),"",'Price History'!I158/'Price History'!I157-1)</f>
        <v>-2.9443047766389507E-2</v>
      </c>
      <c r="J157" s="63">
        <f>IF(OR('Price History'!J158="",'Price History'!J157="",'Price History'!J157=0),"",'Price History'!J158/'Price History'!J157-1)</f>
        <v>-2.0456546772336104E-2</v>
      </c>
      <c r="K157" s="63">
        <f>IF(OR('Price History'!K158="",'Price History'!K157="",'Price History'!K157=0),"",'Price History'!K158/'Price History'!K157-1)</f>
        <v>1.138952164009055E-3</v>
      </c>
      <c r="L157" s="63">
        <f>IF(OR('Price History'!L158="",'Price History'!L157="",'Price History'!L157=0),"",'Price History'!L158/'Price History'!L157-1)</f>
        <v>2.0822488287348673E-3</v>
      </c>
      <c r="M157" s="63">
        <f>IF(OR('Price History'!M158="",'Price History'!M157="",'Price History'!M157=0),"",'Price History'!M158/'Price History'!M157-1)</f>
        <v>-0.16803278688524592</v>
      </c>
      <c r="N157" s="63">
        <f>IF(OR('Price History'!N158="",'Price History'!N157="",'Price History'!N157=0),"",'Price History'!N158/'Price History'!N157-1)</f>
        <v>-5.4466230936822679E-4</v>
      </c>
      <c r="O157" s="63" t="str">
        <f>IF(OR('Price History'!O158="",'Price History'!O157="",'Price History'!O157=0),"",'Price History'!O158/'Price History'!O157-1)</f>
        <v/>
      </c>
      <c r="P157" s="63" t="str">
        <f>IF(OR('Price History'!P158="",'Price History'!P157="",'Price History'!P157=0),"",'Price History'!P158/'Price History'!P157-1)</f>
        <v/>
      </c>
      <c r="Q157" s="63" t="str">
        <f>IF(OR('Price History'!Q158="",'Price History'!Q157="",'Price History'!Q157=0),"",'Price History'!Q158/'Price History'!Q157-1)</f>
        <v/>
      </c>
    </row>
    <row r="158" spans="1:17" ht="15" customHeight="1" x14ac:dyDescent="0.2">
      <c r="A158" s="49">
        <f>'Price History'!A159</f>
        <v>0</v>
      </c>
      <c r="B158" s="63" t="str">
        <f>IF(OR('Price History'!B159="",'Price History'!B158="",'Price History'!B158=0),"",'Price History'!B159/'Price History'!B158-1)</f>
        <v/>
      </c>
      <c r="C158" s="63" t="str">
        <f>IF(OR('Price History'!C159="",'Price History'!C158="",'Price History'!C158=0),"",'Price History'!C159/'Price History'!C158-1)</f>
        <v/>
      </c>
      <c r="D158" s="63" t="str">
        <f>IF(OR('Price History'!D159="",'Price History'!D158="",'Price History'!D158=0),"",'Price History'!D159/'Price History'!D158-1)</f>
        <v/>
      </c>
      <c r="E158" s="63" t="str">
        <f>IF(OR('Price History'!E159="",'Price History'!E158="",'Price History'!E158=0),"",'Price History'!E159/'Price History'!E158-1)</f>
        <v/>
      </c>
      <c r="F158" s="63" t="str">
        <f>IF(OR('Price History'!F159="",'Price History'!F158="",'Price History'!F158=0),"",'Price History'!F159/'Price History'!F158-1)</f>
        <v/>
      </c>
      <c r="G158" s="63" t="str">
        <f>IF(OR('Price History'!G159="",'Price History'!G158="",'Price History'!G158=0),"",'Price History'!G159/'Price History'!G158-1)</f>
        <v/>
      </c>
      <c r="H158" s="63" t="str">
        <f>IF(OR('Price History'!H159="",'Price History'!H158="",'Price History'!H158=0),"",'Price History'!H159/'Price History'!H158-1)</f>
        <v/>
      </c>
      <c r="I158" s="63" t="str">
        <f>IF(OR('Price History'!I159="",'Price History'!I158="",'Price History'!I158=0),"",'Price History'!I159/'Price History'!I158-1)</f>
        <v/>
      </c>
      <c r="J158" s="63" t="str">
        <f>IF(OR('Price History'!J159="",'Price History'!J158="",'Price History'!J158=0),"",'Price History'!J159/'Price History'!J158-1)</f>
        <v/>
      </c>
      <c r="K158" s="63" t="str">
        <f>IF(OR('Price History'!K159="",'Price History'!K158="",'Price History'!K158=0),"",'Price History'!K159/'Price History'!K158-1)</f>
        <v/>
      </c>
      <c r="L158" s="63" t="str">
        <f>IF(OR('Price History'!L159="",'Price History'!L158="",'Price History'!L158=0),"",'Price History'!L159/'Price History'!L158-1)</f>
        <v/>
      </c>
      <c r="M158" s="63" t="str">
        <f>IF(OR('Price History'!M159="",'Price History'!M158="",'Price History'!M158=0),"",'Price History'!M159/'Price History'!M158-1)</f>
        <v/>
      </c>
      <c r="N158" s="63" t="str">
        <f>IF(OR('Price History'!N159="",'Price History'!N158="",'Price History'!N158=0),"",'Price History'!N159/'Price History'!N158-1)</f>
        <v/>
      </c>
      <c r="O158" s="63" t="str">
        <f>IF(OR('Price History'!O159="",'Price History'!O158="",'Price History'!O158=0),"",'Price History'!O159/'Price History'!O158-1)</f>
        <v/>
      </c>
      <c r="P158" s="63" t="str">
        <f>IF(OR('Price History'!P159="",'Price History'!P158="",'Price History'!P158=0),"",'Price History'!P159/'Price History'!P158-1)</f>
        <v/>
      </c>
      <c r="Q158" s="63" t="str">
        <f>IF(OR('Price History'!Q159="",'Price History'!Q158="",'Price History'!Q158=0),"",'Price History'!Q159/'Price History'!Q158-1)</f>
        <v/>
      </c>
    </row>
    <row r="159" spans="1:17" ht="15" customHeight="1" x14ac:dyDescent="0.2">
      <c r="A159" s="49">
        <f>'Price History'!A160</f>
        <v>0</v>
      </c>
      <c r="B159" s="63" t="str">
        <f>IF(OR('Price History'!B160="",'Price History'!B159="",'Price History'!B159=0),"",'Price History'!B160/'Price History'!B159-1)</f>
        <v/>
      </c>
      <c r="C159" s="63" t="str">
        <f>IF(OR('Price History'!C160="",'Price History'!C159="",'Price History'!C159=0),"",'Price History'!C160/'Price History'!C159-1)</f>
        <v/>
      </c>
      <c r="D159" s="63" t="str">
        <f>IF(OR('Price History'!D160="",'Price History'!D159="",'Price History'!D159=0),"",'Price History'!D160/'Price History'!D159-1)</f>
        <v/>
      </c>
      <c r="E159" s="63" t="str">
        <f>IF(OR('Price History'!E160="",'Price History'!E159="",'Price History'!E159=0),"",'Price History'!E160/'Price History'!E159-1)</f>
        <v/>
      </c>
      <c r="F159" s="63" t="str">
        <f>IF(OR('Price History'!F160="",'Price History'!F159="",'Price History'!F159=0),"",'Price History'!F160/'Price History'!F159-1)</f>
        <v/>
      </c>
      <c r="G159" s="63" t="str">
        <f>IF(OR('Price History'!G160="",'Price History'!G159="",'Price History'!G159=0),"",'Price History'!G160/'Price History'!G159-1)</f>
        <v/>
      </c>
      <c r="H159" s="63" t="str">
        <f>IF(OR('Price History'!H160="",'Price History'!H159="",'Price History'!H159=0),"",'Price History'!H160/'Price History'!H159-1)</f>
        <v/>
      </c>
      <c r="I159" s="63" t="str">
        <f>IF(OR('Price History'!I160="",'Price History'!I159="",'Price History'!I159=0),"",'Price History'!I160/'Price History'!I159-1)</f>
        <v/>
      </c>
      <c r="J159" s="63" t="str">
        <f>IF(OR('Price History'!J160="",'Price History'!J159="",'Price History'!J159=0),"",'Price History'!J160/'Price History'!J159-1)</f>
        <v/>
      </c>
      <c r="K159" s="63" t="str">
        <f>IF(OR('Price History'!K160="",'Price History'!K159="",'Price History'!K159=0),"",'Price History'!K160/'Price History'!K159-1)</f>
        <v/>
      </c>
      <c r="L159" s="63" t="str">
        <f>IF(OR('Price History'!L160="",'Price History'!L159="",'Price History'!L159=0),"",'Price History'!L160/'Price History'!L159-1)</f>
        <v/>
      </c>
      <c r="M159" s="63" t="str">
        <f>IF(OR('Price History'!M160="",'Price History'!M159="",'Price History'!M159=0),"",'Price History'!M160/'Price History'!M159-1)</f>
        <v/>
      </c>
      <c r="N159" s="63" t="str">
        <f>IF(OR('Price History'!N160="",'Price History'!N159="",'Price History'!N159=0),"",'Price History'!N160/'Price History'!N159-1)</f>
        <v/>
      </c>
      <c r="O159" s="63" t="str">
        <f>IF(OR('Price History'!O160="",'Price History'!O159="",'Price History'!O159=0),"",'Price History'!O160/'Price History'!O159-1)</f>
        <v/>
      </c>
      <c r="P159" s="63" t="str">
        <f>IF(OR('Price History'!P160="",'Price History'!P159="",'Price History'!P159=0),"",'Price History'!P160/'Price History'!P159-1)</f>
        <v/>
      </c>
      <c r="Q159" s="63" t="str">
        <f>IF(OR('Price History'!Q160="",'Price History'!Q159="",'Price History'!Q159=0),"",'Price History'!Q160/'Price History'!Q159-1)</f>
        <v/>
      </c>
    </row>
    <row r="160" spans="1:17" ht="15" customHeight="1" x14ac:dyDescent="0.2">
      <c r="A160" s="49">
        <f>'Price History'!A161</f>
        <v>0</v>
      </c>
      <c r="B160" s="63" t="str">
        <f>IF(OR('Price History'!B161="",'Price History'!B160="",'Price History'!B160=0),"",'Price History'!B161/'Price History'!B160-1)</f>
        <v/>
      </c>
      <c r="C160" s="63" t="str">
        <f>IF(OR('Price History'!C161="",'Price History'!C160="",'Price History'!C160=0),"",'Price History'!C161/'Price History'!C160-1)</f>
        <v/>
      </c>
      <c r="D160" s="63" t="str">
        <f>IF(OR('Price History'!D161="",'Price History'!D160="",'Price History'!D160=0),"",'Price History'!D161/'Price History'!D160-1)</f>
        <v/>
      </c>
      <c r="E160" s="63" t="str">
        <f>IF(OR('Price History'!E161="",'Price History'!E160="",'Price History'!E160=0),"",'Price History'!E161/'Price History'!E160-1)</f>
        <v/>
      </c>
      <c r="F160" s="63" t="str">
        <f>IF(OR('Price History'!F161="",'Price History'!F160="",'Price History'!F160=0),"",'Price History'!F161/'Price History'!F160-1)</f>
        <v/>
      </c>
      <c r="G160" s="63" t="str">
        <f>IF(OR('Price History'!G161="",'Price History'!G160="",'Price History'!G160=0),"",'Price History'!G161/'Price History'!G160-1)</f>
        <v/>
      </c>
      <c r="H160" s="63" t="str">
        <f>IF(OR('Price History'!H161="",'Price History'!H160="",'Price History'!H160=0),"",'Price History'!H161/'Price History'!H160-1)</f>
        <v/>
      </c>
      <c r="I160" s="63" t="str">
        <f>IF(OR('Price History'!I161="",'Price History'!I160="",'Price History'!I160=0),"",'Price History'!I161/'Price History'!I160-1)</f>
        <v/>
      </c>
      <c r="J160" s="63" t="str">
        <f>IF(OR('Price History'!J161="",'Price History'!J160="",'Price History'!J160=0),"",'Price History'!J161/'Price History'!J160-1)</f>
        <v/>
      </c>
      <c r="K160" s="63" t="str">
        <f>IF(OR('Price History'!K161="",'Price History'!K160="",'Price History'!K160=0),"",'Price History'!K161/'Price History'!K160-1)</f>
        <v/>
      </c>
      <c r="L160" s="63" t="str">
        <f>IF(OR('Price History'!L161="",'Price History'!L160="",'Price History'!L160=0),"",'Price History'!L161/'Price History'!L160-1)</f>
        <v/>
      </c>
      <c r="M160" s="63" t="str">
        <f>IF(OR('Price History'!M161="",'Price History'!M160="",'Price History'!M160=0),"",'Price History'!M161/'Price History'!M160-1)</f>
        <v/>
      </c>
      <c r="N160" s="63" t="str">
        <f>IF(OR('Price History'!N161="",'Price History'!N160="",'Price History'!N160=0),"",'Price History'!N161/'Price History'!N160-1)</f>
        <v/>
      </c>
      <c r="O160" s="63" t="str">
        <f>IF(OR('Price History'!O161="",'Price History'!O160="",'Price History'!O160=0),"",'Price History'!O161/'Price History'!O160-1)</f>
        <v/>
      </c>
      <c r="P160" s="63" t="str">
        <f>IF(OR('Price History'!P161="",'Price History'!P160="",'Price History'!P160=0),"",'Price History'!P161/'Price History'!P160-1)</f>
        <v/>
      </c>
      <c r="Q160" s="63" t="str">
        <f>IF(OR('Price History'!Q161="",'Price History'!Q160="",'Price History'!Q160=0),"",'Price History'!Q161/'Price History'!Q160-1)</f>
        <v/>
      </c>
    </row>
    <row r="161" spans="1:17" ht="15" customHeight="1" x14ac:dyDescent="0.2">
      <c r="A161" s="49">
        <f>'Price History'!A162</f>
        <v>0</v>
      </c>
      <c r="B161" s="63" t="str">
        <f>IF(OR('Price History'!B162="",'Price History'!B161="",'Price History'!B161=0),"",'Price History'!B162/'Price History'!B161-1)</f>
        <v/>
      </c>
      <c r="C161" s="63" t="str">
        <f>IF(OR('Price History'!C162="",'Price History'!C161="",'Price History'!C161=0),"",'Price History'!C162/'Price History'!C161-1)</f>
        <v/>
      </c>
      <c r="D161" s="63" t="str">
        <f>IF(OR('Price History'!D162="",'Price History'!D161="",'Price History'!D161=0),"",'Price History'!D162/'Price History'!D161-1)</f>
        <v/>
      </c>
      <c r="E161" s="63" t="str">
        <f>IF(OR('Price History'!E162="",'Price History'!E161="",'Price History'!E161=0),"",'Price History'!E162/'Price History'!E161-1)</f>
        <v/>
      </c>
      <c r="F161" s="63" t="str">
        <f>IF(OR('Price History'!F162="",'Price History'!F161="",'Price History'!F161=0),"",'Price History'!F162/'Price History'!F161-1)</f>
        <v/>
      </c>
      <c r="G161" s="63" t="str">
        <f>IF(OR('Price History'!G162="",'Price History'!G161="",'Price History'!G161=0),"",'Price History'!G162/'Price History'!G161-1)</f>
        <v/>
      </c>
      <c r="H161" s="63" t="str">
        <f>IF(OR('Price History'!H162="",'Price History'!H161="",'Price History'!H161=0),"",'Price History'!H162/'Price History'!H161-1)</f>
        <v/>
      </c>
      <c r="I161" s="63" t="str">
        <f>IF(OR('Price History'!I162="",'Price History'!I161="",'Price History'!I161=0),"",'Price History'!I162/'Price History'!I161-1)</f>
        <v/>
      </c>
      <c r="J161" s="63" t="str">
        <f>IF(OR('Price History'!J162="",'Price History'!J161="",'Price History'!J161=0),"",'Price History'!J162/'Price History'!J161-1)</f>
        <v/>
      </c>
      <c r="K161" s="63" t="str">
        <f>IF(OR('Price History'!K162="",'Price History'!K161="",'Price History'!K161=0),"",'Price History'!K162/'Price History'!K161-1)</f>
        <v/>
      </c>
      <c r="L161" s="63" t="str">
        <f>IF(OR('Price History'!L162="",'Price History'!L161="",'Price History'!L161=0),"",'Price History'!L162/'Price History'!L161-1)</f>
        <v/>
      </c>
      <c r="M161" s="63" t="str">
        <f>IF(OR('Price History'!M162="",'Price History'!M161="",'Price History'!M161=0),"",'Price History'!M162/'Price History'!M161-1)</f>
        <v/>
      </c>
      <c r="N161" s="63" t="str">
        <f>IF(OR('Price History'!N162="",'Price History'!N161="",'Price History'!N161=0),"",'Price History'!N162/'Price History'!N161-1)</f>
        <v/>
      </c>
      <c r="O161" s="63" t="str">
        <f>IF(OR('Price History'!O162="",'Price History'!O161="",'Price History'!O161=0),"",'Price History'!O162/'Price History'!O161-1)</f>
        <v/>
      </c>
      <c r="P161" s="63" t="str">
        <f>IF(OR('Price History'!P162="",'Price History'!P161="",'Price History'!P161=0),"",'Price History'!P162/'Price History'!P161-1)</f>
        <v/>
      </c>
      <c r="Q161" s="63" t="str">
        <f>IF(OR('Price History'!Q162="",'Price History'!Q161="",'Price History'!Q161=0),"",'Price History'!Q162/'Price History'!Q161-1)</f>
        <v/>
      </c>
    </row>
  </sheetData>
  <mergeCells count="1">
    <mergeCell ref="A1:Q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1"/>
  <sheetViews>
    <sheetView showGridLines="0" zoomScaleNormal="100" workbookViewId="0">
      <pane xSplit="1" ySplit="2" topLeftCell="B11" activePane="bottomRight" state="frozen"/>
      <selection pane="topRight" activeCell="B1" sqref="B1"/>
      <selection pane="bottomLeft" activeCell="A3" sqref="A3"/>
      <selection pane="bottomRight" activeCell="E21" sqref="E21"/>
    </sheetView>
  </sheetViews>
  <sheetFormatPr baseColWidth="10" defaultColWidth="8.6640625" defaultRowHeight="15" x14ac:dyDescent="0.2"/>
  <cols>
    <col min="1" max="1" width="12" customWidth="1"/>
    <col min="2" max="17" width="9" customWidth="1"/>
    <col min="18" max="18" width="16" customWidth="1"/>
  </cols>
  <sheetData>
    <row r="1" spans="1:18" ht="15" customHeight="1" x14ac:dyDescent="0.2">
      <c r="A1" s="7" t="s">
        <v>239</v>
      </c>
      <c r="B1" s="7"/>
      <c r="C1" s="7"/>
      <c r="D1" s="7"/>
      <c r="E1" s="7"/>
      <c r="F1" s="7"/>
      <c r="G1" s="7"/>
      <c r="H1" s="7"/>
      <c r="I1" s="7"/>
      <c r="J1" s="7"/>
      <c r="K1" s="7"/>
      <c r="L1" s="7"/>
      <c r="M1" s="7"/>
      <c r="N1" s="7"/>
      <c r="O1" s="7"/>
      <c r="P1" s="7"/>
      <c r="Q1" s="7"/>
      <c r="R1" s="7"/>
    </row>
    <row r="2" spans="1:18" ht="21.75" customHeight="1" x14ac:dyDescent="0.2">
      <c r="A2" s="44" t="s">
        <v>57</v>
      </c>
      <c r="B2" s="44" t="str">
        <f>'Returns (Calc)'!B2</f>
        <v>ADBE</v>
      </c>
      <c r="C2" s="44" t="str">
        <f>'Returns (Calc)'!C2</f>
        <v>ANET</v>
      </c>
      <c r="D2" s="44" t="str">
        <f>'Returns (Calc)'!D2</f>
        <v>ASML</v>
      </c>
      <c r="E2" s="44" t="str">
        <f>'Returns (Calc)'!E2</f>
        <v>AVGO</v>
      </c>
      <c r="F2" s="44" t="str">
        <f>'Returns (Calc)'!F2</f>
        <v>CRWD</v>
      </c>
      <c r="G2" s="44" t="str">
        <f>'Returns (Calc)'!G2</f>
        <v>KLAC</v>
      </c>
      <c r="H2" s="44" t="str">
        <f>'Returns (Calc)'!H2</f>
        <v>MU</v>
      </c>
      <c r="I2" s="44" t="str">
        <f>'Returns (Calc)'!I2</f>
        <v>NVDA</v>
      </c>
      <c r="J2" s="44" t="str">
        <f>'Returns (Calc)'!J2</f>
        <v>PLD</v>
      </c>
      <c r="K2" s="44" t="str">
        <f>'Returns (Calc)'!K2</f>
        <v>PLTR</v>
      </c>
      <c r="L2" s="44" t="str">
        <f>'Returns (Calc)'!L2</f>
        <v>TSM</v>
      </c>
      <c r="M2" s="44" t="str">
        <f>'Returns (Calc)'!M2</f>
        <v>VRT</v>
      </c>
      <c r="N2" s="44" t="str">
        <f>'Returns (Calc)'!N2</f>
        <v>VRTX</v>
      </c>
      <c r="O2" s="44" t="str">
        <f>'Returns (Calc)'!O2</f>
        <v>Ticker 14</v>
      </c>
      <c r="P2" s="44" t="str">
        <f>'Returns (Calc)'!P2</f>
        <v>Ticker 15</v>
      </c>
      <c r="Q2" s="44" t="str">
        <f>'Returns (Calc)'!Q2</f>
        <v>Ticker 16</v>
      </c>
      <c r="R2" s="44" t="s">
        <v>240</v>
      </c>
    </row>
    <row r="3" spans="1:18" ht="15" customHeight="1" x14ac:dyDescent="0.2">
      <c r="A3" s="64" t="str">
        <f>'Returns (Calc)'!B2</f>
        <v>ADBE</v>
      </c>
      <c r="B3" s="50">
        <v>1</v>
      </c>
      <c r="C3" s="50">
        <f>IFERROR(ROUND(CORREL('Returns (Calc)'!$B$3:$B$161,'Returns (Calc)'!$C$3:$C$161),2),"")</f>
        <v>0.22</v>
      </c>
      <c r="D3" s="50">
        <f>IFERROR(ROUND(CORREL('Returns (Calc)'!$B$3:$B$161,'Returns (Calc)'!$D$3:$D$161),2),"")</f>
        <v>0.03</v>
      </c>
      <c r="E3" s="50">
        <f>IFERROR(ROUND(CORREL('Returns (Calc)'!$B$3:$B$161,'Returns (Calc)'!$E$3:$E$161),2),"")</f>
        <v>0.16</v>
      </c>
      <c r="F3" s="50">
        <f>IFERROR(ROUND(CORREL('Returns (Calc)'!$B$3:$B$161,'Returns (Calc)'!$F$3:$F$161),2),"")</f>
        <v>0.42</v>
      </c>
      <c r="G3" s="50">
        <f>IFERROR(ROUND(CORREL('Returns (Calc)'!$B$3:$B$161,'Returns (Calc)'!$G$3:$G$161),2),"")</f>
        <v>-0.03</v>
      </c>
      <c r="H3" s="50">
        <f>IFERROR(ROUND(CORREL('Returns (Calc)'!$B$3:$B$161,'Returns (Calc)'!$H$3:$H$161),2),"")</f>
        <v>7.0000000000000007E-2</v>
      </c>
      <c r="I3" s="50">
        <f>IFERROR(ROUND(CORREL('Returns (Calc)'!$B$3:$B$161,'Returns (Calc)'!$I$3:$I$161),2),"")</f>
        <v>0.23</v>
      </c>
      <c r="J3" s="50">
        <f>IFERROR(ROUND(CORREL('Returns (Calc)'!$B$3:$B$161,'Returns (Calc)'!$J$3:$J$161),2),"")</f>
        <v>0.19</v>
      </c>
      <c r="K3" s="50">
        <f>IFERROR(ROUND(CORREL('Returns (Calc)'!$B$3:$B$161,'Returns (Calc)'!$K$3:$K$161),2),"")</f>
        <v>0.36</v>
      </c>
      <c r="L3" s="50">
        <f>IFERROR(ROUND(CORREL('Returns (Calc)'!$B$3:$B$161,'Returns (Calc)'!$L$3:$L$161),2),"")</f>
        <v>0.17</v>
      </c>
      <c r="M3" s="50">
        <f>IFERROR(ROUND(CORREL('Returns (Calc)'!$B$3:$B$161,'Returns (Calc)'!$M$3:$M$161),2),"")</f>
        <v>0.08</v>
      </c>
      <c r="N3" s="50">
        <f>IFERROR(ROUND(CORREL('Returns (Calc)'!$B$3:$B$161,'Returns (Calc)'!$N$3:$N$161),2),"")</f>
        <v>0.13</v>
      </c>
      <c r="O3" s="50" t="str">
        <f>IFERROR(ROUND(CORREL('Returns (Calc)'!$B$3:$B$161,'Returns (Calc)'!$O$3:$O$161),2),"")</f>
        <v/>
      </c>
      <c r="P3" s="50" t="str">
        <f>IFERROR(ROUND(CORREL('Returns (Calc)'!$B$3:$B$161,'Returns (Calc)'!$P$3:$P$161),2),"")</f>
        <v/>
      </c>
      <c r="Q3" s="50" t="str">
        <f>IFERROR(ROUND(CORREL('Returns (Calc)'!$B$3:$B$161,'Returns (Calc)'!$Q$3:$Q$161),2),"")</f>
        <v/>
      </c>
      <c r="R3" s="65">
        <f t="shared" ref="R3:R18" si="0">COUNTIF(B3:Q3,"&gt;0.7")-1</f>
        <v>0</v>
      </c>
    </row>
    <row r="4" spans="1:18" ht="15" customHeight="1" x14ac:dyDescent="0.2">
      <c r="A4" s="64" t="str">
        <f>'Returns (Calc)'!C2</f>
        <v>ANET</v>
      </c>
      <c r="B4" s="50">
        <f>IFERROR(ROUND(CORREL('Returns (Calc)'!$C$3:$C$161,'Returns (Calc)'!$B$3:$B$161),2),"")</f>
        <v>0.22</v>
      </c>
      <c r="C4" s="50">
        <v>1</v>
      </c>
      <c r="D4" s="50">
        <f>IFERROR(ROUND(CORREL('Returns (Calc)'!$C$3:$C$161,'Returns (Calc)'!$D$3:$D$161),2),"")</f>
        <v>0.39</v>
      </c>
      <c r="E4" s="50">
        <f>IFERROR(ROUND(CORREL('Returns (Calc)'!$C$3:$C$161,'Returns (Calc)'!$E$3:$E$161),2),"")</f>
        <v>0.59</v>
      </c>
      <c r="F4" s="50">
        <f>IFERROR(ROUND(CORREL('Returns (Calc)'!$C$3:$C$161,'Returns (Calc)'!$F$3:$F$161),2),"")</f>
        <v>0.38</v>
      </c>
      <c r="G4" s="50">
        <f>IFERROR(ROUND(CORREL('Returns (Calc)'!$C$3:$C$161,'Returns (Calc)'!$G$3:$G$161),2),"")</f>
        <v>0.44</v>
      </c>
      <c r="H4" s="50">
        <f>IFERROR(ROUND(CORREL('Returns (Calc)'!$C$3:$C$161,'Returns (Calc)'!$H$3:$H$161),2),"")</f>
        <v>0.35</v>
      </c>
      <c r="I4" s="50">
        <f>IFERROR(ROUND(CORREL('Returns (Calc)'!$C$3:$C$161,'Returns (Calc)'!$I$3:$I$161),2),"")</f>
        <v>0.53</v>
      </c>
      <c r="J4" s="50">
        <f>IFERROR(ROUND(CORREL('Returns (Calc)'!$C$3:$C$161,'Returns (Calc)'!$J$3:$J$161),2),"")</f>
        <v>0.19</v>
      </c>
      <c r="K4" s="50">
        <f>IFERROR(ROUND(CORREL('Returns (Calc)'!$C$3:$C$161,'Returns (Calc)'!$K$3:$K$161),2),"")</f>
        <v>0.34</v>
      </c>
      <c r="L4" s="50">
        <f>IFERROR(ROUND(CORREL('Returns (Calc)'!$C$3:$C$161,'Returns (Calc)'!$L$3:$L$161),2),"")</f>
        <v>0.55000000000000004</v>
      </c>
      <c r="M4" s="50">
        <f>IFERROR(ROUND(CORREL('Returns (Calc)'!$C$3:$C$161,'Returns (Calc)'!$M$3:$M$161),2),"")</f>
        <v>0.59</v>
      </c>
      <c r="N4" s="50">
        <f>IFERROR(ROUND(CORREL('Returns (Calc)'!$C$3:$C$161,'Returns (Calc)'!$N$3:$N$161),2),"")</f>
        <v>0.05</v>
      </c>
      <c r="O4" s="50" t="str">
        <f>IFERROR(ROUND(CORREL('Returns (Calc)'!$C$3:$C$161,'Returns (Calc)'!$O$3:$O$161),2),"")</f>
        <v/>
      </c>
      <c r="P4" s="50" t="str">
        <f>IFERROR(ROUND(CORREL('Returns (Calc)'!$C$3:$C$161,'Returns (Calc)'!$P$3:$P$161),2),"")</f>
        <v/>
      </c>
      <c r="Q4" s="50" t="str">
        <f>IFERROR(ROUND(CORREL('Returns (Calc)'!$C$3:$C$161,'Returns (Calc)'!$Q$3:$Q$161),2),"")</f>
        <v/>
      </c>
      <c r="R4" s="65">
        <f t="shared" si="0"/>
        <v>0</v>
      </c>
    </row>
    <row r="5" spans="1:18" ht="15" customHeight="1" x14ac:dyDescent="0.2">
      <c r="A5" s="64" t="str">
        <f>'Returns (Calc)'!D2</f>
        <v>ASML</v>
      </c>
      <c r="B5" s="50">
        <f>IFERROR(ROUND(CORREL('Returns (Calc)'!$D$3:$D$161,'Returns (Calc)'!$B$3:$B$161),2),"")</f>
        <v>0.03</v>
      </c>
      <c r="C5" s="50">
        <f>IFERROR(ROUND(CORREL('Returns (Calc)'!$D$3:$D$161,'Returns (Calc)'!$C$3:$C$161),2),"")</f>
        <v>0.39</v>
      </c>
      <c r="D5" s="50">
        <v>1</v>
      </c>
      <c r="E5" s="50">
        <f>IFERROR(ROUND(CORREL('Returns (Calc)'!$D$3:$D$161,'Returns (Calc)'!$E$3:$E$161),2),"")</f>
        <v>0.5</v>
      </c>
      <c r="F5" s="50">
        <f>IFERROR(ROUND(CORREL('Returns (Calc)'!$D$3:$D$161,'Returns (Calc)'!$F$3:$F$161),2),"")</f>
        <v>0.33</v>
      </c>
      <c r="G5" s="50">
        <f>IFERROR(ROUND(CORREL('Returns (Calc)'!$D$3:$D$161,'Returns (Calc)'!$G$3:$G$161),2),"")</f>
        <v>0.77</v>
      </c>
      <c r="H5" s="50">
        <f>IFERROR(ROUND(CORREL('Returns (Calc)'!$D$3:$D$161,'Returns (Calc)'!$H$3:$H$161),2),"")</f>
        <v>0.6</v>
      </c>
      <c r="I5" s="50">
        <f>IFERROR(ROUND(CORREL('Returns (Calc)'!$D$3:$D$161,'Returns (Calc)'!$I$3:$I$161),2),"")</f>
        <v>0.48</v>
      </c>
      <c r="J5" s="50">
        <f>IFERROR(ROUND(CORREL('Returns (Calc)'!$D$3:$D$161,'Returns (Calc)'!$J$3:$J$161),2),"")</f>
        <v>0.28999999999999998</v>
      </c>
      <c r="K5" s="50">
        <f>IFERROR(ROUND(CORREL('Returns (Calc)'!$D$3:$D$161,'Returns (Calc)'!$K$3:$K$161),2),"")</f>
        <v>0.2</v>
      </c>
      <c r="L5" s="50">
        <f>IFERROR(ROUND(CORREL('Returns (Calc)'!$D$3:$D$161,'Returns (Calc)'!$L$3:$L$161),2),"")</f>
        <v>0.63</v>
      </c>
      <c r="M5" s="50">
        <f>IFERROR(ROUND(CORREL('Returns (Calc)'!$D$3:$D$161,'Returns (Calc)'!$M$3:$M$161),2),"")</f>
        <v>0.41</v>
      </c>
      <c r="N5" s="50">
        <f>IFERROR(ROUND(CORREL('Returns (Calc)'!$D$3:$D$161,'Returns (Calc)'!$N$3:$N$161),2),"")</f>
        <v>0.12</v>
      </c>
      <c r="O5" s="50" t="str">
        <f>IFERROR(ROUND(CORREL('Returns (Calc)'!$D$3:$D$161,'Returns (Calc)'!$O$3:$O$161),2),"")</f>
        <v/>
      </c>
      <c r="P5" s="50" t="str">
        <f>IFERROR(ROUND(CORREL('Returns (Calc)'!$D$3:$D$161,'Returns (Calc)'!$P$3:$P$161),2),"")</f>
        <v/>
      </c>
      <c r="Q5" s="50" t="str">
        <f>IFERROR(ROUND(CORREL('Returns (Calc)'!$D$3:$D$161,'Returns (Calc)'!$Q$3:$Q$161),2),"")</f>
        <v/>
      </c>
      <c r="R5" s="65">
        <f t="shared" si="0"/>
        <v>1</v>
      </c>
    </row>
    <row r="6" spans="1:18" ht="15" customHeight="1" x14ac:dyDescent="0.2">
      <c r="A6" s="64" t="str">
        <f>'Returns (Calc)'!E2</f>
        <v>AVGO</v>
      </c>
      <c r="B6" s="50">
        <f>IFERROR(ROUND(CORREL('Returns (Calc)'!$E$3:$E$161,'Returns (Calc)'!$B$3:$B$161),2),"")</f>
        <v>0.16</v>
      </c>
      <c r="C6" s="50">
        <f>IFERROR(ROUND(CORREL('Returns (Calc)'!$E$3:$E$161,'Returns (Calc)'!$C$3:$C$161),2),"")</f>
        <v>0.59</v>
      </c>
      <c r="D6" s="50">
        <f>IFERROR(ROUND(CORREL('Returns (Calc)'!$E$3:$E$161,'Returns (Calc)'!$D$3:$D$161),2),"")</f>
        <v>0.5</v>
      </c>
      <c r="E6" s="50">
        <v>1</v>
      </c>
      <c r="F6" s="50">
        <f>IFERROR(ROUND(CORREL('Returns (Calc)'!$E$3:$E$161,'Returns (Calc)'!$F$3:$F$161),2),"")</f>
        <v>0.4</v>
      </c>
      <c r="G6" s="50">
        <f>IFERROR(ROUND(CORREL('Returns (Calc)'!$E$3:$E$161,'Returns (Calc)'!$G$3:$G$161),2),"")</f>
        <v>0.54</v>
      </c>
      <c r="H6" s="50">
        <f>IFERROR(ROUND(CORREL('Returns (Calc)'!$E$3:$E$161,'Returns (Calc)'!$H$3:$H$161),2),"")</f>
        <v>0.5</v>
      </c>
      <c r="I6" s="50">
        <f>IFERROR(ROUND(CORREL('Returns (Calc)'!$E$3:$E$161,'Returns (Calc)'!$I$3:$I$161),2),"")</f>
        <v>0.62</v>
      </c>
      <c r="J6" s="50">
        <f>IFERROR(ROUND(CORREL('Returns (Calc)'!$E$3:$E$161,'Returns (Calc)'!$J$3:$J$161),2),"")</f>
        <v>0.23</v>
      </c>
      <c r="K6" s="50">
        <f>IFERROR(ROUND(CORREL('Returns (Calc)'!$E$3:$E$161,'Returns (Calc)'!$K$3:$K$161),2),"")</f>
        <v>0.37</v>
      </c>
      <c r="L6" s="50">
        <f>IFERROR(ROUND(CORREL('Returns (Calc)'!$E$3:$E$161,'Returns (Calc)'!$L$3:$L$161),2),"")</f>
        <v>0.63</v>
      </c>
      <c r="M6" s="50">
        <f>IFERROR(ROUND(CORREL('Returns (Calc)'!$E$3:$E$161,'Returns (Calc)'!$M$3:$M$161),2),"")</f>
        <v>0.53</v>
      </c>
      <c r="N6" s="50">
        <f>IFERROR(ROUND(CORREL('Returns (Calc)'!$E$3:$E$161,'Returns (Calc)'!$N$3:$N$161),2),"")</f>
        <v>0.16</v>
      </c>
      <c r="O6" s="50" t="str">
        <f>IFERROR(ROUND(CORREL('Returns (Calc)'!$E$3:$E$161,'Returns (Calc)'!$O$3:$O$161),2),"")</f>
        <v/>
      </c>
      <c r="P6" s="50" t="str">
        <f>IFERROR(ROUND(CORREL('Returns (Calc)'!$E$3:$E$161,'Returns (Calc)'!$P$3:$P$161),2),"")</f>
        <v/>
      </c>
      <c r="Q6" s="50" t="str">
        <f>IFERROR(ROUND(CORREL('Returns (Calc)'!$E$3:$E$161,'Returns (Calc)'!$Q$3:$Q$161),2),"")</f>
        <v/>
      </c>
      <c r="R6" s="65">
        <f t="shared" si="0"/>
        <v>0</v>
      </c>
    </row>
    <row r="7" spans="1:18" ht="15" customHeight="1" x14ac:dyDescent="0.2">
      <c r="A7" s="64" t="str">
        <f>'Returns (Calc)'!F2</f>
        <v>CRWD</v>
      </c>
      <c r="B7" s="50">
        <f>IFERROR(ROUND(CORREL('Returns (Calc)'!$F$3:$F$161,'Returns (Calc)'!$B$3:$B$161),2),"")</f>
        <v>0.42</v>
      </c>
      <c r="C7" s="50">
        <f>IFERROR(ROUND(CORREL('Returns (Calc)'!$F$3:$F$161,'Returns (Calc)'!$C$3:$C$161),2),"")</f>
        <v>0.38</v>
      </c>
      <c r="D7" s="50">
        <f>IFERROR(ROUND(CORREL('Returns (Calc)'!$F$3:$F$161,'Returns (Calc)'!$D$3:$D$161),2),"")</f>
        <v>0.33</v>
      </c>
      <c r="E7" s="50">
        <f>IFERROR(ROUND(CORREL('Returns (Calc)'!$F$3:$F$161,'Returns (Calc)'!$E$3:$E$161),2),"")</f>
        <v>0.4</v>
      </c>
      <c r="F7" s="50">
        <v>1</v>
      </c>
      <c r="G7" s="50">
        <f>IFERROR(ROUND(CORREL('Returns (Calc)'!$F$3:$F$161,'Returns (Calc)'!$G$3:$G$161),2),"")</f>
        <v>0.34</v>
      </c>
      <c r="H7" s="50">
        <f>IFERROR(ROUND(CORREL('Returns (Calc)'!$F$3:$F$161,'Returns (Calc)'!$H$3:$H$161),2),"")</f>
        <v>0.34</v>
      </c>
      <c r="I7" s="50">
        <f>IFERROR(ROUND(CORREL('Returns (Calc)'!$F$3:$F$161,'Returns (Calc)'!$I$3:$I$161),2),"")</f>
        <v>0.45</v>
      </c>
      <c r="J7" s="50">
        <f>IFERROR(ROUND(CORREL('Returns (Calc)'!$F$3:$F$161,'Returns (Calc)'!$J$3:$J$161),2),"")</f>
        <v>0.12</v>
      </c>
      <c r="K7" s="50">
        <f>IFERROR(ROUND(CORREL('Returns (Calc)'!$F$3:$F$161,'Returns (Calc)'!$K$3:$K$161),2),"")</f>
        <v>0.5</v>
      </c>
      <c r="L7" s="50">
        <f>IFERROR(ROUND(CORREL('Returns (Calc)'!$F$3:$F$161,'Returns (Calc)'!$L$3:$L$161),2),"")</f>
        <v>0.39</v>
      </c>
      <c r="M7" s="50">
        <f>IFERROR(ROUND(CORREL('Returns (Calc)'!$F$3:$F$161,'Returns (Calc)'!$M$3:$M$161),2),"")</f>
        <v>0.41</v>
      </c>
      <c r="N7" s="50">
        <f>IFERROR(ROUND(CORREL('Returns (Calc)'!$F$3:$F$161,'Returns (Calc)'!$N$3:$N$161),2),"")</f>
        <v>0.21</v>
      </c>
      <c r="O7" s="50" t="str">
        <f>IFERROR(ROUND(CORREL('Returns (Calc)'!$F$3:$F$161,'Returns (Calc)'!$O$3:$O$161),2),"")</f>
        <v/>
      </c>
      <c r="P7" s="50" t="str">
        <f>IFERROR(ROUND(CORREL('Returns (Calc)'!$F$3:$F$161,'Returns (Calc)'!$P$3:$P$161),2),"")</f>
        <v/>
      </c>
      <c r="Q7" s="50" t="str">
        <f>IFERROR(ROUND(CORREL('Returns (Calc)'!$F$3:$F$161,'Returns (Calc)'!$Q$3:$Q$161),2),"")</f>
        <v/>
      </c>
      <c r="R7" s="65">
        <f t="shared" si="0"/>
        <v>0</v>
      </c>
    </row>
    <row r="8" spans="1:18" ht="15" customHeight="1" x14ac:dyDescent="0.2">
      <c r="A8" s="64" t="str">
        <f>'Returns (Calc)'!G2</f>
        <v>KLAC</v>
      </c>
      <c r="B8" s="50">
        <f>IFERROR(ROUND(CORREL('Returns (Calc)'!$G$3:$G$161,'Returns (Calc)'!$B$3:$B$161),2),"")</f>
        <v>-0.03</v>
      </c>
      <c r="C8" s="50">
        <f>IFERROR(ROUND(CORREL('Returns (Calc)'!$G$3:$G$161,'Returns (Calc)'!$C$3:$C$161),2),"")</f>
        <v>0.44</v>
      </c>
      <c r="D8" s="50">
        <f>IFERROR(ROUND(CORREL('Returns (Calc)'!$G$3:$G$161,'Returns (Calc)'!$D$3:$D$161),2),"")</f>
        <v>0.77</v>
      </c>
      <c r="E8" s="50">
        <f>IFERROR(ROUND(CORREL('Returns (Calc)'!$G$3:$G$161,'Returns (Calc)'!$E$3:$E$161),2),"")</f>
        <v>0.54</v>
      </c>
      <c r="F8" s="50">
        <f>IFERROR(ROUND(CORREL('Returns (Calc)'!$G$3:$G$161,'Returns (Calc)'!$F$3:$F$161),2),"")</f>
        <v>0.34</v>
      </c>
      <c r="G8" s="50">
        <v>1</v>
      </c>
      <c r="H8" s="50">
        <f>IFERROR(ROUND(CORREL('Returns (Calc)'!$G$3:$G$161,'Returns (Calc)'!$H$3:$H$161),2),"")</f>
        <v>0.6</v>
      </c>
      <c r="I8" s="50">
        <f>IFERROR(ROUND(CORREL('Returns (Calc)'!$G$3:$G$161,'Returns (Calc)'!$I$3:$I$161),2),"")</f>
        <v>0.51</v>
      </c>
      <c r="J8" s="50">
        <f>IFERROR(ROUND(CORREL('Returns (Calc)'!$G$3:$G$161,'Returns (Calc)'!$J$3:$J$161),2),"")</f>
        <v>0.28999999999999998</v>
      </c>
      <c r="K8" s="50">
        <f>IFERROR(ROUND(CORREL('Returns (Calc)'!$G$3:$G$161,'Returns (Calc)'!$K$3:$K$161),2),"")</f>
        <v>0.24</v>
      </c>
      <c r="L8" s="50">
        <f>IFERROR(ROUND(CORREL('Returns (Calc)'!$G$3:$G$161,'Returns (Calc)'!$L$3:$L$161),2),"")</f>
        <v>0.61</v>
      </c>
      <c r="M8" s="50">
        <f>IFERROR(ROUND(CORREL('Returns (Calc)'!$G$3:$G$161,'Returns (Calc)'!$M$3:$M$161),2),"")</f>
        <v>0.49</v>
      </c>
      <c r="N8" s="50">
        <f>IFERROR(ROUND(CORREL('Returns (Calc)'!$G$3:$G$161,'Returns (Calc)'!$N$3:$N$161),2),"")</f>
        <v>0.18</v>
      </c>
      <c r="O8" s="50" t="str">
        <f>IFERROR(ROUND(CORREL('Returns (Calc)'!$G$3:$G$161,'Returns (Calc)'!$O$3:$O$161),2),"")</f>
        <v/>
      </c>
      <c r="P8" s="50" t="str">
        <f>IFERROR(ROUND(CORREL('Returns (Calc)'!$G$3:$G$161,'Returns (Calc)'!$P$3:$P$161),2),"")</f>
        <v/>
      </c>
      <c r="Q8" s="50" t="str">
        <f>IFERROR(ROUND(CORREL('Returns (Calc)'!$G$3:$G$161,'Returns (Calc)'!$Q$3:$Q$161),2),"")</f>
        <v/>
      </c>
      <c r="R8" s="65">
        <f t="shared" si="0"/>
        <v>1</v>
      </c>
    </row>
    <row r="9" spans="1:18" ht="15" customHeight="1" x14ac:dyDescent="0.2">
      <c r="A9" s="64" t="str">
        <f>'Returns (Calc)'!H2</f>
        <v>MU</v>
      </c>
      <c r="B9" s="50">
        <f>IFERROR(ROUND(CORREL('Returns (Calc)'!$H$3:$H$161,'Returns (Calc)'!$B$3:$B$161),2),"")</f>
        <v>7.0000000000000007E-2</v>
      </c>
      <c r="C9" s="50">
        <f>IFERROR(ROUND(CORREL('Returns (Calc)'!$H$3:$H$161,'Returns (Calc)'!$C$3:$C$161),2),"")</f>
        <v>0.35</v>
      </c>
      <c r="D9" s="50">
        <f>IFERROR(ROUND(CORREL('Returns (Calc)'!$H$3:$H$161,'Returns (Calc)'!$D$3:$D$161),2),"")</f>
        <v>0.6</v>
      </c>
      <c r="E9" s="50">
        <f>IFERROR(ROUND(CORREL('Returns (Calc)'!$H$3:$H$161,'Returns (Calc)'!$E$3:$E$161),2),"")</f>
        <v>0.5</v>
      </c>
      <c r="F9" s="50">
        <f>IFERROR(ROUND(CORREL('Returns (Calc)'!$H$3:$H$161,'Returns (Calc)'!$F$3:$F$161),2),"")</f>
        <v>0.34</v>
      </c>
      <c r="G9" s="50">
        <f>IFERROR(ROUND(CORREL('Returns (Calc)'!$H$3:$H$161,'Returns (Calc)'!$G$3:$G$161),2),"")</f>
        <v>0.6</v>
      </c>
      <c r="H9" s="50">
        <v>1</v>
      </c>
      <c r="I9" s="50">
        <f>IFERROR(ROUND(CORREL('Returns (Calc)'!$H$3:$H$161,'Returns (Calc)'!$I$3:$I$161),2),"")</f>
        <v>0.5</v>
      </c>
      <c r="J9" s="50">
        <f>IFERROR(ROUND(CORREL('Returns (Calc)'!$H$3:$H$161,'Returns (Calc)'!$J$3:$J$161),2),"")</f>
        <v>0.21</v>
      </c>
      <c r="K9" s="50">
        <f>IFERROR(ROUND(CORREL('Returns (Calc)'!$H$3:$H$161,'Returns (Calc)'!$K$3:$K$161),2),"")</f>
        <v>0.17</v>
      </c>
      <c r="L9" s="50">
        <f>IFERROR(ROUND(CORREL('Returns (Calc)'!$H$3:$H$161,'Returns (Calc)'!$L$3:$L$161),2),"")</f>
        <v>0.55000000000000004</v>
      </c>
      <c r="M9" s="50">
        <f>IFERROR(ROUND(CORREL('Returns (Calc)'!$H$3:$H$161,'Returns (Calc)'!$M$3:$M$161),2),"")</f>
        <v>0.49</v>
      </c>
      <c r="N9" s="50">
        <f>IFERROR(ROUND(CORREL('Returns (Calc)'!$H$3:$H$161,'Returns (Calc)'!$N$3:$N$161),2),"")</f>
        <v>0.18</v>
      </c>
      <c r="O9" s="50" t="str">
        <f>IFERROR(ROUND(CORREL('Returns (Calc)'!$H$3:$H$161,'Returns (Calc)'!$O$3:$O$161),2),"")</f>
        <v/>
      </c>
      <c r="P9" s="50" t="str">
        <f>IFERROR(ROUND(CORREL('Returns (Calc)'!$H$3:$H$161,'Returns (Calc)'!$P$3:$P$161),2),"")</f>
        <v/>
      </c>
      <c r="Q9" s="50" t="str">
        <f>IFERROR(ROUND(CORREL('Returns (Calc)'!$H$3:$H$161,'Returns (Calc)'!$Q$3:$Q$161),2),"")</f>
        <v/>
      </c>
      <c r="R9" s="65">
        <f t="shared" si="0"/>
        <v>0</v>
      </c>
    </row>
    <row r="10" spans="1:18" ht="15" customHeight="1" x14ac:dyDescent="0.2">
      <c r="A10" s="64" t="str">
        <f>'Returns (Calc)'!I2</f>
        <v>NVDA</v>
      </c>
      <c r="B10" s="50">
        <f>IFERROR(ROUND(CORREL('Returns (Calc)'!$I$3:$I$161,'Returns (Calc)'!$B$3:$B$161),2),"")</f>
        <v>0.23</v>
      </c>
      <c r="C10" s="50">
        <f>IFERROR(ROUND(CORREL('Returns (Calc)'!$I$3:$I$161,'Returns (Calc)'!$C$3:$C$161),2),"")</f>
        <v>0.53</v>
      </c>
      <c r="D10" s="50">
        <f>IFERROR(ROUND(CORREL('Returns (Calc)'!$I$3:$I$161,'Returns (Calc)'!$D$3:$D$161),2),"")</f>
        <v>0.48</v>
      </c>
      <c r="E10" s="50">
        <f>IFERROR(ROUND(CORREL('Returns (Calc)'!$I$3:$I$161,'Returns (Calc)'!$E$3:$E$161),2),"")</f>
        <v>0.62</v>
      </c>
      <c r="F10" s="50">
        <f>IFERROR(ROUND(CORREL('Returns (Calc)'!$I$3:$I$161,'Returns (Calc)'!$F$3:$F$161),2),"")</f>
        <v>0.45</v>
      </c>
      <c r="G10" s="50">
        <f>IFERROR(ROUND(CORREL('Returns (Calc)'!$I$3:$I$161,'Returns (Calc)'!$G$3:$G$161),2),"")</f>
        <v>0.51</v>
      </c>
      <c r="H10" s="50">
        <f>IFERROR(ROUND(CORREL('Returns (Calc)'!$I$3:$I$161,'Returns (Calc)'!$H$3:$H$161),2),"")</f>
        <v>0.5</v>
      </c>
      <c r="I10" s="50">
        <v>1</v>
      </c>
      <c r="J10" s="50">
        <f>IFERROR(ROUND(CORREL('Returns (Calc)'!$I$3:$I$161,'Returns (Calc)'!$J$3:$J$161),2),"")</f>
        <v>0.19</v>
      </c>
      <c r="K10" s="50">
        <f>IFERROR(ROUND(CORREL('Returns (Calc)'!$I$3:$I$161,'Returns (Calc)'!$K$3:$K$161),2),"")</f>
        <v>0.44</v>
      </c>
      <c r="L10" s="50">
        <f>IFERROR(ROUND(CORREL('Returns (Calc)'!$I$3:$I$161,'Returns (Calc)'!$L$3:$L$161),2),"")</f>
        <v>0.64</v>
      </c>
      <c r="M10" s="50">
        <f>IFERROR(ROUND(CORREL('Returns (Calc)'!$I$3:$I$161,'Returns (Calc)'!$M$3:$M$161),2),"")</f>
        <v>0.65</v>
      </c>
      <c r="N10" s="50">
        <f>IFERROR(ROUND(CORREL('Returns (Calc)'!$I$3:$I$161,'Returns (Calc)'!$N$3:$N$161),2),"")</f>
        <v>0.14000000000000001</v>
      </c>
      <c r="O10" s="50" t="str">
        <f>IFERROR(ROUND(CORREL('Returns (Calc)'!$I$3:$I$161,'Returns (Calc)'!$O$3:$O$161),2),"")</f>
        <v/>
      </c>
      <c r="P10" s="50" t="str">
        <f>IFERROR(ROUND(CORREL('Returns (Calc)'!$I$3:$I$161,'Returns (Calc)'!$P$3:$P$161),2),"")</f>
        <v/>
      </c>
      <c r="Q10" s="50" t="str">
        <f>IFERROR(ROUND(CORREL('Returns (Calc)'!$I$3:$I$161,'Returns (Calc)'!$Q$3:$Q$161),2),"")</f>
        <v/>
      </c>
      <c r="R10" s="65">
        <f t="shared" si="0"/>
        <v>0</v>
      </c>
    </row>
    <row r="11" spans="1:18" ht="15" customHeight="1" x14ac:dyDescent="0.2">
      <c r="A11" s="64" t="str">
        <f>'Returns (Calc)'!J2</f>
        <v>PLD</v>
      </c>
      <c r="B11" s="50">
        <f>IFERROR(ROUND(CORREL('Returns (Calc)'!$J$3:$J$161,'Returns (Calc)'!$B$3:$B$161),2),"")</f>
        <v>0.19</v>
      </c>
      <c r="C11" s="50">
        <f>IFERROR(ROUND(CORREL('Returns (Calc)'!$J$3:$J$161,'Returns (Calc)'!$C$3:$C$161),2),"")</f>
        <v>0.19</v>
      </c>
      <c r="D11" s="50">
        <f>IFERROR(ROUND(CORREL('Returns (Calc)'!$J$3:$J$161,'Returns (Calc)'!$D$3:$D$161),2),"")</f>
        <v>0.28999999999999998</v>
      </c>
      <c r="E11" s="50">
        <f>IFERROR(ROUND(CORREL('Returns (Calc)'!$J$3:$J$161,'Returns (Calc)'!$E$3:$E$161),2),"")</f>
        <v>0.23</v>
      </c>
      <c r="F11" s="50">
        <f>IFERROR(ROUND(CORREL('Returns (Calc)'!$J$3:$J$161,'Returns (Calc)'!$F$3:$F$161),2),"")</f>
        <v>0.12</v>
      </c>
      <c r="G11" s="50">
        <f>IFERROR(ROUND(CORREL('Returns (Calc)'!$J$3:$J$161,'Returns (Calc)'!$G$3:$G$161),2),"")</f>
        <v>0.28999999999999998</v>
      </c>
      <c r="H11" s="50">
        <f>IFERROR(ROUND(CORREL('Returns (Calc)'!$J$3:$J$161,'Returns (Calc)'!$H$3:$H$161),2),"")</f>
        <v>0.21</v>
      </c>
      <c r="I11" s="50">
        <f>IFERROR(ROUND(CORREL('Returns (Calc)'!$J$3:$J$161,'Returns (Calc)'!$I$3:$I$161),2),"")</f>
        <v>0.19</v>
      </c>
      <c r="J11" s="50">
        <v>1</v>
      </c>
      <c r="K11" s="50">
        <f>IFERROR(ROUND(CORREL('Returns (Calc)'!$J$3:$J$161,'Returns (Calc)'!$K$3:$K$161),2),"")</f>
        <v>0.16</v>
      </c>
      <c r="L11" s="50">
        <f>IFERROR(ROUND(CORREL('Returns (Calc)'!$J$3:$J$161,'Returns (Calc)'!$L$3:$L$161),2),"")</f>
        <v>0.22</v>
      </c>
      <c r="M11" s="50">
        <f>IFERROR(ROUND(CORREL('Returns (Calc)'!$J$3:$J$161,'Returns (Calc)'!$M$3:$M$161),2),"")</f>
        <v>0.16</v>
      </c>
      <c r="N11" s="50">
        <f>IFERROR(ROUND(CORREL('Returns (Calc)'!$J$3:$J$161,'Returns (Calc)'!$N$3:$N$161),2),"")</f>
        <v>0.26</v>
      </c>
      <c r="O11" s="50" t="str">
        <f>IFERROR(ROUND(CORREL('Returns (Calc)'!$J$3:$J$161,'Returns (Calc)'!$O$3:$O$161),2),"")</f>
        <v/>
      </c>
      <c r="P11" s="50" t="str">
        <f>IFERROR(ROUND(CORREL('Returns (Calc)'!$J$3:$J$161,'Returns (Calc)'!$P$3:$P$161),2),"")</f>
        <v/>
      </c>
      <c r="Q11" s="50" t="str">
        <f>IFERROR(ROUND(CORREL('Returns (Calc)'!$J$3:$J$161,'Returns (Calc)'!$Q$3:$Q$161),2),"")</f>
        <v/>
      </c>
      <c r="R11" s="65">
        <f t="shared" si="0"/>
        <v>0</v>
      </c>
    </row>
    <row r="12" spans="1:18" ht="15" customHeight="1" x14ac:dyDescent="0.2">
      <c r="A12" s="64" t="str">
        <f>'Returns (Calc)'!K2</f>
        <v>PLTR</v>
      </c>
      <c r="B12" s="50">
        <f>IFERROR(ROUND(CORREL('Returns (Calc)'!$K$3:$K$161,'Returns (Calc)'!$B$3:$B$161),2),"")</f>
        <v>0.36</v>
      </c>
      <c r="C12" s="50">
        <f>IFERROR(ROUND(CORREL('Returns (Calc)'!$K$3:$K$161,'Returns (Calc)'!$C$3:$C$161),2),"")</f>
        <v>0.34</v>
      </c>
      <c r="D12" s="50">
        <f>IFERROR(ROUND(CORREL('Returns (Calc)'!$K$3:$K$161,'Returns (Calc)'!$D$3:$D$161),2),"")</f>
        <v>0.2</v>
      </c>
      <c r="E12" s="50">
        <f>IFERROR(ROUND(CORREL('Returns (Calc)'!$K$3:$K$161,'Returns (Calc)'!$E$3:$E$161),2),"")</f>
        <v>0.37</v>
      </c>
      <c r="F12" s="50">
        <f>IFERROR(ROUND(CORREL('Returns (Calc)'!$K$3:$K$161,'Returns (Calc)'!$F$3:$F$161),2),"")</f>
        <v>0.5</v>
      </c>
      <c r="G12" s="50">
        <f>IFERROR(ROUND(CORREL('Returns (Calc)'!$K$3:$K$161,'Returns (Calc)'!$G$3:$G$161),2),"")</f>
        <v>0.24</v>
      </c>
      <c r="H12" s="50">
        <f>IFERROR(ROUND(CORREL('Returns (Calc)'!$K$3:$K$161,'Returns (Calc)'!$H$3:$H$161),2),"")</f>
        <v>0.17</v>
      </c>
      <c r="I12" s="50">
        <f>IFERROR(ROUND(CORREL('Returns (Calc)'!$K$3:$K$161,'Returns (Calc)'!$I$3:$I$161),2),"")</f>
        <v>0.44</v>
      </c>
      <c r="J12" s="50">
        <f>IFERROR(ROUND(CORREL('Returns (Calc)'!$K$3:$K$161,'Returns (Calc)'!$J$3:$J$161),2),"")</f>
        <v>0.16</v>
      </c>
      <c r="K12" s="50">
        <v>1</v>
      </c>
      <c r="L12" s="50">
        <f>IFERROR(ROUND(CORREL('Returns (Calc)'!$K$3:$K$161,'Returns (Calc)'!$L$3:$L$161),2),"")</f>
        <v>0.39</v>
      </c>
      <c r="M12" s="50">
        <f>IFERROR(ROUND(CORREL('Returns (Calc)'!$K$3:$K$161,'Returns (Calc)'!$M$3:$M$161),2),"")</f>
        <v>0.32</v>
      </c>
      <c r="N12" s="50">
        <f>IFERROR(ROUND(CORREL('Returns (Calc)'!$K$3:$K$161,'Returns (Calc)'!$N$3:$N$161),2),"")</f>
        <v>0.05</v>
      </c>
      <c r="O12" s="50" t="str">
        <f>IFERROR(ROUND(CORREL('Returns (Calc)'!$K$3:$K$161,'Returns (Calc)'!$O$3:$O$161),2),"")</f>
        <v/>
      </c>
      <c r="P12" s="50" t="str">
        <f>IFERROR(ROUND(CORREL('Returns (Calc)'!$K$3:$K$161,'Returns (Calc)'!$P$3:$P$161),2),"")</f>
        <v/>
      </c>
      <c r="Q12" s="50" t="str">
        <f>IFERROR(ROUND(CORREL('Returns (Calc)'!$K$3:$K$161,'Returns (Calc)'!$Q$3:$Q$161),2),"")</f>
        <v/>
      </c>
      <c r="R12" s="65">
        <f t="shared" si="0"/>
        <v>0</v>
      </c>
    </row>
    <row r="13" spans="1:18" ht="15" customHeight="1" x14ac:dyDescent="0.2">
      <c r="A13" s="64" t="str">
        <f>'Returns (Calc)'!L2</f>
        <v>TSM</v>
      </c>
      <c r="B13" s="50">
        <f>IFERROR(ROUND(CORREL('Returns (Calc)'!$L$3:$L$161,'Returns (Calc)'!$B$3:$B$161),2),"")</f>
        <v>0.17</v>
      </c>
      <c r="C13" s="50">
        <f>IFERROR(ROUND(CORREL('Returns (Calc)'!$L$3:$L$161,'Returns (Calc)'!$C$3:$C$161),2),"")</f>
        <v>0.55000000000000004</v>
      </c>
      <c r="D13" s="50">
        <f>IFERROR(ROUND(CORREL('Returns (Calc)'!$L$3:$L$161,'Returns (Calc)'!$D$3:$D$161),2),"")</f>
        <v>0.63</v>
      </c>
      <c r="E13" s="50">
        <f>IFERROR(ROUND(CORREL('Returns (Calc)'!$L$3:$L$161,'Returns (Calc)'!$E$3:$E$161),2),"")</f>
        <v>0.63</v>
      </c>
      <c r="F13" s="50">
        <f>IFERROR(ROUND(CORREL('Returns (Calc)'!$L$3:$L$161,'Returns (Calc)'!$F$3:$F$161),2),"")</f>
        <v>0.39</v>
      </c>
      <c r="G13" s="50">
        <f>IFERROR(ROUND(CORREL('Returns (Calc)'!$L$3:$L$161,'Returns (Calc)'!$G$3:$G$161),2),"")</f>
        <v>0.61</v>
      </c>
      <c r="H13" s="50">
        <f>IFERROR(ROUND(CORREL('Returns (Calc)'!$L$3:$L$161,'Returns (Calc)'!$H$3:$H$161),2),"")</f>
        <v>0.55000000000000004</v>
      </c>
      <c r="I13" s="50">
        <f>IFERROR(ROUND(CORREL('Returns (Calc)'!$L$3:$L$161,'Returns (Calc)'!$I$3:$I$161),2),"")</f>
        <v>0.64</v>
      </c>
      <c r="J13" s="50">
        <f>IFERROR(ROUND(CORREL('Returns (Calc)'!$L$3:$L$161,'Returns (Calc)'!$J$3:$J$161),2),"")</f>
        <v>0.22</v>
      </c>
      <c r="K13" s="50">
        <f>IFERROR(ROUND(CORREL('Returns (Calc)'!$L$3:$L$161,'Returns (Calc)'!$K$3:$K$161),2),"")</f>
        <v>0.39</v>
      </c>
      <c r="L13" s="50">
        <v>1</v>
      </c>
      <c r="M13" s="50">
        <f>IFERROR(ROUND(CORREL('Returns (Calc)'!$L$3:$L$161,'Returns (Calc)'!$M$3:$M$161),2),"")</f>
        <v>0.6</v>
      </c>
      <c r="N13" s="50">
        <f>IFERROR(ROUND(CORREL('Returns (Calc)'!$L$3:$L$161,'Returns (Calc)'!$N$3:$N$161),2),"")</f>
        <v>0.16</v>
      </c>
      <c r="O13" s="50" t="str">
        <f>IFERROR(ROUND(CORREL('Returns (Calc)'!$L$3:$L$161,'Returns (Calc)'!$O$3:$O$161),2),"")</f>
        <v/>
      </c>
      <c r="P13" s="50" t="str">
        <f>IFERROR(ROUND(CORREL('Returns (Calc)'!$L$3:$L$161,'Returns (Calc)'!$P$3:$P$161),2),"")</f>
        <v/>
      </c>
      <c r="Q13" s="50" t="str">
        <f>IFERROR(ROUND(CORREL('Returns (Calc)'!$L$3:$L$161,'Returns (Calc)'!$Q$3:$Q$161),2),"")</f>
        <v/>
      </c>
      <c r="R13" s="65">
        <f t="shared" si="0"/>
        <v>0</v>
      </c>
    </row>
    <row r="14" spans="1:18" ht="15" customHeight="1" x14ac:dyDescent="0.2">
      <c r="A14" s="64" t="str">
        <f>'Returns (Calc)'!M2</f>
        <v>VRT</v>
      </c>
      <c r="B14" s="50">
        <f>IFERROR(ROUND(CORREL('Returns (Calc)'!$M$3:$M$161,'Returns (Calc)'!$B$3:$B$161),2),"")</f>
        <v>0.08</v>
      </c>
      <c r="C14" s="50">
        <f>IFERROR(ROUND(CORREL('Returns (Calc)'!$M$3:$M$161,'Returns (Calc)'!$C$3:$C$161),2),"")</f>
        <v>0.59</v>
      </c>
      <c r="D14" s="50">
        <f>IFERROR(ROUND(CORREL('Returns (Calc)'!$M$3:$M$161,'Returns (Calc)'!$D$3:$D$161),2),"")</f>
        <v>0.41</v>
      </c>
      <c r="E14" s="50">
        <f>IFERROR(ROUND(CORREL('Returns (Calc)'!$M$3:$M$161,'Returns (Calc)'!$E$3:$E$161),2),"")</f>
        <v>0.53</v>
      </c>
      <c r="F14" s="50">
        <f>IFERROR(ROUND(CORREL('Returns (Calc)'!$M$3:$M$161,'Returns (Calc)'!$F$3:$F$161),2),"")</f>
        <v>0.41</v>
      </c>
      <c r="G14" s="50">
        <f>IFERROR(ROUND(CORREL('Returns (Calc)'!$M$3:$M$161,'Returns (Calc)'!$G$3:$G$161),2),"")</f>
        <v>0.49</v>
      </c>
      <c r="H14" s="50">
        <f>IFERROR(ROUND(CORREL('Returns (Calc)'!$M$3:$M$161,'Returns (Calc)'!$H$3:$H$161),2),"")</f>
        <v>0.49</v>
      </c>
      <c r="I14" s="50">
        <f>IFERROR(ROUND(CORREL('Returns (Calc)'!$M$3:$M$161,'Returns (Calc)'!$I$3:$I$161),2),"")</f>
        <v>0.65</v>
      </c>
      <c r="J14" s="50">
        <f>IFERROR(ROUND(CORREL('Returns (Calc)'!$M$3:$M$161,'Returns (Calc)'!$J$3:$J$161),2),"")</f>
        <v>0.16</v>
      </c>
      <c r="K14" s="50">
        <f>IFERROR(ROUND(CORREL('Returns (Calc)'!$M$3:$M$161,'Returns (Calc)'!$K$3:$K$161),2),"")</f>
        <v>0.32</v>
      </c>
      <c r="L14" s="50">
        <f>IFERROR(ROUND(CORREL('Returns (Calc)'!$M$3:$M$161,'Returns (Calc)'!$L$3:$L$161),2),"")</f>
        <v>0.6</v>
      </c>
      <c r="M14" s="50">
        <v>1</v>
      </c>
      <c r="N14" s="50">
        <f>IFERROR(ROUND(CORREL('Returns (Calc)'!$M$3:$M$161,'Returns (Calc)'!$N$3:$N$161),2),"")</f>
        <v>0.12</v>
      </c>
      <c r="O14" s="50" t="str">
        <f>IFERROR(ROUND(CORREL('Returns (Calc)'!$M$3:$M$161,'Returns (Calc)'!$O$3:$O$161),2),"")</f>
        <v/>
      </c>
      <c r="P14" s="50" t="str">
        <f>IFERROR(ROUND(CORREL('Returns (Calc)'!$M$3:$M$161,'Returns (Calc)'!$P$3:$P$161),2),"")</f>
        <v/>
      </c>
      <c r="Q14" s="50" t="str">
        <f>IFERROR(ROUND(CORREL('Returns (Calc)'!$M$3:$M$161,'Returns (Calc)'!$Q$3:$Q$161),2),"")</f>
        <v/>
      </c>
      <c r="R14" s="65">
        <f t="shared" si="0"/>
        <v>0</v>
      </c>
    </row>
    <row r="15" spans="1:18" ht="15" customHeight="1" x14ac:dyDescent="0.2">
      <c r="A15" s="64" t="str">
        <f>'Returns (Calc)'!N2</f>
        <v>VRTX</v>
      </c>
      <c r="B15" s="50">
        <f>IFERROR(ROUND(CORREL('Returns (Calc)'!$N$3:$N$161,'Returns (Calc)'!$B$3:$B$161),2),"")</f>
        <v>0.13</v>
      </c>
      <c r="C15" s="50">
        <f>IFERROR(ROUND(CORREL('Returns (Calc)'!$N$3:$N$161,'Returns (Calc)'!$C$3:$C$161),2),"")</f>
        <v>0.05</v>
      </c>
      <c r="D15" s="50">
        <f>IFERROR(ROUND(CORREL('Returns (Calc)'!$N$3:$N$161,'Returns (Calc)'!$D$3:$D$161),2),"")</f>
        <v>0.12</v>
      </c>
      <c r="E15" s="50">
        <f>IFERROR(ROUND(CORREL('Returns (Calc)'!$N$3:$N$161,'Returns (Calc)'!$E$3:$E$161),2),"")</f>
        <v>0.16</v>
      </c>
      <c r="F15" s="50">
        <f>IFERROR(ROUND(CORREL('Returns (Calc)'!$N$3:$N$161,'Returns (Calc)'!$F$3:$F$161),2),"")</f>
        <v>0.21</v>
      </c>
      <c r="G15" s="50">
        <f>IFERROR(ROUND(CORREL('Returns (Calc)'!$N$3:$N$161,'Returns (Calc)'!$G$3:$G$161),2),"")</f>
        <v>0.18</v>
      </c>
      <c r="H15" s="50">
        <f>IFERROR(ROUND(CORREL('Returns (Calc)'!$N$3:$N$161,'Returns (Calc)'!$H$3:$H$161),2),"")</f>
        <v>0.18</v>
      </c>
      <c r="I15" s="50">
        <f>IFERROR(ROUND(CORREL('Returns (Calc)'!$N$3:$N$161,'Returns (Calc)'!$I$3:$I$161),2),"")</f>
        <v>0.14000000000000001</v>
      </c>
      <c r="J15" s="50">
        <f>IFERROR(ROUND(CORREL('Returns (Calc)'!$N$3:$N$161,'Returns (Calc)'!$J$3:$J$161),2),"")</f>
        <v>0.26</v>
      </c>
      <c r="K15" s="50">
        <f>IFERROR(ROUND(CORREL('Returns (Calc)'!$N$3:$N$161,'Returns (Calc)'!$K$3:$K$161),2),"")</f>
        <v>0.05</v>
      </c>
      <c r="L15" s="50">
        <f>IFERROR(ROUND(CORREL('Returns (Calc)'!$N$3:$N$161,'Returns (Calc)'!$L$3:$L$161),2),"")</f>
        <v>0.16</v>
      </c>
      <c r="M15" s="50">
        <f>IFERROR(ROUND(CORREL('Returns (Calc)'!$N$3:$N$161,'Returns (Calc)'!$M$3:$M$161),2),"")</f>
        <v>0.12</v>
      </c>
      <c r="N15" s="50">
        <v>1</v>
      </c>
      <c r="O15" s="50" t="str">
        <f>IFERROR(ROUND(CORREL('Returns (Calc)'!$N$3:$N$161,'Returns (Calc)'!$O$3:$O$161),2),"")</f>
        <v/>
      </c>
      <c r="P15" s="50" t="str">
        <f>IFERROR(ROUND(CORREL('Returns (Calc)'!$N$3:$N$161,'Returns (Calc)'!$P$3:$P$161),2),"")</f>
        <v/>
      </c>
      <c r="Q15" s="50" t="str">
        <f>IFERROR(ROUND(CORREL('Returns (Calc)'!$N$3:$N$161,'Returns (Calc)'!$Q$3:$Q$161),2),"")</f>
        <v/>
      </c>
      <c r="R15" s="65">
        <f t="shared" si="0"/>
        <v>0</v>
      </c>
    </row>
    <row r="16" spans="1:18" ht="15" customHeight="1" x14ac:dyDescent="0.2">
      <c r="A16" s="64" t="str">
        <f>'Returns (Calc)'!O2</f>
        <v>Ticker 14</v>
      </c>
      <c r="B16" s="50" t="str">
        <f>IFERROR(ROUND(CORREL('Returns (Calc)'!$O$3:$O$161,'Returns (Calc)'!$B$3:$B$161),2),"")</f>
        <v/>
      </c>
      <c r="C16" s="50" t="str">
        <f>IFERROR(ROUND(CORREL('Returns (Calc)'!$O$3:$O$161,'Returns (Calc)'!$C$3:$C$161),2),"")</f>
        <v/>
      </c>
      <c r="D16" s="50" t="str">
        <f>IFERROR(ROUND(CORREL('Returns (Calc)'!$O$3:$O$161,'Returns (Calc)'!$D$3:$D$161),2),"")</f>
        <v/>
      </c>
      <c r="E16" s="50" t="str">
        <f>IFERROR(ROUND(CORREL('Returns (Calc)'!$O$3:$O$161,'Returns (Calc)'!$E$3:$E$161),2),"")</f>
        <v/>
      </c>
      <c r="F16" s="50" t="str">
        <f>IFERROR(ROUND(CORREL('Returns (Calc)'!$O$3:$O$161,'Returns (Calc)'!$F$3:$F$161),2),"")</f>
        <v/>
      </c>
      <c r="G16" s="50" t="str">
        <f>IFERROR(ROUND(CORREL('Returns (Calc)'!$O$3:$O$161,'Returns (Calc)'!$G$3:$G$161),2),"")</f>
        <v/>
      </c>
      <c r="H16" s="50" t="str">
        <f>IFERROR(ROUND(CORREL('Returns (Calc)'!$O$3:$O$161,'Returns (Calc)'!$H$3:$H$161),2),"")</f>
        <v/>
      </c>
      <c r="I16" s="50" t="str">
        <f>IFERROR(ROUND(CORREL('Returns (Calc)'!$O$3:$O$161,'Returns (Calc)'!$I$3:$I$161),2),"")</f>
        <v/>
      </c>
      <c r="J16" s="50" t="str">
        <f>IFERROR(ROUND(CORREL('Returns (Calc)'!$O$3:$O$161,'Returns (Calc)'!$J$3:$J$161),2),"")</f>
        <v/>
      </c>
      <c r="K16" s="50" t="str">
        <f>IFERROR(ROUND(CORREL('Returns (Calc)'!$O$3:$O$161,'Returns (Calc)'!$K$3:$K$161),2),"")</f>
        <v/>
      </c>
      <c r="L16" s="50" t="str">
        <f>IFERROR(ROUND(CORREL('Returns (Calc)'!$O$3:$O$161,'Returns (Calc)'!$L$3:$L$161),2),"")</f>
        <v/>
      </c>
      <c r="M16" s="50" t="str">
        <f>IFERROR(ROUND(CORREL('Returns (Calc)'!$O$3:$O$161,'Returns (Calc)'!$M$3:$M$161),2),"")</f>
        <v/>
      </c>
      <c r="N16" s="50" t="str">
        <f>IFERROR(ROUND(CORREL('Returns (Calc)'!$O$3:$O$161,'Returns (Calc)'!$N$3:$N$161),2),"")</f>
        <v/>
      </c>
      <c r="O16" s="50">
        <v>1</v>
      </c>
      <c r="P16" s="50" t="str">
        <f>IFERROR(ROUND(CORREL('Returns (Calc)'!$O$3:$O$161,'Returns (Calc)'!$P$3:$P$161),2),"")</f>
        <v/>
      </c>
      <c r="Q16" s="50" t="str">
        <f>IFERROR(ROUND(CORREL('Returns (Calc)'!$O$3:$O$161,'Returns (Calc)'!$Q$3:$Q$161),2),"")</f>
        <v/>
      </c>
      <c r="R16" s="65">
        <f t="shared" si="0"/>
        <v>0</v>
      </c>
    </row>
    <row r="17" spans="1:18" ht="15" customHeight="1" x14ac:dyDescent="0.2">
      <c r="A17" s="64" t="str">
        <f>'Returns (Calc)'!P2</f>
        <v>Ticker 15</v>
      </c>
      <c r="B17" s="50" t="str">
        <f>IFERROR(ROUND(CORREL('Returns (Calc)'!$P$3:$P$161,'Returns (Calc)'!$B$3:$B$161),2),"")</f>
        <v/>
      </c>
      <c r="C17" s="50" t="str">
        <f>IFERROR(ROUND(CORREL('Returns (Calc)'!$P$3:$P$161,'Returns (Calc)'!$C$3:$C$161),2),"")</f>
        <v/>
      </c>
      <c r="D17" s="50" t="str">
        <f>IFERROR(ROUND(CORREL('Returns (Calc)'!$P$3:$P$161,'Returns (Calc)'!$D$3:$D$161),2),"")</f>
        <v/>
      </c>
      <c r="E17" s="50" t="str">
        <f>IFERROR(ROUND(CORREL('Returns (Calc)'!$P$3:$P$161,'Returns (Calc)'!$E$3:$E$161),2),"")</f>
        <v/>
      </c>
      <c r="F17" s="50" t="str">
        <f>IFERROR(ROUND(CORREL('Returns (Calc)'!$P$3:$P$161,'Returns (Calc)'!$F$3:$F$161),2),"")</f>
        <v/>
      </c>
      <c r="G17" s="50" t="str">
        <f>IFERROR(ROUND(CORREL('Returns (Calc)'!$P$3:$P$161,'Returns (Calc)'!$G$3:$G$161),2),"")</f>
        <v/>
      </c>
      <c r="H17" s="50" t="str">
        <f>IFERROR(ROUND(CORREL('Returns (Calc)'!$P$3:$P$161,'Returns (Calc)'!$H$3:$H$161),2),"")</f>
        <v/>
      </c>
      <c r="I17" s="50" t="str">
        <f>IFERROR(ROUND(CORREL('Returns (Calc)'!$P$3:$P$161,'Returns (Calc)'!$I$3:$I$161),2),"")</f>
        <v/>
      </c>
      <c r="J17" s="50" t="str">
        <f>IFERROR(ROUND(CORREL('Returns (Calc)'!$P$3:$P$161,'Returns (Calc)'!$J$3:$J$161),2),"")</f>
        <v/>
      </c>
      <c r="K17" s="50" t="str">
        <f>IFERROR(ROUND(CORREL('Returns (Calc)'!$P$3:$P$161,'Returns (Calc)'!$K$3:$K$161),2),"")</f>
        <v/>
      </c>
      <c r="L17" s="50" t="str">
        <f>IFERROR(ROUND(CORREL('Returns (Calc)'!$P$3:$P$161,'Returns (Calc)'!$L$3:$L$161),2),"")</f>
        <v/>
      </c>
      <c r="M17" s="50" t="str">
        <f>IFERROR(ROUND(CORREL('Returns (Calc)'!$P$3:$P$161,'Returns (Calc)'!$M$3:$M$161),2),"")</f>
        <v/>
      </c>
      <c r="N17" s="50" t="str">
        <f>IFERROR(ROUND(CORREL('Returns (Calc)'!$P$3:$P$161,'Returns (Calc)'!$N$3:$N$161),2),"")</f>
        <v/>
      </c>
      <c r="O17" s="50" t="str">
        <f>IFERROR(ROUND(CORREL('Returns (Calc)'!$P$3:$P$161,'Returns (Calc)'!$O$3:$O$161),2),"")</f>
        <v/>
      </c>
      <c r="P17" s="50">
        <v>1</v>
      </c>
      <c r="Q17" s="50" t="str">
        <f>IFERROR(ROUND(CORREL('Returns (Calc)'!$P$3:$P$161,'Returns (Calc)'!$Q$3:$Q$161),2),"")</f>
        <v/>
      </c>
      <c r="R17" s="65">
        <f t="shared" si="0"/>
        <v>0</v>
      </c>
    </row>
    <row r="18" spans="1:18" ht="15" customHeight="1" x14ac:dyDescent="0.2">
      <c r="A18" s="64" t="str">
        <f>'Returns (Calc)'!Q2</f>
        <v>Ticker 16</v>
      </c>
      <c r="B18" s="50" t="str">
        <f>IFERROR(ROUND(CORREL('Returns (Calc)'!$Q$3:$Q$161,'Returns (Calc)'!$B$3:$B$161),2),"")</f>
        <v/>
      </c>
      <c r="C18" s="50" t="str">
        <f>IFERROR(ROUND(CORREL('Returns (Calc)'!$Q$3:$Q$161,'Returns (Calc)'!$C$3:$C$161),2),"")</f>
        <v/>
      </c>
      <c r="D18" s="50" t="str">
        <f>IFERROR(ROUND(CORREL('Returns (Calc)'!$Q$3:$Q$161,'Returns (Calc)'!$D$3:$D$161),2),"")</f>
        <v/>
      </c>
      <c r="E18" s="50" t="str">
        <f>IFERROR(ROUND(CORREL('Returns (Calc)'!$Q$3:$Q$161,'Returns (Calc)'!$E$3:$E$161),2),"")</f>
        <v/>
      </c>
      <c r="F18" s="50" t="str">
        <f>IFERROR(ROUND(CORREL('Returns (Calc)'!$Q$3:$Q$161,'Returns (Calc)'!$F$3:$F$161),2),"")</f>
        <v/>
      </c>
      <c r="G18" s="50" t="str">
        <f>IFERROR(ROUND(CORREL('Returns (Calc)'!$Q$3:$Q$161,'Returns (Calc)'!$G$3:$G$161),2),"")</f>
        <v/>
      </c>
      <c r="H18" s="50" t="str">
        <f>IFERROR(ROUND(CORREL('Returns (Calc)'!$Q$3:$Q$161,'Returns (Calc)'!$H$3:$H$161),2),"")</f>
        <v/>
      </c>
      <c r="I18" s="50" t="str">
        <f>IFERROR(ROUND(CORREL('Returns (Calc)'!$Q$3:$Q$161,'Returns (Calc)'!$I$3:$I$161),2),"")</f>
        <v/>
      </c>
      <c r="J18" s="50" t="str">
        <f>IFERROR(ROUND(CORREL('Returns (Calc)'!$Q$3:$Q$161,'Returns (Calc)'!$J$3:$J$161),2),"")</f>
        <v/>
      </c>
      <c r="K18" s="50" t="str">
        <f>IFERROR(ROUND(CORREL('Returns (Calc)'!$Q$3:$Q$161,'Returns (Calc)'!$K$3:$K$161),2),"")</f>
        <v/>
      </c>
      <c r="L18" s="50" t="str">
        <f>IFERROR(ROUND(CORREL('Returns (Calc)'!$Q$3:$Q$161,'Returns (Calc)'!$L$3:$L$161),2),"")</f>
        <v/>
      </c>
      <c r="M18" s="50" t="str">
        <f>IFERROR(ROUND(CORREL('Returns (Calc)'!$Q$3:$Q$161,'Returns (Calc)'!$M$3:$M$161),2),"")</f>
        <v/>
      </c>
      <c r="N18" s="50" t="str">
        <f>IFERROR(ROUND(CORREL('Returns (Calc)'!$Q$3:$Q$161,'Returns (Calc)'!$N$3:$N$161),2),"")</f>
        <v/>
      </c>
      <c r="O18" s="50" t="str">
        <f>IFERROR(ROUND(CORREL('Returns (Calc)'!$Q$3:$Q$161,'Returns (Calc)'!$O$3:$O$161),2),"")</f>
        <v/>
      </c>
      <c r="P18" s="50" t="str">
        <f>IFERROR(ROUND(CORREL('Returns (Calc)'!$Q$3:$Q$161,'Returns (Calc)'!$P$3:$P$161),2),"")</f>
        <v/>
      </c>
      <c r="Q18" s="50">
        <v>1</v>
      </c>
      <c r="R18" s="65">
        <f t="shared" si="0"/>
        <v>0</v>
      </c>
    </row>
    <row r="20" spans="1:18" ht="79" x14ac:dyDescent="0.2">
      <c r="A20" s="78" t="s">
        <v>241</v>
      </c>
      <c r="B20" s="66">
        <f>COUNTIF(R3:R18,"&gt;1")</f>
        <v>0</v>
      </c>
    </row>
    <row r="21" spans="1:18" ht="79" x14ac:dyDescent="0.2">
      <c r="A21" s="78" t="s">
        <v>242</v>
      </c>
      <c r="B21" s="67" t="str">
        <f>IF(B20&gt;0,"REVIEW REQUIRED","OK")</f>
        <v>OK</v>
      </c>
    </row>
  </sheetData>
  <mergeCells count="1">
    <mergeCell ref="A1:R1"/>
  </mergeCells>
  <conditionalFormatting sqref="B21">
    <cfRule type="cellIs" dxfId="31" priority="4" operator="equal">
      <formula>"REVIEW REQUIRED"</formula>
    </cfRule>
    <cfRule type="cellIs" dxfId="30" priority="5" operator="equal">
      <formula>"OK"</formula>
    </cfRule>
  </conditionalFormatting>
  <conditionalFormatting sqref="B3:Q18">
    <cfRule type="expression" dxfId="29" priority="2">
      <formula>AND(B3&lt;&gt;1,ABS(B3)&gt;0.7)</formula>
    </cfRule>
  </conditionalFormatting>
  <conditionalFormatting sqref="R3:R18">
    <cfRule type="cellIs" dxfId="28" priority="3" operator="greaterThan">
      <formula>1</formula>
    </cfRule>
  </conditionalFormatting>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showGridLines="0" zoomScaleNormal="100" workbookViewId="0">
      <pane ySplit="2" topLeftCell="A3" activePane="bottomLeft" state="frozen"/>
      <selection pane="bottomLeft" sqref="A1:H1"/>
    </sheetView>
  </sheetViews>
  <sheetFormatPr baseColWidth="10" defaultColWidth="8.6640625" defaultRowHeight="15" x14ac:dyDescent="0.2"/>
  <cols>
    <col min="1" max="1" width="12" customWidth="1"/>
    <col min="2" max="3" width="15" customWidth="1"/>
    <col min="4" max="4" width="12" customWidth="1"/>
    <col min="5" max="6" width="13" customWidth="1"/>
    <col min="7" max="7" width="22" customWidth="1"/>
    <col min="8" max="8" width="30" customWidth="1"/>
  </cols>
  <sheetData>
    <row r="1" spans="1:8" ht="15" customHeight="1" x14ac:dyDescent="0.2">
      <c r="A1" s="7" t="s">
        <v>243</v>
      </c>
      <c r="B1" s="7"/>
      <c r="C1" s="7"/>
      <c r="D1" s="7"/>
      <c r="E1" s="7"/>
      <c r="F1" s="7"/>
      <c r="G1" s="7"/>
      <c r="H1" s="7"/>
    </row>
    <row r="2" spans="1:8" ht="21.75" customHeight="1" x14ac:dyDescent="0.2">
      <c r="A2" s="44" t="s">
        <v>244</v>
      </c>
      <c r="B2" s="44" t="s">
        <v>245</v>
      </c>
      <c r="C2" s="44" t="s">
        <v>246</v>
      </c>
      <c r="D2" s="44" t="s">
        <v>247</v>
      </c>
      <c r="E2" s="44" t="s">
        <v>248</v>
      </c>
      <c r="F2" s="44" t="s">
        <v>249</v>
      </c>
      <c r="G2" s="44" t="s">
        <v>250</v>
      </c>
      <c r="H2" s="44" t="s">
        <v>153</v>
      </c>
    </row>
    <row r="3" spans="1:8" ht="15" customHeight="1" x14ac:dyDescent="0.2">
      <c r="A3" s="45"/>
      <c r="B3" s="24"/>
      <c r="C3" s="68" t="str">
        <f>IF(B3="","",B3)</f>
        <v/>
      </c>
      <c r="D3" s="69" t="str">
        <f t="shared" ref="D3:D42" si="0">IF(OR(B3="",C3=""),"",B3/C3-1)</f>
        <v/>
      </c>
      <c r="E3" s="67" t="str">
        <f t="shared" ref="E3:E42" si="1">IF(D3="","",IF(D3&gt;=-0.1,"Normal",IF(D3&gt;=-0.2,"Elevated",IF(D3&gt;=-0.3,"Severe","Critical"))))</f>
        <v/>
      </c>
      <c r="F3" s="47" t="str">
        <f t="shared" ref="F3:F42" si="2">IF(E3="","",IF(E3="Normal","5-15%",IF(E3="Elevated","15%",IF(E3="Severe","20%","25%"))))</f>
        <v/>
      </c>
      <c r="G3" s="47" t="str">
        <f t="shared" ref="G3:G42" si="3">IF(E3="","",IF(E3="Normal","Standard (score &gt;=65)",IF(E3="Elevated","Restricted (score &gt;=80 only)","Suspended")))</f>
        <v/>
      </c>
      <c r="H3" s="58"/>
    </row>
    <row r="4" spans="1:8" ht="15" customHeight="1" x14ac:dyDescent="0.2">
      <c r="A4" s="45"/>
      <c r="B4" s="24"/>
      <c r="C4" s="68" t="str">
        <f t="shared" ref="C4:C42" si="4">IF(B4="","",MAX(C3,B4))</f>
        <v/>
      </c>
      <c r="D4" s="69" t="str">
        <f t="shared" si="0"/>
        <v/>
      </c>
      <c r="E4" s="67" t="str">
        <f t="shared" si="1"/>
        <v/>
      </c>
      <c r="F4" s="47" t="str">
        <f t="shared" si="2"/>
        <v/>
      </c>
      <c r="G4" s="47" t="str">
        <f t="shared" si="3"/>
        <v/>
      </c>
      <c r="H4" s="58"/>
    </row>
    <row r="5" spans="1:8" ht="15" customHeight="1" x14ac:dyDescent="0.2">
      <c r="A5" s="45"/>
      <c r="B5" s="24"/>
      <c r="C5" s="68" t="str">
        <f t="shared" si="4"/>
        <v/>
      </c>
      <c r="D5" s="69" t="str">
        <f t="shared" si="0"/>
        <v/>
      </c>
      <c r="E5" s="67" t="str">
        <f t="shared" si="1"/>
        <v/>
      </c>
      <c r="F5" s="47" t="str">
        <f t="shared" si="2"/>
        <v/>
      </c>
      <c r="G5" s="47" t="str">
        <f t="shared" si="3"/>
        <v/>
      </c>
      <c r="H5" s="58"/>
    </row>
    <row r="6" spans="1:8" ht="15" customHeight="1" x14ac:dyDescent="0.2">
      <c r="A6" s="45"/>
      <c r="B6" s="24"/>
      <c r="C6" s="68" t="str">
        <f t="shared" si="4"/>
        <v/>
      </c>
      <c r="D6" s="69" t="str">
        <f t="shared" si="0"/>
        <v/>
      </c>
      <c r="E6" s="67" t="str">
        <f t="shared" si="1"/>
        <v/>
      </c>
      <c r="F6" s="47" t="str">
        <f t="shared" si="2"/>
        <v/>
      </c>
      <c r="G6" s="47" t="str">
        <f t="shared" si="3"/>
        <v/>
      </c>
      <c r="H6" s="58"/>
    </row>
    <row r="7" spans="1:8" ht="15" customHeight="1" x14ac:dyDescent="0.2">
      <c r="A7" s="45"/>
      <c r="B7" s="24"/>
      <c r="C7" s="68" t="str">
        <f t="shared" si="4"/>
        <v/>
      </c>
      <c r="D7" s="69" t="str">
        <f t="shared" si="0"/>
        <v/>
      </c>
      <c r="E7" s="67" t="str">
        <f t="shared" si="1"/>
        <v/>
      </c>
      <c r="F7" s="47" t="str">
        <f t="shared" si="2"/>
        <v/>
      </c>
      <c r="G7" s="47" t="str">
        <f t="shared" si="3"/>
        <v/>
      </c>
      <c r="H7" s="58"/>
    </row>
    <row r="8" spans="1:8" ht="15" customHeight="1" x14ac:dyDescent="0.2">
      <c r="A8" s="45"/>
      <c r="B8" s="24"/>
      <c r="C8" s="68" t="str">
        <f t="shared" si="4"/>
        <v/>
      </c>
      <c r="D8" s="69" t="str">
        <f t="shared" si="0"/>
        <v/>
      </c>
      <c r="E8" s="67" t="str">
        <f t="shared" si="1"/>
        <v/>
      </c>
      <c r="F8" s="47" t="str">
        <f t="shared" si="2"/>
        <v/>
      </c>
      <c r="G8" s="47" t="str">
        <f t="shared" si="3"/>
        <v/>
      </c>
      <c r="H8" s="58"/>
    </row>
    <row r="9" spans="1:8" ht="15" customHeight="1" x14ac:dyDescent="0.2">
      <c r="A9" s="45"/>
      <c r="B9" s="24"/>
      <c r="C9" s="68" t="str">
        <f t="shared" si="4"/>
        <v/>
      </c>
      <c r="D9" s="69" t="str">
        <f t="shared" si="0"/>
        <v/>
      </c>
      <c r="E9" s="67" t="str">
        <f t="shared" si="1"/>
        <v/>
      </c>
      <c r="F9" s="47" t="str">
        <f t="shared" si="2"/>
        <v/>
      </c>
      <c r="G9" s="47" t="str">
        <f t="shared" si="3"/>
        <v/>
      </c>
      <c r="H9" s="58"/>
    </row>
    <row r="10" spans="1:8" ht="15" customHeight="1" x14ac:dyDescent="0.2">
      <c r="A10" s="45"/>
      <c r="B10" s="24"/>
      <c r="C10" s="68" t="str">
        <f t="shared" si="4"/>
        <v/>
      </c>
      <c r="D10" s="69" t="str">
        <f t="shared" si="0"/>
        <v/>
      </c>
      <c r="E10" s="67" t="str">
        <f t="shared" si="1"/>
        <v/>
      </c>
      <c r="F10" s="47" t="str">
        <f t="shared" si="2"/>
        <v/>
      </c>
      <c r="G10" s="47" t="str">
        <f t="shared" si="3"/>
        <v/>
      </c>
      <c r="H10" s="58"/>
    </row>
    <row r="11" spans="1:8" ht="15" customHeight="1" x14ac:dyDescent="0.2">
      <c r="A11" s="45"/>
      <c r="B11" s="24"/>
      <c r="C11" s="68" t="str">
        <f t="shared" si="4"/>
        <v/>
      </c>
      <c r="D11" s="69" t="str">
        <f t="shared" si="0"/>
        <v/>
      </c>
      <c r="E11" s="67" t="str">
        <f t="shared" si="1"/>
        <v/>
      </c>
      <c r="F11" s="47" t="str">
        <f t="shared" si="2"/>
        <v/>
      </c>
      <c r="G11" s="47" t="str">
        <f t="shared" si="3"/>
        <v/>
      </c>
      <c r="H11" s="58"/>
    </row>
    <row r="12" spans="1:8" ht="15" customHeight="1" x14ac:dyDescent="0.2">
      <c r="A12" s="45"/>
      <c r="B12" s="24"/>
      <c r="C12" s="68" t="str">
        <f t="shared" si="4"/>
        <v/>
      </c>
      <c r="D12" s="69" t="str">
        <f t="shared" si="0"/>
        <v/>
      </c>
      <c r="E12" s="67" t="str">
        <f t="shared" si="1"/>
        <v/>
      </c>
      <c r="F12" s="47" t="str">
        <f t="shared" si="2"/>
        <v/>
      </c>
      <c r="G12" s="47" t="str">
        <f t="shared" si="3"/>
        <v/>
      </c>
      <c r="H12" s="58"/>
    </row>
    <row r="13" spans="1:8" ht="15" customHeight="1" x14ac:dyDescent="0.2">
      <c r="A13" s="45"/>
      <c r="B13" s="24"/>
      <c r="C13" s="68" t="str">
        <f t="shared" si="4"/>
        <v/>
      </c>
      <c r="D13" s="69" t="str">
        <f t="shared" si="0"/>
        <v/>
      </c>
      <c r="E13" s="67" t="str">
        <f t="shared" si="1"/>
        <v/>
      </c>
      <c r="F13" s="47" t="str">
        <f t="shared" si="2"/>
        <v/>
      </c>
      <c r="G13" s="47" t="str">
        <f t="shared" si="3"/>
        <v/>
      </c>
      <c r="H13" s="58"/>
    </row>
    <row r="14" spans="1:8" ht="15" customHeight="1" x14ac:dyDescent="0.2">
      <c r="A14" s="45"/>
      <c r="B14" s="24"/>
      <c r="C14" s="68" t="str">
        <f t="shared" si="4"/>
        <v/>
      </c>
      <c r="D14" s="69" t="str">
        <f t="shared" si="0"/>
        <v/>
      </c>
      <c r="E14" s="67" t="str">
        <f t="shared" si="1"/>
        <v/>
      </c>
      <c r="F14" s="47" t="str">
        <f t="shared" si="2"/>
        <v/>
      </c>
      <c r="G14" s="47" t="str">
        <f t="shared" si="3"/>
        <v/>
      </c>
      <c r="H14" s="58"/>
    </row>
    <row r="15" spans="1:8" ht="15" customHeight="1" x14ac:dyDescent="0.2">
      <c r="A15" s="45"/>
      <c r="B15" s="24"/>
      <c r="C15" s="68" t="str">
        <f t="shared" si="4"/>
        <v/>
      </c>
      <c r="D15" s="69" t="str">
        <f t="shared" si="0"/>
        <v/>
      </c>
      <c r="E15" s="67" t="str">
        <f t="shared" si="1"/>
        <v/>
      </c>
      <c r="F15" s="47" t="str">
        <f t="shared" si="2"/>
        <v/>
      </c>
      <c r="G15" s="47" t="str">
        <f t="shared" si="3"/>
        <v/>
      </c>
      <c r="H15" s="58"/>
    </row>
    <row r="16" spans="1:8" ht="15" customHeight="1" x14ac:dyDescent="0.2">
      <c r="A16" s="45"/>
      <c r="B16" s="24"/>
      <c r="C16" s="68" t="str">
        <f t="shared" si="4"/>
        <v/>
      </c>
      <c r="D16" s="69" t="str">
        <f t="shared" si="0"/>
        <v/>
      </c>
      <c r="E16" s="67" t="str">
        <f t="shared" si="1"/>
        <v/>
      </c>
      <c r="F16" s="47" t="str">
        <f t="shared" si="2"/>
        <v/>
      </c>
      <c r="G16" s="47" t="str">
        <f t="shared" si="3"/>
        <v/>
      </c>
      <c r="H16" s="58"/>
    </row>
    <row r="17" spans="1:8" ht="15" customHeight="1" x14ac:dyDescent="0.2">
      <c r="A17" s="45"/>
      <c r="B17" s="24"/>
      <c r="C17" s="68" t="str">
        <f t="shared" si="4"/>
        <v/>
      </c>
      <c r="D17" s="69" t="str">
        <f t="shared" si="0"/>
        <v/>
      </c>
      <c r="E17" s="67" t="str">
        <f t="shared" si="1"/>
        <v/>
      </c>
      <c r="F17" s="47" t="str">
        <f t="shared" si="2"/>
        <v/>
      </c>
      <c r="G17" s="47" t="str">
        <f t="shared" si="3"/>
        <v/>
      </c>
      <c r="H17" s="58"/>
    </row>
    <row r="18" spans="1:8" ht="15" customHeight="1" x14ac:dyDescent="0.2">
      <c r="A18" s="45"/>
      <c r="B18" s="24"/>
      <c r="C18" s="68" t="str">
        <f t="shared" si="4"/>
        <v/>
      </c>
      <c r="D18" s="69" t="str">
        <f t="shared" si="0"/>
        <v/>
      </c>
      <c r="E18" s="67" t="str">
        <f t="shared" si="1"/>
        <v/>
      </c>
      <c r="F18" s="47" t="str">
        <f t="shared" si="2"/>
        <v/>
      </c>
      <c r="G18" s="47" t="str">
        <f t="shared" si="3"/>
        <v/>
      </c>
      <c r="H18" s="58"/>
    </row>
    <row r="19" spans="1:8" ht="15" customHeight="1" x14ac:dyDescent="0.2">
      <c r="A19" s="45"/>
      <c r="B19" s="24"/>
      <c r="C19" s="68" t="str">
        <f t="shared" si="4"/>
        <v/>
      </c>
      <c r="D19" s="69" t="str">
        <f t="shared" si="0"/>
        <v/>
      </c>
      <c r="E19" s="67" t="str">
        <f t="shared" si="1"/>
        <v/>
      </c>
      <c r="F19" s="47" t="str">
        <f t="shared" si="2"/>
        <v/>
      </c>
      <c r="G19" s="47" t="str">
        <f t="shared" si="3"/>
        <v/>
      </c>
      <c r="H19" s="58"/>
    </row>
    <row r="20" spans="1:8" ht="15" customHeight="1" x14ac:dyDescent="0.2">
      <c r="A20" s="45"/>
      <c r="B20" s="24"/>
      <c r="C20" s="68" t="str">
        <f t="shared" si="4"/>
        <v/>
      </c>
      <c r="D20" s="69" t="str">
        <f t="shared" si="0"/>
        <v/>
      </c>
      <c r="E20" s="67" t="str">
        <f t="shared" si="1"/>
        <v/>
      </c>
      <c r="F20" s="47" t="str">
        <f t="shared" si="2"/>
        <v/>
      </c>
      <c r="G20" s="47" t="str">
        <f t="shared" si="3"/>
        <v/>
      </c>
      <c r="H20" s="58"/>
    </row>
    <row r="21" spans="1:8" ht="15" customHeight="1" x14ac:dyDescent="0.2">
      <c r="A21" s="45"/>
      <c r="B21" s="24"/>
      <c r="C21" s="68" t="str">
        <f t="shared" si="4"/>
        <v/>
      </c>
      <c r="D21" s="69" t="str">
        <f t="shared" si="0"/>
        <v/>
      </c>
      <c r="E21" s="67" t="str">
        <f t="shared" si="1"/>
        <v/>
      </c>
      <c r="F21" s="47" t="str">
        <f t="shared" si="2"/>
        <v/>
      </c>
      <c r="G21" s="47" t="str">
        <f t="shared" si="3"/>
        <v/>
      </c>
      <c r="H21" s="58"/>
    </row>
    <row r="22" spans="1:8" ht="15" customHeight="1" x14ac:dyDescent="0.2">
      <c r="A22" s="45"/>
      <c r="B22" s="24"/>
      <c r="C22" s="68" t="str">
        <f t="shared" si="4"/>
        <v/>
      </c>
      <c r="D22" s="69" t="str">
        <f t="shared" si="0"/>
        <v/>
      </c>
      <c r="E22" s="67" t="str">
        <f t="shared" si="1"/>
        <v/>
      </c>
      <c r="F22" s="47" t="str">
        <f t="shared" si="2"/>
        <v/>
      </c>
      <c r="G22" s="47" t="str">
        <f t="shared" si="3"/>
        <v/>
      </c>
      <c r="H22" s="58"/>
    </row>
    <row r="23" spans="1:8" ht="15" customHeight="1" x14ac:dyDescent="0.2">
      <c r="A23" s="45"/>
      <c r="B23" s="24"/>
      <c r="C23" s="68" t="str">
        <f t="shared" si="4"/>
        <v/>
      </c>
      <c r="D23" s="69" t="str">
        <f t="shared" si="0"/>
        <v/>
      </c>
      <c r="E23" s="67" t="str">
        <f t="shared" si="1"/>
        <v/>
      </c>
      <c r="F23" s="47" t="str">
        <f t="shared" si="2"/>
        <v/>
      </c>
      <c r="G23" s="47" t="str">
        <f t="shared" si="3"/>
        <v/>
      </c>
      <c r="H23" s="58"/>
    </row>
    <row r="24" spans="1:8" ht="15" customHeight="1" x14ac:dyDescent="0.2">
      <c r="A24" s="45"/>
      <c r="B24" s="24"/>
      <c r="C24" s="68" t="str">
        <f t="shared" si="4"/>
        <v/>
      </c>
      <c r="D24" s="69" t="str">
        <f t="shared" si="0"/>
        <v/>
      </c>
      <c r="E24" s="67" t="str">
        <f t="shared" si="1"/>
        <v/>
      </c>
      <c r="F24" s="47" t="str">
        <f t="shared" si="2"/>
        <v/>
      </c>
      <c r="G24" s="47" t="str">
        <f t="shared" si="3"/>
        <v/>
      </c>
      <c r="H24" s="58"/>
    </row>
    <row r="25" spans="1:8" ht="15" customHeight="1" x14ac:dyDescent="0.2">
      <c r="A25" s="45"/>
      <c r="B25" s="24"/>
      <c r="C25" s="68" t="str">
        <f t="shared" si="4"/>
        <v/>
      </c>
      <c r="D25" s="69" t="str">
        <f t="shared" si="0"/>
        <v/>
      </c>
      <c r="E25" s="67" t="str">
        <f t="shared" si="1"/>
        <v/>
      </c>
      <c r="F25" s="47" t="str">
        <f t="shared" si="2"/>
        <v/>
      </c>
      <c r="G25" s="47" t="str">
        <f t="shared" si="3"/>
        <v/>
      </c>
      <c r="H25" s="58"/>
    </row>
    <row r="26" spans="1:8" ht="15" customHeight="1" x14ac:dyDescent="0.2">
      <c r="A26" s="45"/>
      <c r="B26" s="24"/>
      <c r="C26" s="68" t="str">
        <f t="shared" si="4"/>
        <v/>
      </c>
      <c r="D26" s="69" t="str">
        <f t="shared" si="0"/>
        <v/>
      </c>
      <c r="E26" s="67" t="str">
        <f t="shared" si="1"/>
        <v/>
      </c>
      <c r="F26" s="47" t="str">
        <f t="shared" si="2"/>
        <v/>
      </c>
      <c r="G26" s="47" t="str">
        <f t="shared" si="3"/>
        <v/>
      </c>
      <c r="H26" s="58"/>
    </row>
    <row r="27" spans="1:8" ht="15" customHeight="1" x14ac:dyDescent="0.2">
      <c r="A27" s="45"/>
      <c r="B27" s="24"/>
      <c r="C27" s="68" t="str">
        <f t="shared" si="4"/>
        <v/>
      </c>
      <c r="D27" s="69" t="str">
        <f t="shared" si="0"/>
        <v/>
      </c>
      <c r="E27" s="67" t="str">
        <f t="shared" si="1"/>
        <v/>
      </c>
      <c r="F27" s="47" t="str">
        <f t="shared" si="2"/>
        <v/>
      </c>
      <c r="G27" s="47" t="str">
        <f t="shared" si="3"/>
        <v/>
      </c>
      <c r="H27" s="58"/>
    </row>
    <row r="28" spans="1:8" ht="15" customHeight="1" x14ac:dyDescent="0.2">
      <c r="A28" s="45"/>
      <c r="B28" s="24"/>
      <c r="C28" s="68" t="str">
        <f t="shared" si="4"/>
        <v/>
      </c>
      <c r="D28" s="69" t="str">
        <f t="shared" si="0"/>
        <v/>
      </c>
      <c r="E28" s="67" t="str">
        <f t="shared" si="1"/>
        <v/>
      </c>
      <c r="F28" s="47" t="str">
        <f t="shared" si="2"/>
        <v/>
      </c>
      <c r="G28" s="47" t="str">
        <f t="shared" si="3"/>
        <v/>
      </c>
      <c r="H28" s="58"/>
    </row>
    <row r="29" spans="1:8" ht="15" customHeight="1" x14ac:dyDescent="0.2">
      <c r="A29" s="45"/>
      <c r="B29" s="24"/>
      <c r="C29" s="68" t="str">
        <f t="shared" si="4"/>
        <v/>
      </c>
      <c r="D29" s="69" t="str">
        <f t="shared" si="0"/>
        <v/>
      </c>
      <c r="E29" s="67" t="str">
        <f t="shared" si="1"/>
        <v/>
      </c>
      <c r="F29" s="47" t="str">
        <f t="shared" si="2"/>
        <v/>
      </c>
      <c r="G29" s="47" t="str">
        <f t="shared" si="3"/>
        <v/>
      </c>
      <c r="H29" s="58"/>
    </row>
    <row r="30" spans="1:8" ht="15" customHeight="1" x14ac:dyDescent="0.2">
      <c r="A30" s="45"/>
      <c r="B30" s="24"/>
      <c r="C30" s="68" t="str">
        <f t="shared" si="4"/>
        <v/>
      </c>
      <c r="D30" s="69" t="str">
        <f t="shared" si="0"/>
        <v/>
      </c>
      <c r="E30" s="67" t="str">
        <f t="shared" si="1"/>
        <v/>
      </c>
      <c r="F30" s="47" t="str">
        <f t="shared" si="2"/>
        <v/>
      </c>
      <c r="G30" s="47" t="str">
        <f t="shared" si="3"/>
        <v/>
      </c>
      <c r="H30" s="58"/>
    </row>
    <row r="31" spans="1:8" ht="15" customHeight="1" x14ac:dyDescent="0.2">
      <c r="A31" s="45"/>
      <c r="B31" s="24"/>
      <c r="C31" s="68" t="str">
        <f t="shared" si="4"/>
        <v/>
      </c>
      <c r="D31" s="69" t="str">
        <f t="shared" si="0"/>
        <v/>
      </c>
      <c r="E31" s="67" t="str">
        <f t="shared" si="1"/>
        <v/>
      </c>
      <c r="F31" s="47" t="str">
        <f t="shared" si="2"/>
        <v/>
      </c>
      <c r="G31" s="47" t="str">
        <f t="shared" si="3"/>
        <v/>
      </c>
      <c r="H31" s="58"/>
    </row>
    <row r="32" spans="1:8" ht="15" customHeight="1" x14ac:dyDescent="0.2">
      <c r="A32" s="45"/>
      <c r="B32" s="24"/>
      <c r="C32" s="68" t="str">
        <f t="shared" si="4"/>
        <v/>
      </c>
      <c r="D32" s="69" t="str">
        <f t="shared" si="0"/>
        <v/>
      </c>
      <c r="E32" s="67" t="str">
        <f t="shared" si="1"/>
        <v/>
      </c>
      <c r="F32" s="47" t="str">
        <f t="shared" si="2"/>
        <v/>
      </c>
      <c r="G32" s="47" t="str">
        <f t="shared" si="3"/>
        <v/>
      </c>
      <c r="H32" s="58"/>
    </row>
    <row r="33" spans="1:8" ht="15" customHeight="1" x14ac:dyDescent="0.2">
      <c r="A33" s="45"/>
      <c r="B33" s="24"/>
      <c r="C33" s="68" t="str">
        <f t="shared" si="4"/>
        <v/>
      </c>
      <c r="D33" s="69" t="str">
        <f t="shared" si="0"/>
        <v/>
      </c>
      <c r="E33" s="67" t="str">
        <f t="shared" si="1"/>
        <v/>
      </c>
      <c r="F33" s="47" t="str">
        <f t="shared" si="2"/>
        <v/>
      </c>
      <c r="G33" s="47" t="str">
        <f t="shared" si="3"/>
        <v/>
      </c>
      <c r="H33" s="58"/>
    </row>
    <row r="34" spans="1:8" ht="15" customHeight="1" x14ac:dyDescent="0.2">
      <c r="A34" s="45"/>
      <c r="B34" s="24"/>
      <c r="C34" s="68" t="str">
        <f t="shared" si="4"/>
        <v/>
      </c>
      <c r="D34" s="69" t="str">
        <f t="shared" si="0"/>
        <v/>
      </c>
      <c r="E34" s="67" t="str">
        <f t="shared" si="1"/>
        <v/>
      </c>
      <c r="F34" s="47" t="str">
        <f t="shared" si="2"/>
        <v/>
      </c>
      <c r="G34" s="47" t="str">
        <f t="shared" si="3"/>
        <v/>
      </c>
      <c r="H34" s="58"/>
    </row>
    <row r="35" spans="1:8" ht="15" customHeight="1" x14ac:dyDescent="0.2">
      <c r="A35" s="45"/>
      <c r="B35" s="24"/>
      <c r="C35" s="68" t="str">
        <f t="shared" si="4"/>
        <v/>
      </c>
      <c r="D35" s="69" t="str">
        <f t="shared" si="0"/>
        <v/>
      </c>
      <c r="E35" s="67" t="str">
        <f t="shared" si="1"/>
        <v/>
      </c>
      <c r="F35" s="47" t="str">
        <f t="shared" si="2"/>
        <v/>
      </c>
      <c r="G35" s="47" t="str">
        <f t="shared" si="3"/>
        <v/>
      </c>
      <c r="H35" s="58"/>
    </row>
    <row r="36" spans="1:8" ht="15" customHeight="1" x14ac:dyDescent="0.2">
      <c r="A36" s="45"/>
      <c r="B36" s="24"/>
      <c r="C36" s="68" t="str">
        <f t="shared" si="4"/>
        <v/>
      </c>
      <c r="D36" s="69" t="str">
        <f t="shared" si="0"/>
        <v/>
      </c>
      <c r="E36" s="67" t="str">
        <f t="shared" si="1"/>
        <v/>
      </c>
      <c r="F36" s="47" t="str">
        <f t="shared" si="2"/>
        <v/>
      </c>
      <c r="G36" s="47" t="str">
        <f t="shared" si="3"/>
        <v/>
      </c>
      <c r="H36" s="58"/>
    </row>
    <row r="37" spans="1:8" ht="15" customHeight="1" x14ac:dyDescent="0.2">
      <c r="A37" s="45"/>
      <c r="B37" s="24"/>
      <c r="C37" s="68" t="str">
        <f t="shared" si="4"/>
        <v/>
      </c>
      <c r="D37" s="69" t="str">
        <f t="shared" si="0"/>
        <v/>
      </c>
      <c r="E37" s="67" t="str">
        <f t="shared" si="1"/>
        <v/>
      </c>
      <c r="F37" s="47" t="str">
        <f t="shared" si="2"/>
        <v/>
      </c>
      <c r="G37" s="47" t="str">
        <f t="shared" si="3"/>
        <v/>
      </c>
      <c r="H37" s="58"/>
    </row>
    <row r="38" spans="1:8" ht="15" customHeight="1" x14ac:dyDescent="0.2">
      <c r="A38" s="45"/>
      <c r="B38" s="24"/>
      <c r="C38" s="68" t="str">
        <f t="shared" si="4"/>
        <v/>
      </c>
      <c r="D38" s="69" t="str">
        <f t="shared" si="0"/>
        <v/>
      </c>
      <c r="E38" s="67" t="str">
        <f t="shared" si="1"/>
        <v/>
      </c>
      <c r="F38" s="47" t="str">
        <f t="shared" si="2"/>
        <v/>
      </c>
      <c r="G38" s="47" t="str">
        <f t="shared" si="3"/>
        <v/>
      </c>
      <c r="H38" s="58"/>
    </row>
    <row r="39" spans="1:8" ht="15" customHeight="1" x14ac:dyDescent="0.2">
      <c r="A39" s="45"/>
      <c r="B39" s="24"/>
      <c r="C39" s="68" t="str">
        <f t="shared" si="4"/>
        <v/>
      </c>
      <c r="D39" s="69" t="str">
        <f t="shared" si="0"/>
        <v/>
      </c>
      <c r="E39" s="67" t="str">
        <f t="shared" si="1"/>
        <v/>
      </c>
      <c r="F39" s="47" t="str">
        <f t="shared" si="2"/>
        <v/>
      </c>
      <c r="G39" s="47" t="str">
        <f t="shared" si="3"/>
        <v/>
      </c>
      <c r="H39" s="58"/>
    </row>
    <row r="40" spans="1:8" ht="15" customHeight="1" x14ac:dyDescent="0.2">
      <c r="A40" s="45"/>
      <c r="B40" s="24"/>
      <c r="C40" s="68" t="str">
        <f t="shared" si="4"/>
        <v/>
      </c>
      <c r="D40" s="69" t="str">
        <f t="shared" si="0"/>
        <v/>
      </c>
      <c r="E40" s="67" t="str">
        <f t="shared" si="1"/>
        <v/>
      </c>
      <c r="F40" s="47" t="str">
        <f t="shared" si="2"/>
        <v/>
      </c>
      <c r="G40" s="47" t="str">
        <f t="shared" si="3"/>
        <v/>
      </c>
      <c r="H40" s="58"/>
    </row>
    <row r="41" spans="1:8" ht="15" customHeight="1" x14ac:dyDescent="0.2">
      <c r="A41" s="45"/>
      <c r="B41" s="24"/>
      <c r="C41" s="68" t="str">
        <f t="shared" si="4"/>
        <v/>
      </c>
      <c r="D41" s="69" t="str">
        <f t="shared" si="0"/>
        <v/>
      </c>
      <c r="E41" s="67" t="str">
        <f t="shared" si="1"/>
        <v/>
      </c>
      <c r="F41" s="47" t="str">
        <f t="shared" si="2"/>
        <v/>
      </c>
      <c r="G41" s="47" t="str">
        <f t="shared" si="3"/>
        <v/>
      </c>
      <c r="H41" s="58"/>
    </row>
    <row r="42" spans="1:8" ht="15" customHeight="1" x14ac:dyDescent="0.2">
      <c r="A42" s="45"/>
      <c r="B42" s="24"/>
      <c r="C42" s="68" t="str">
        <f t="shared" si="4"/>
        <v/>
      </c>
      <c r="D42" s="69" t="str">
        <f t="shared" si="0"/>
        <v/>
      </c>
      <c r="E42" s="67" t="str">
        <f t="shared" si="1"/>
        <v/>
      </c>
      <c r="F42" s="47" t="str">
        <f t="shared" si="2"/>
        <v/>
      </c>
      <c r="G42" s="47" t="str">
        <f t="shared" si="3"/>
        <v/>
      </c>
      <c r="H42" s="58"/>
    </row>
  </sheetData>
  <mergeCells count="1">
    <mergeCell ref="A1:H1"/>
  </mergeCells>
  <conditionalFormatting sqref="E3:E42">
    <cfRule type="cellIs" dxfId="27" priority="2" operator="equal">
      <formula>"Normal"</formula>
    </cfRule>
    <cfRule type="cellIs" dxfId="26" priority="3" operator="equal">
      <formula>"Elevated"</formula>
    </cfRule>
    <cfRule type="cellIs" dxfId="25" priority="4" operator="equal">
      <formula>"Severe"</formula>
    </cfRule>
    <cfRule type="cellIs" dxfId="24" priority="5" operator="equal">
      <formula>"Critical"</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2"/>
  <sheetViews>
    <sheetView showGridLines="0" zoomScaleNormal="100" workbookViewId="0">
      <pane ySplit="2" topLeftCell="A3" activePane="bottomLeft" state="frozen"/>
      <selection pane="bottomLeft" sqref="A1:M1"/>
    </sheetView>
  </sheetViews>
  <sheetFormatPr baseColWidth="10" defaultColWidth="8.6640625" defaultRowHeight="15" x14ac:dyDescent="0.2"/>
  <cols>
    <col min="1" max="1" width="9" customWidth="1"/>
    <col min="2" max="2" width="16" customWidth="1"/>
    <col min="3" max="3" width="13" customWidth="1"/>
    <col min="4" max="4" width="12" customWidth="1"/>
    <col min="5" max="6" width="8" customWidth="1"/>
    <col min="7" max="9" width="12" customWidth="1"/>
    <col min="10" max="10" width="10" customWidth="1"/>
    <col min="11" max="11" width="20" customWidth="1"/>
    <col min="12" max="12" width="30" customWidth="1"/>
  </cols>
  <sheetData>
    <row r="1" spans="1:13" ht="25.5" customHeight="1" x14ac:dyDescent="0.2">
      <c r="A1" s="7" t="s">
        <v>251</v>
      </c>
      <c r="B1" s="7"/>
      <c r="C1" s="7"/>
      <c r="D1" s="7"/>
      <c r="E1" s="7"/>
      <c r="F1" s="7"/>
      <c r="G1" s="7"/>
      <c r="H1" s="7"/>
      <c r="I1" s="7"/>
      <c r="J1" s="7"/>
      <c r="K1" s="7"/>
      <c r="L1" s="7"/>
      <c r="M1" s="7"/>
    </row>
    <row r="2" spans="1:13" ht="33.75" customHeight="1" x14ac:dyDescent="0.2">
      <c r="A2" s="44" t="s">
        <v>57</v>
      </c>
      <c r="B2" s="44" t="s">
        <v>166</v>
      </c>
      <c r="C2" s="44" t="s">
        <v>252</v>
      </c>
      <c r="D2" s="44" t="s">
        <v>253</v>
      </c>
      <c r="E2" s="44" t="s">
        <v>254</v>
      </c>
      <c r="F2" s="44" t="s">
        <v>255</v>
      </c>
      <c r="G2" s="44" t="s">
        <v>256</v>
      </c>
      <c r="H2" s="44" t="s">
        <v>257</v>
      </c>
      <c r="I2" s="44" t="s">
        <v>258</v>
      </c>
      <c r="J2" s="44" t="s">
        <v>259</v>
      </c>
      <c r="K2" s="44" t="s">
        <v>260</v>
      </c>
      <c r="L2" s="44" t="s">
        <v>261</v>
      </c>
    </row>
    <row r="3" spans="1:13" ht="15" customHeight="1" x14ac:dyDescent="0.2">
      <c r="A3" s="58"/>
      <c r="B3" s="58"/>
      <c r="C3" s="58"/>
      <c r="D3" s="45"/>
      <c r="E3" s="58"/>
      <c r="F3" s="58"/>
      <c r="G3" s="45"/>
      <c r="H3" s="58"/>
      <c r="I3" s="49" t="str">
        <f t="shared" ref="I3:I22" si="0">IF(D3="","",D3+90)</f>
        <v/>
      </c>
      <c r="J3" s="65" t="str">
        <f t="shared" ref="J3:J22" ca="1" si="1">IF(I3="","",I3-TODAY())</f>
        <v/>
      </c>
      <c r="K3" s="67" t="str">
        <f t="shared" ref="K3:K22" si="2">IF(OR(C3="",F3=""),"",IF(AND(C3="Exit Review",H3="N"),"NO CREDIBLE PLAN — SELL WITHIN 30 DAYS",IF(AND(C3="Probationary Hold",F3&gt;=65),"RECOVERED — REMOVE FROM WATCH LIST",IF(AND(C3="Exit Review",F3&gt;=50),"RECOVERED — MOVE TO PROBATIONARY HOLD",IF(J3&lt;0,"DEADLINE PASSED — SELL WITHIN 30 DAYS",IF(J3&lt;=14,"DEADLINE APPROACHING","ON TRACK"))))))</f>
        <v/>
      </c>
      <c r="L3" s="58"/>
    </row>
    <row r="4" spans="1:13" ht="15" customHeight="1" x14ac:dyDescent="0.2">
      <c r="A4" s="58"/>
      <c r="B4" s="58"/>
      <c r="C4" s="58"/>
      <c r="D4" s="45"/>
      <c r="E4" s="58"/>
      <c r="F4" s="58"/>
      <c r="G4" s="45"/>
      <c r="H4" s="58"/>
      <c r="I4" s="49" t="str">
        <f t="shared" si="0"/>
        <v/>
      </c>
      <c r="J4" s="65" t="str">
        <f t="shared" ca="1" si="1"/>
        <v/>
      </c>
      <c r="K4" s="67" t="str">
        <f t="shared" si="2"/>
        <v/>
      </c>
      <c r="L4" s="58"/>
    </row>
    <row r="5" spans="1:13" ht="15" customHeight="1" x14ac:dyDescent="0.2">
      <c r="A5" s="58"/>
      <c r="B5" s="58"/>
      <c r="C5" s="58"/>
      <c r="D5" s="45"/>
      <c r="E5" s="58"/>
      <c r="F5" s="58"/>
      <c r="G5" s="45"/>
      <c r="H5" s="58"/>
      <c r="I5" s="49" t="str">
        <f t="shared" si="0"/>
        <v/>
      </c>
      <c r="J5" s="65" t="str">
        <f t="shared" ca="1" si="1"/>
        <v/>
      </c>
      <c r="K5" s="67" t="str">
        <f t="shared" si="2"/>
        <v/>
      </c>
      <c r="L5" s="58"/>
    </row>
    <row r="6" spans="1:13" ht="15" customHeight="1" x14ac:dyDescent="0.2">
      <c r="A6" s="58"/>
      <c r="B6" s="58"/>
      <c r="C6" s="58"/>
      <c r="D6" s="45"/>
      <c r="E6" s="58"/>
      <c r="F6" s="58"/>
      <c r="G6" s="45"/>
      <c r="H6" s="58"/>
      <c r="I6" s="49" t="str">
        <f t="shared" si="0"/>
        <v/>
      </c>
      <c r="J6" s="65" t="str">
        <f t="shared" ca="1" si="1"/>
        <v/>
      </c>
      <c r="K6" s="67" t="str">
        <f t="shared" si="2"/>
        <v/>
      </c>
      <c r="L6" s="58"/>
    </row>
    <row r="7" spans="1:13" ht="15" customHeight="1" x14ac:dyDescent="0.2">
      <c r="A7" s="58"/>
      <c r="B7" s="58"/>
      <c r="C7" s="58"/>
      <c r="D7" s="45"/>
      <c r="E7" s="58"/>
      <c r="F7" s="58"/>
      <c r="G7" s="45"/>
      <c r="H7" s="58"/>
      <c r="I7" s="49" t="str">
        <f t="shared" si="0"/>
        <v/>
      </c>
      <c r="J7" s="65" t="str">
        <f t="shared" ca="1" si="1"/>
        <v/>
      </c>
      <c r="K7" s="67" t="str">
        <f t="shared" si="2"/>
        <v/>
      </c>
      <c r="L7" s="58"/>
    </row>
    <row r="8" spans="1:13" ht="15" customHeight="1" x14ac:dyDescent="0.2">
      <c r="A8" s="58"/>
      <c r="B8" s="58"/>
      <c r="C8" s="58"/>
      <c r="D8" s="45"/>
      <c r="E8" s="58"/>
      <c r="F8" s="58"/>
      <c r="G8" s="45"/>
      <c r="H8" s="58"/>
      <c r="I8" s="49" t="str">
        <f t="shared" si="0"/>
        <v/>
      </c>
      <c r="J8" s="65" t="str">
        <f t="shared" ca="1" si="1"/>
        <v/>
      </c>
      <c r="K8" s="67" t="str">
        <f t="shared" si="2"/>
        <v/>
      </c>
      <c r="L8" s="58"/>
    </row>
    <row r="9" spans="1:13" ht="15" customHeight="1" x14ac:dyDescent="0.2">
      <c r="A9" s="58"/>
      <c r="B9" s="58"/>
      <c r="C9" s="58"/>
      <c r="D9" s="45"/>
      <c r="E9" s="58"/>
      <c r="F9" s="58"/>
      <c r="G9" s="45"/>
      <c r="H9" s="58"/>
      <c r="I9" s="49" t="str">
        <f t="shared" si="0"/>
        <v/>
      </c>
      <c r="J9" s="65" t="str">
        <f t="shared" ca="1" si="1"/>
        <v/>
      </c>
      <c r="K9" s="67" t="str">
        <f t="shared" si="2"/>
        <v/>
      </c>
      <c r="L9" s="58"/>
    </row>
    <row r="10" spans="1:13" ht="15" customHeight="1" x14ac:dyDescent="0.2">
      <c r="A10" s="58"/>
      <c r="B10" s="58"/>
      <c r="C10" s="58"/>
      <c r="D10" s="45"/>
      <c r="E10" s="58"/>
      <c r="F10" s="58"/>
      <c r="G10" s="45"/>
      <c r="H10" s="58"/>
      <c r="I10" s="49" t="str">
        <f t="shared" si="0"/>
        <v/>
      </c>
      <c r="J10" s="65" t="str">
        <f t="shared" ca="1" si="1"/>
        <v/>
      </c>
      <c r="K10" s="67" t="str">
        <f t="shared" si="2"/>
        <v/>
      </c>
      <c r="L10" s="58"/>
    </row>
    <row r="11" spans="1:13" ht="15" customHeight="1" x14ac:dyDescent="0.2">
      <c r="A11" s="58"/>
      <c r="B11" s="58"/>
      <c r="C11" s="58"/>
      <c r="D11" s="45"/>
      <c r="E11" s="58"/>
      <c r="F11" s="58"/>
      <c r="G11" s="45"/>
      <c r="H11" s="58"/>
      <c r="I11" s="49" t="str">
        <f t="shared" si="0"/>
        <v/>
      </c>
      <c r="J11" s="65" t="str">
        <f t="shared" ca="1" si="1"/>
        <v/>
      </c>
      <c r="K11" s="67" t="str">
        <f t="shared" si="2"/>
        <v/>
      </c>
      <c r="L11" s="58"/>
    </row>
    <row r="12" spans="1:13" ht="15" customHeight="1" x14ac:dyDescent="0.2">
      <c r="A12" s="58"/>
      <c r="B12" s="58"/>
      <c r="C12" s="58"/>
      <c r="D12" s="45"/>
      <c r="E12" s="58"/>
      <c r="F12" s="58"/>
      <c r="G12" s="45"/>
      <c r="H12" s="58"/>
      <c r="I12" s="49" t="str">
        <f t="shared" si="0"/>
        <v/>
      </c>
      <c r="J12" s="65" t="str">
        <f t="shared" ca="1" si="1"/>
        <v/>
      </c>
      <c r="K12" s="67" t="str">
        <f t="shared" si="2"/>
        <v/>
      </c>
      <c r="L12" s="58"/>
    </row>
    <row r="13" spans="1:13" ht="15" customHeight="1" x14ac:dyDescent="0.2">
      <c r="A13" s="58"/>
      <c r="B13" s="58"/>
      <c r="C13" s="58"/>
      <c r="D13" s="45"/>
      <c r="E13" s="58"/>
      <c r="F13" s="58"/>
      <c r="G13" s="45"/>
      <c r="H13" s="58"/>
      <c r="I13" s="49" t="str">
        <f t="shared" si="0"/>
        <v/>
      </c>
      <c r="J13" s="65" t="str">
        <f t="shared" ca="1" si="1"/>
        <v/>
      </c>
      <c r="K13" s="67" t="str">
        <f t="shared" si="2"/>
        <v/>
      </c>
      <c r="L13" s="58"/>
    </row>
    <row r="14" spans="1:13" ht="15" customHeight="1" x14ac:dyDescent="0.2">
      <c r="A14" s="58"/>
      <c r="B14" s="58"/>
      <c r="C14" s="58"/>
      <c r="D14" s="45"/>
      <c r="E14" s="58"/>
      <c r="F14" s="58"/>
      <c r="G14" s="45"/>
      <c r="H14" s="58"/>
      <c r="I14" s="49" t="str">
        <f t="shared" si="0"/>
        <v/>
      </c>
      <c r="J14" s="65" t="str">
        <f t="shared" ca="1" si="1"/>
        <v/>
      </c>
      <c r="K14" s="67" t="str">
        <f t="shared" si="2"/>
        <v/>
      </c>
      <c r="L14" s="58"/>
    </row>
    <row r="15" spans="1:13" ht="15" customHeight="1" x14ac:dyDescent="0.2">
      <c r="A15" s="58"/>
      <c r="B15" s="58"/>
      <c r="C15" s="58"/>
      <c r="D15" s="45"/>
      <c r="E15" s="58"/>
      <c r="F15" s="58"/>
      <c r="G15" s="45"/>
      <c r="H15" s="58"/>
      <c r="I15" s="49" t="str">
        <f t="shared" si="0"/>
        <v/>
      </c>
      <c r="J15" s="65" t="str">
        <f t="shared" ca="1" si="1"/>
        <v/>
      </c>
      <c r="K15" s="67" t="str">
        <f t="shared" si="2"/>
        <v/>
      </c>
      <c r="L15" s="58"/>
    </row>
    <row r="16" spans="1:13" ht="15" customHeight="1" x14ac:dyDescent="0.2">
      <c r="A16" s="58"/>
      <c r="B16" s="58"/>
      <c r="C16" s="58"/>
      <c r="D16" s="45"/>
      <c r="E16" s="58"/>
      <c r="F16" s="58"/>
      <c r="G16" s="45"/>
      <c r="H16" s="58"/>
      <c r="I16" s="49" t="str">
        <f t="shared" si="0"/>
        <v/>
      </c>
      <c r="J16" s="65" t="str">
        <f t="shared" ca="1" si="1"/>
        <v/>
      </c>
      <c r="K16" s="67" t="str">
        <f t="shared" si="2"/>
        <v/>
      </c>
      <c r="L16" s="58"/>
    </row>
    <row r="17" spans="1:12" ht="15" customHeight="1" x14ac:dyDescent="0.2">
      <c r="A17" s="58"/>
      <c r="B17" s="58"/>
      <c r="C17" s="58"/>
      <c r="D17" s="45"/>
      <c r="E17" s="58"/>
      <c r="F17" s="58"/>
      <c r="G17" s="45"/>
      <c r="H17" s="58"/>
      <c r="I17" s="49" t="str">
        <f t="shared" si="0"/>
        <v/>
      </c>
      <c r="J17" s="65" t="str">
        <f t="shared" ca="1" si="1"/>
        <v/>
      </c>
      <c r="K17" s="67" t="str">
        <f t="shared" si="2"/>
        <v/>
      </c>
      <c r="L17" s="58"/>
    </row>
    <row r="18" spans="1:12" ht="15" customHeight="1" x14ac:dyDescent="0.2">
      <c r="A18" s="58"/>
      <c r="B18" s="58"/>
      <c r="C18" s="58"/>
      <c r="D18" s="45"/>
      <c r="E18" s="58"/>
      <c r="F18" s="58"/>
      <c r="G18" s="45"/>
      <c r="H18" s="58"/>
      <c r="I18" s="49" t="str">
        <f t="shared" si="0"/>
        <v/>
      </c>
      <c r="J18" s="65" t="str">
        <f t="shared" ca="1" si="1"/>
        <v/>
      </c>
      <c r="K18" s="67" t="str">
        <f t="shared" si="2"/>
        <v/>
      </c>
      <c r="L18" s="58"/>
    </row>
    <row r="19" spans="1:12" ht="15" customHeight="1" x14ac:dyDescent="0.2">
      <c r="A19" s="58"/>
      <c r="B19" s="58"/>
      <c r="C19" s="58"/>
      <c r="D19" s="45"/>
      <c r="E19" s="58"/>
      <c r="F19" s="58"/>
      <c r="G19" s="45"/>
      <c r="H19" s="58"/>
      <c r="I19" s="49" t="str">
        <f t="shared" si="0"/>
        <v/>
      </c>
      <c r="J19" s="65" t="str">
        <f t="shared" ca="1" si="1"/>
        <v/>
      </c>
      <c r="K19" s="67" t="str">
        <f t="shared" si="2"/>
        <v/>
      </c>
      <c r="L19" s="58"/>
    </row>
    <row r="20" spans="1:12" ht="15" customHeight="1" x14ac:dyDescent="0.2">
      <c r="A20" s="58"/>
      <c r="B20" s="58"/>
      <c r="C20" s="58"/>
      <c r="D20" s="45"/>
      <c r="E20" s="58"/>
      <c r="F20" s="58"/>
      <c r="G20" s="45"/>
      <c r="H20" s="58"/>
      <c r="I20" s="49" t="str">
        <f t="shared" si="0"/>
        <v/>
      </c>
      <c r="J20" s="65" t="str">
        <f t="shared" ca="1" si="1"/>
        <v/>
      </c>
      <c r="K20" s="67" t="str">
        <f t="shared" si="2"/>
        <v/>
      </c>
      <c r="L20" s="58"/>
    </row>
    <row r="21" spans="1:12" ht="15" customHeight="1" x14ac:dyDescent="0.2">
      <c r="A21" s="58"/>
      <c r="B21" s="58"/>
      <c r="C21" s="58"/>
      <c r="D21" s="45"/>
      <c r="E21" s="58"/>
      <c r="F21" s="58"/>
      <c r="G21" s="45"/>
      <c r="H21" s="58"/>
      <c r="I21" s="49" t="str">
        <f t="shared" si="0"/>
        <v/>
      </c>
      <c r="J21" s="65" t="str">
        <f t="shared" ca="1" si="1"/>
        <v/>
      </c>
      <c r="K21" s="67" t="str">
        <f t="shared" si="2"/>
        <v/>
      </c>
      <c r="L21" s="58"/>
    </row>
    <row r="22" spans="1:12" ht="15" customHeight="1" x14ac:dyDescent="0.2">
      <c r="A22" s="58"/>
      <c r="B22" s="58"/>
      <c r="C22" s="58"/>
      <c r="D22" s="45"/>
      <c r="E22" s="58"/>
      <c r="F22" s="58"/>
      <c r="G22" s="45"/>
      <c r="H22" s="58"/>
      <c r="I22" s="49" t="str">
        <f t="shared" si="0"/>
        <v/>
      </c>
      <c r="J22" s="65" t="str">
        <f t="shared" ca="1" si="1"/>
        <v/>
      </c>
      <c r="K22" s="67" t="str">
        <f t="shared" si="2"/>
        <v/>
      </c>
      <c r="L22" s="58"/>
    </row>
  </sheetData>
  <mergeCells count="1">
    <mergeCell ref="A1:M1"/>
  </mergeCells>
  <conditionalFormatting sqref="K3:K22">
    <cfRule type="expression" dxfId="23" priority="2">
      <formula>ISNUMBER(SEARCH("RECOVERED",K3))</formula>
    </cfRule>
    <cfRule type="expression" dxfId="22" priority="3">
      <formula>ISNUMBER(SEARCH("ON TRACK",K3))</formula>
    </cfRule>
    <cfRule type="expression" dxfId="21" priority="4">
      <formula>ISNUMBER(SEARCH("DEADLINE APPROACHING",K3))</formula>
    </cfRule>
    <cfRule type="expression" dxfId="20" priority="5">
      <formula>ISNUMBER(SEARCH("SELL WITHIN 30 DAYS",K3))</formula>
    </cfRule>
  </conditionalFormatting>
  <dataValidations count="2">
    <dataValidation type="list" allowBlank="1" sqref="C3:C22" xr:uid="{00000000-0002-0000-0C00-000000000000}">
      <formula1>"Probationary Hold,Exit Review"</formula1>
      <formula2>0</formula2>
    </dataValidation>
    <dataValidation type="list" allowBlank="1" sqref="H3:H22" xr:uid="{00000000-0002-0000-0C00-000001000000}">
      <formula1>"Y,N"</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3"/>
  <sheetViews>
    <sheetView showGridLines="0" zoomScaleNormal="100" workbookViewId="0">
      <pane xSplit="3" ySplit="3" topLeftCell="D4" activePane="bottomRight" state="frozen"/>
      <selection pane="topRight" activeCell="D1" sqref="D1"/>
      <selection pane="bottomLeft" activeCell="A4" sqref="A4"/>
      <selection pane="bottomRight" sqref="A1:T1"/>
    </sheetView>
  </sheetViews>
  <sheetFormatPr baseColWidth="10" defaultColWidth="8.6640625" defaultRowHeight="15" x14ac:dyDescent="0.2"/>
  <cols>
    <col min="1" max="1" width="8" customWidth="1"/>
    <col min="2" max="2" width="14" customWidth="1"/>
    <col min="3" max="21" width="9.5" customWidth="1"/>
  </cols>
  <sheetData>
    <row r="1" spans="1:21" ht="25.5" customHeight="1" x14ac:dyDescent="0.2">
      <c r="A1" s="7" t="s">
        <v>262</v>
      </c>
      <c r="B1" s="7"/>
      <c r="C1" s="7"/>
      <c r="D1" s="7"/>
      <c r="E1" s="7"/>
      <c r="F1" s="7"/>
      <c r="G1" s="7"/>
      <c r="H1" s="7"/>
      <c r="I1" s="7"/>
      <c r="J1" s="7"/>
      <c r="K1" s="7"/>
      <c r="L1" s="7"/>
      <c r="M1" s="7"/>
      <c r="N1" s="7"/>
      <c r="O1" s="7"/>
      <c r="P1" s="7"/>
      <c r="Q1" s="7"/>
      <c r="R1" s="7"/>
      <c r="S1" s="7"/>
      <c r="T1" s="7"/>
    </row>
    <row r="2" spans="1:21" ht="15.75" customHeight="1" x14ac:dyDescent="0.2">
      <c r="D2" s="3" t="s">
        <v>263</v>
      </c>
      <c r="E2" s="3"/>
      <c r="F2" s="3"/>
      <c r="G2" s="3"/>
      <c r="H2" s="3"/>
      <c r="I2" s="2" t="s">
        <v>264</v>
      </c>
      <c r="J2" s="2"/>
      <c r="K2" s="2"/>
      <c r="L2" s="2"/>
      <c r="M2" s="2"/>
      <c r="N2" s="74" t="s">
        <v>265</v>
      </c>
      <c r="O2" s="74"/>
      <c r="P2" s="74"/>
      <c r="Q2" s="74"/>
      <c r="R2" s="74"/>
      <c r="S2" s="75" t="s">
        <v>266</v>
      </c>
      <c r="T2" s="75"/>
      <c r="U2" s="75"/>
    </row>
    <row r="3" spans="1:21" ht="30" customHeight="1" x14ac:dyDescent="0.2">
      <c r="A3" s="22" t="s">
        <v>57</v>
      </c>
      <c r="B3" s="22" t="s">
        <v>166</v>
      </c>
      <c r="C3" s="22" t="s">
        <v>267</v>
      </c>
      <c r="D3" s="22" t="s">
        <v>268</v>
      </c>
      <c r="E3" s="22" t="s">
        <v>269</v>
      </c>
      <c r="F3" s="22" t="s">
        <v>270</v>
      </c>
      <c r="G3" s="22" t="s">
        <v>271</v>
      </c>
      <c r="H3" s="22" t="s">
        <v>272</v>
      </c>
      <c r="I3" s="22" t="s">
        <v>268</v>
      </c>
      <c r="J3" s="22" t="s">
        <v>269</v>
      </c>
      <c r="K3" s="22" t="s">
        <v>270</v>
      </c>
      <c r="L3" s="22" t="s">
        <v>271</v>
      </c>
      <c r="M3" s="22" t="s">
        <v>272</v>
      </c>
      <c r="N3" s="22" t="s">
        <v>268</v>
      </c>
      <c r="O3" s="22" t="s">
        <v>269</v>
      </c>
      <c r="P3" s="22" t="s">
        <v>270</v>
      </c>
      <c r="Q3" s="22" t="s">
        <v>271</v>
      </c>
      <c r="R3" s="22" t="s">
        <v>272</v>
      </c>
      <c r="S3" s="22" t="s">
        <v>273</v>
      </c>
      <c r="T3" s="22" t="s">
        <v>274</v>
      </c>
      <c r="U3" s="22" t="s">
        <v>275</v>
      </c>
    </row>
    <row r="4" spans="1:21" ht="15" customHeight="1" x14ac:dyDescent="0.2">
      <c r="A4" s="37"/>
      <c r="B4" s="37"/>
      <c r="C4" s="39"/>
      <c r="D4" s="39"/>
      <c r="E4" s="56"/>
      <c r="F4" s="39"/>
      <c r="G4" s="40" t="str">
        <f t="shared" ref="G4:G23" si="0">IF(OR(C4="",D4="",E4="",F4=""),"",IFERROR(((D4*E4+F4)/C4)^(1/5)-1,"n/a"))</f>
        <v/>
      </c>
      <c r="H4" s="37"/>
      <c r="I4" s="39"/>
      <c r="J4" s="56"/>
      <c r="K4" s="39"/>
      <c r="L4" s="40" t="str">
        <f t="shared" ref="L4:L23" si="1">IF(OR(C4="",I4="",J4="",K4=""),"",IFERROR(((I4*J4+K4)/C4)^(1/5)-1,"n/a"))</f>
        <v/>
      </c>
      <c r="M4" s="37"/>
      <c r="N4" s="39"/>
      <c r="O4" s="56"/>
      <c r="P4" s="39"/>
      <c r="Q4" s="40" t="str">
        <f t="shared" ref="Q4:Q23" si="2">IF(OR(C4="",N4="",O4="",P4=""),"",IFERROR(((N4*O4+P4)/C4)^(1/5)-1,"n/a"))</f>
        <v/>
      </c>
      <c r="R4" s="37"/>
      <c r="S4" s="43" t="str">
        <f t="shared" ref="S4:S23" si="3">IF(G4="","",IF(G4&gt;0.1,"PASS","FAIL"))</f>
        <v/>
      </c>
      <c r="T4" s="43" t="str">
        <f t="shared" ref="T4:T23" si="4">IF(L4="","",IF(L4&gt;=0,"PASS","FAIL"))</f>
        <v/>
      </c>
      <c r="U4" s="43" t="str">
        <f t="shared" ref="U4:U23" si="5">IF(COUNTA(H4,M4,R4)=0,"",IF((COUNTIF(H4,"Likely")+COUNTIF(M4,"Likely")+COUNTIF(R4,"Likely"))=1,"OK","CHECK TAGS"))</f>
        <v/>
      </c>
    </row>
    <row r="5" spans="1:21" ht="15" customHeight="1" x14ac:dyDescent="0.2">
      <c r="A5" s="37"/>
      <c r="B5" s="37"/>
      <c r="C5" s="39"/>
      <c r="D5" s="39"/>
      <c r="E5" s="56"/>
      <c r="F5" s="39"/>
      <c r="G5" s="40" t="str">
        <f t="shared" si="0"/>
        <v/>
      </c>
      <c r="H5" s="37"/>
      <c r="I5" s="39"/>
      <c r="J5" s="56"/>
      <c r="K5" s="39"/>
      <c r="L5" s="40" t="str">
        <f t="shared" si="1"/>
        <v/>
      </c>
      <c r="M5" s="37"/>
      <c r="N5" s="39"/>
      <c r="O5" s="56"/>
      <c r="P5" s="39"/>
      <c r="Q5" s="40" t="str">
        <f t="shared" si="2"/>
        <v/>
      </c>
      <c r="R5" s="37"/>
      <c r="S5" s="43" t="str">
        <f t="shared" si="3"/>
        <v/>
      </c>
      <c r="T5" s="43" t="str">
        <f t="shared" si="4"/>
        <v/>
      </c>
      <c r="U5" s="43" t="str">
        <f t="shared" si="5"/>
        <v/>
      </c>
    </row>
    <row r="6" spans="1:21" ht="15" customHeight="1" x14ac:dyDescent="0.2">
      <c r="A6" s="37"/>
      <c r="B6" s="37"/>
      <c r="C6" s="39"/>
      <c r="D6" s="39"/>
      <c r="E6" s="56"/>
      <c r="F6" s="39"/>
      <c r="G6" s="40" t="str">
        <f t="shared" si="0"/>
        <v/>
      </c>
      <c r="H6" s="37"/>
      <c r="I6" s="39"/>
      <c r="J6" s="56"/>
      <c r="K6" s="39"/>
      <c r="L6" s="40" t="str">
        <f t="shared" si="1"/>
        <v/>
      </c>
      <c r="M6" s="37"/>
      <c r="N6" s="39"/>
      <c r="O6" s="56"/>
      <c r="P6" s="39"/>
      <c r="Q6" s="40" t="str">
        <f t="shared" si="2"/>
        <v/>
      </c>
      <c r="R6" s="37"/>
      <c r="S6" s="43" t="str">
        <f t="shared" si="3"/>
        <v/>
      </c>
      <c r="T6" s="43" t="str">
        <f t="shared" si="4"/>
        <v/>
      </c>
      <c r="U6" s="43" t="str">
        <f t="shared" si="5"/>
        <v/>
      </c>
    </row>
    <row r="7" spans="1:21" ht="15" customHeight="1" x14ac:dyDescent="0.2">
      <c r="A7" s="37"/>
      <c r="B7" s="37"/>
      <c r="C7" s="39"/>
      <c r="D7" s="39"/>
      <c r="E7" s="56"/>
      <c r="F7" s="39"/>
      <c r="G7" s="40" t="str">
        <f t="shared" si="0"/>
        <v/>
      </c>
      <c r="H7" s="37"/>
      <c r="I7" s="39"/>
      <c r="J7" s="56"/>
      <c r="K7" s="39"/>
      <c r="L7" s="40" t="str">
        <f t="shared" si="1"/>
        <v/>
      </c>
      <c r="M7" s="37"/>
      <c r="N7" s="39"/>
      <c r="O7" s="56"/>
      <c r="P7" s="39"/>
      <c r="Q7" s="40" t="str">
        <f t="shared" si="2"/>
        <v/>
      </c>
      <c r="R7" s="37"/>
      <c r="S7" s="43" t="str">
        <f t="shared" si="3"/>
        <v/>
      </c>
      <c r="T7" s="43" t="str">
        <f t="shared" si="4"/>
        <v/>
      </c>
      <c r="U7" s="43" t="str">
        <f t="shared" si="5"/>
        <v/>
      </c>
    </row>
    <row r="8" spans="1:21" ht="15" customHeight="1" x14ac:dyDescent="0.2">
      <c r="A8" s="37"/>
      <c r="B8" s="37"/>
      <c r="C8" s="39"/>
      <c r="D8" s="39"/>
      <c r="E8" s="56"/>
      <c r="F8" s="39"/>
      <c r="G8" s="40" t="str">
        <f t="shared" si="0"/>
        <v/>
      </c>
      <c r="H8" s="37"/>
      <c r="I8" s="39"/>
      <c r="J8" s="56"/>
      <c r="K8" s="39"/>
      <c r="L8" s="40" t="str">
        <f t="shared" si="1"/>
        <v/>
      </c>
      <c r="M8" s="37"/>
      <c r="N8" s="39"/>
      <c r="O8" s="56"/>
      <c r="P8" s="39"/>
      <c r="Q8" s="40" t="str">
        <f t="shared" si="2"/>
        <v/>
      </c>
      <c r="R8" s="37"/>
      <c r="S8" s="43" t="str">
        <f t="shared" si="3"/>
        <v/>
      </c>
      <c r="T8" s="43" t="str">
        <f t="shared" si="4"/>
        <v/>
      </c>
      <c r="U8" s="43" t="str">
        <f t="shared" si="5"/>
        <v/>
      </c>
    </row>
    <row r="9" spans="1:21" ht="15" customHeight="1" x14ac:dyDescent="0.2">
      <c r="A9" s="37"/>
      <c r="B9" s="37"/>
      <c r="C9" s="39"/>
      <c r="D9" s="39"/>
      <c r="E9" s="56"/>
      <c r="F9" s="39"/>
      <c r="G9" s="40" t="str">
        <f t="shared" si="0"/>
        <v/>
      </c>
      <c r="H9" s="37"/>
      <c r="I9" s="39"/>
      <c r="J9" s="56"/>
      <c r="K9" s="39"/>
      <c r="L9" s="40" t="str">
        <f t="shared" si="1"/>
        <v/>
      </c>
      <c r="M9" s="37"/>
      <c r="N9" s="39"/>
      <c r="O9" s="56"/>
      <c r="P9" s="39"/>
      <c r="Q9" s="40" t="str">
        <f t="shared" si="2"/>
        <v/>
      </c>
      <c r="R9" s="37"/>
      <c r="S9" s="43" t="str">
        <f t="shared" si="3"/>
        <v/>
      </c>
      <c r="T9" s="43" t="str">
        <f t="shared" si="4"/>
        <v/>
      </c>
      <c r="U9" s="43" t="str">
        <f t="shared" si="5"/>
        <v/>
      </c>
    </row>
    <row r="10" spans="1:21" ht="15" customHeight="1" x14ac:dyDescent="0.2">
      <c r="A10" s="37"/>
      <c r="B10" s="37"/>
      <c r="C10" s="39"/>
      <c r="D10" s="39"/>
      <c r="E10" s="56"/>
      <c r="F10" s="39"/>
      <c r="G10" s="40" t="str">
        <f t="shared" si="0"/>
        <v/>
      </c>
      <c r="H10" s="37"/>
      <c r="I10" s="39"/>
      <c r="J10" s="56"/>
      <c r="K10" s="39"/>
      <c r="L10" s="40" t="str">
        <f t="shared" si="1"/>
        <v/>
      </c>
      <c r="M10" s="37"/>
      <c r="N10" s="39"/>
      <c r="O10" s="56"/>
      <c r="P10" s="39"/>
      <c r="Q10" s="40" t="str">
        <f t="shared" si="2"/>
        <v/>
      </c>
      <c r="R10" s="37"/>
      <c r="S10" s="43" t="str">
        <f t="shared" si="3"/>
        <v/>
      </c>
      <c r="T10" s="43" t="str">
        <f t="shared" si="4"/>
        <v/>
      </c>
      <c r="U10" s="43" t="str">
        <f t="shared" si="5"/>
        <v/>
      </c>
    </row>
    <row r="11" spans="1:21" ht="15" customHeight="1" x14ac:dyDescent="0.2">
      <c r="A11" s="37"/>
      <c r="B11" s="37"/>
      <c r="C11" s="39"/>
      <c r="D11" s="39"/>
      <c r="E11" s="56"/>
      <c r="F11" s="39"/>
      <c r="G11" s="40" t="str">
        <f t="shared" si="0"/>
        <v/>
      </c>
      <c r="H11" s="37"/>
      <c r="I11" s="39"/>
      <c r="J11" s="56"/>
      <c r="K11" s="39"/>
      <c r="L11" s="40" t="str">
        <f t="shared" si="1"/>
        <v/>
      </c>
      <c r="M11" s="37"/>
      <c r="N11" s="39"/>
      <c r="O11" s="56"/>
      <c r="P11" s="39"/>
      <c r="Q11" s="40" t="str">
        <f t="shared" si="2"/>
        <v/>
      </c>
      <c r="R11" s="37"/>
      <c r="S11" s="43" t="str">
        <f t="shared" si="3"/>
        <v/>
      </c>
      <c r="T11" s="43" t="str">
        <f t="shared" si="4"/>
        <v/>
      </c>
      <c r="U11" s="43" t="str">
        <f t="shared" si="5"/>
        <v/>
      </c>
    </row>
    <row r="12" spans="1:21" ht="15" customHeight="1" x14ac:dyDescent="0.2">
      <c r="A12" s="37"/>
      <c r="B12" s="37"/>
      <c r="C12" s="39"/>
      <c r="D12" s="39"/>
      <c r="E12" s="56"/>
      <c r="F12" s="39"/>
      <c r="G12" s="40" t="str">
        <f t="shared" si="0"/>
        <v/>
      </c>
      <c r="H12" s="37"/>
      <c r="I12" s="39"/>
      <c r="J12" s="56"/>
      <c r="K12" s="39"/>
      <c r="L12" s="40" t="str">
        <f t="shared" si="1"/>
        <v/>
      </c>
      <c r="M12" s="37"/>
      <c r="N12" s="39"/>
      <c r="O12" s="56"/>
      <c r="P12" s="39"/>
      <c r="Q12" s="40" t="str">
        <f t="shared" si="2"/>
        <v/>
      </c>
      <c r="R12" s="37"/>
      <c r="S12" s="43" t="str">
        <f t="shared" si="3"/>
        <v/>
      </c>
      <c r="T12" s="43" t="str">
        <f t="shared" si="4"/>
        <v/>
      </c>
      <c r="U12" s="43" t="str">
        <f t="shared" si="5"/>
        <v/>
      </c>
    </row>
    <row r="13" spans="1:21" ht="15" customHeight="1" x14ac:dyDescent="0.2">
      <c r="A13" s="37"/>
      <c r="B13" s="37"/>
      <c r="C13" s="39"/>
      <c r="D13" s="39"/>
      <c r="E13" s="56"/>
      <c r="F13" s="39"/>
      <c r="G13" s="40" t="str">
        <f t="shared" si="0"/>
        <v/>
      </c>
      <c r="H13" s="37"/>
      <c r="I13" s="39"/>
      <c r="J13" s="56"/>
      <c r="K13" s="39"/>
      <c r="L13" s="40" t="str">
        <f t="shared" si="1"/>
        <v/>
      </c>
      <c r="M13" s="37"/>
      <c r="N13" s="39"/>
      <c r="O13" s="56"/>
      <c r="P13" s="39"/>
      <c r="Q13" s="40" t="str">
        <f t="shared" si="2"/>
        <v/>
      </c>
      <c r="R13" s="37"/>
      <c r="S13" s="43" t="str">
        <f t="shared" si="3"/>
        <v/>
      </c>
      <c r="T13" s="43" t="str">
        <f t="shared" si="4"/>
        <v/>
      </c>
      <c r="U13" s="43" t="str">
        <f t="shared" si="5"/>
        <v/>
      </c>
    </row>
    <row r="14" spans="1:21" ht="15" customHeight="1" x14ac:dyDescent="0.2">
      <c r="A14" s="37"/>
      <c r="B14" s="37"/>
      <c r="C14" s="39"/>
      <c r="D14" s="39"/>
      <c r="E14" s="56"/>
      <c r="F14" s="39"/>
      <c r="G14" s="40" t="str">
        <f t="shared" si="0"/>
        <v/>
      </c>
      <c r="H14" s="37"/>
      <c r="I14" s="39"/>
      <c r="J14" s="56"/>
      <c r="K14" s="39"/>
      <c r="L14" s="40" t="str">
        <f t="shared" si="1"/>
        <v/>
      </c>
      <c r="M14" s="37"/>
      <c r="N14" s="39"/>
      <c r="O14" s="56"/>
      <c r="P14" s="39"/>
      <c r="Q14" s="40" t="str">
        <f t="shared" si="2"/>
        <v/>
      </c>
      <c r="R14" s="37"/>
      <c r="S14" s="43" t="str">
        <f t="shared" si="3"/>
        <v/>
      </c>
      <c r="T14" s="43" t="str">
        <f t="shared" si="4"/>
        <v/>
      </c>
      <c r="U14" s="43" t="str">
        <f t="shared" si="5"/>
        <v/>
      </c>
    </row>
    <row r="15" spans="1:21" ht="15" customHeight="1" x14ac:dyDescent="0.2">
      <c r="A15" s="37"/>
      <c r="B15" s="37"/>
      <c r="C15" s="39"/>
      <c r="D15" s="39"/>
      <c r="E15" s="56"/>
      <c r="F15" s="39"/>
      <c r="G15" s="40" t="str">
        <f t="shared" si="0"/>
        <v/>
      </c>
      <c r="H15" s="37"/>
      <c r="I15" s="39"/>
      <c r="J15" s="56"/>
      <c r="K15" s="39"/>
      <c r="L15" s="40" t="str">
        <f t="shared" si="1"/>
        <v/>
      </c>
      <c r="M15" s="37"/>
      <c r="N15" s="39"/>
      <c r="O15" s="56"/>
      <c r="P15" s="39"/>
      <c r="Q15" s="40" t="str">
        <f t="shared" si="2"/>
        <v/>
      </c>
      <c r="R15" s="37"/>
      <c r="S15" s="43" t="str">
        <f t="shared" si="3"/>
        <v/>
      </c>
      <c r="T15" s="43" t="str">
        <f t="shared" si="4"/>
        <v/>
      </c>
      <c r="U15" s="43" t="str">
        <f t="shared" si="5"/>
        <v/>
      </c>
    </row>
    <row r="16" spans="1:21" ht="15" customHeight="1" x14ac:dyDescent="0.2">
      <c r="A16" s="37"/>
      <c r="B16" s="37"/>
      <c r="C16" s="39"/>
      <c r="D16" s="39"/>
      <c r="E16" s="56"/>
      <c r="F16" s="39"/>
      <c r="G16" s="40" t="str">
        <f t="shared" si="0"/>
        <v/>
      </c>
      <c r="H16" s="37"/>
      <c r="I16" s="39"/>
      <c r="J16" s="56"/>
      <c r="K16" s="39"/>
      <c r="L16" s="40" t="str">
        <f t="shared" si="1"/>
        <v/>
      </c>
      <c r="M16" s="37"/>
      <c r="N16" s="39"/>
      <c r="O16" s="56"/>
      <c r="P16" s="39"/>
      <c r="Q16" s="40" t="str">
        <f t="shared" si="2"/>
        <v/>
      </c>
      <c r="R16" s="37"/>
      <c r="S16" s="43" t="str">
        <f t="shared" si="3"/>
        <v/>
      </c>
      <c r="T16" s="43" t="str">
        <f t="shared" si="4"/>
        <v/>
      </c>
      <c r="U16" s="43" t="str">
        <f t="shared" si="5"/>
        <v/>
      </c>
    </row>
    <row r="17" spans="1:21" ht="15" customHeight="1" x14ac:dyDescent="0.2">
      <c r="A17" s="37"/>
      <c r="B17" s="37"/>
      <c r="C17" s="39"/>
      <c r="D17" s="39"/>
      <c r="E17" s="56"/>
      <c r="F17" s="39"/>
      <c r="G17" s="40" t="str">
        <f t="shared" si="0"/>
        <v/>
      </c>
      <c r="H17" s="37"/>
      <c r="I17" s="39"/>
      <c r="J17" s="56"/>
      <c r="K17" s="39"/>
      <c r="L17" s="40" t="str">
        <f t="shared" si="1"/>
        <v/>
      </c>
      <c r="M17" s="37"/>
      <c r="N17" s="39"/>
      <c r="O17" s="56"/>
      <c r="P17" s="39"/>
      <c r="Q17" s="40" t="str">
        <f t="shared" si="2"/>
        <v/>
      </c>
      <c r="R17" s="37"/>
      <c r="S17" s="43" t="str">
        <f t="shared" si="3"/>
        <v/>
      </c>
      <c r="T17" s="43" t="str">
        <f t="shared" si="4"/>
        <v/>
      </c>
      <c r="U17" s="43" t="str">
        <f t="shared" si="5"/>
        <v/>
      </c>
    </row>
    <row r="18" spans="1:21" ht="15" customHeight="1" x14ac:dyDescent="0.2">
      <c r="A18" s="37"/>
      <c r="B18" s="37"/>
      <c r="C18" s="39"/>
      <c r="D18" s="39"/>
      <c r="E18" s="56"/>
      <c r="F18" s="39"/>
      <c r="G18" s="40" t="str">
        <f t="shared" si="0"/>
        <v/>
      </c>
      <c r="H18" s="37"/>
      <c r="I18" s="39"/>
      <c r="J18" s="56"/>
      <c r="K18" s="39"/>
      <c r="L18" s="40" t="str">
        <f t="shared" si="1"/>
        <v/>
      </c>
      <c r="M18" s="37"/>
      <c r="N18" s="39"/>
      <c r="O18" s="56"/>
      <c r="P18" s="39"/>
      <c r="Q18" s="40" t="str">
        <f t="shared" si="2"/>
        <v/>
      </c>
      <c r="R18" s="37"/>
      <c r="S18" s="43" t="str">
        <f t="shared" si="3"/>
        <v/>
      </c>
      <c r="T18" s="43" t="str">
        <f t="shared" si="4"/>
        <v/>
      </c>
      <c r="U18" s="43" t="str">
        <f t="shared" si="5"/>
        <v/>
      </c>
    </row>
    <row r="19" spans="1:21" ht="15" customHeight="1" x14ac:dyDescent="0.2">
      <c r="A19" s="37"/>
      <c r="B19" s="37"/>
      <c r="C19" s="39"/>
      <c r="D19" s="39"/>
      <c r="E19" s="56"/>
      <c r="F19" s="39"/>
      <c r="G19" s="40" t="str">
        <f t="shared" si="0"/>
        <v/>
      </c>
      <c r="H19" s="37"/>
      <c r="I19" s="39"/>
      <c r="J19" s="56"/>
      <c r="K19" s="39"/>
      <c r="L19" s="40" t="str">
        <f t="shared" si="1"/>
        <v/>
      </c>
      <c r="M19" s="37"/>
      <c r="N19" s="39"/>
      <c r="O19" s="56"/>
      <c r="P19" s="39"/>
      <c r="Q19" s="40" t="str">
        <f t="shared" si="2"/>
        <v/>
      </c>
      <c r="R19" s="37"/>
      <c r="S19" s="43" t="str">
        <f t="shared" si="3"/>
        <v/>
      </c>
      <c r="T19" s="43" t="str">
        <f t="shared" si="4"/>
        <v/>
      </c>
      <c r="U19" s="43" t="str">
        <f t="shared" si="5"/>
        <v/>
      </c>
    </row>
    <row r="20" spans="1:21" ht="15" customHeight="1" x14ac:dyDescent="0.2">
      <c r="A20" s="37"/>
      <c r="B20" s="37"/>
      <c r="C20" s="39"/>
      <c r="D20" s="39"/>
      <c r="E20" s="56"/>
      <c r="F20" s="39"/>
      <c r="G20" s="40" t="str">
        <f t="shared" si="0"/>
        <v/>
      </c>
      <c r="H20" s="37"/>
      <c r="I20" s="39"/>
      <c r="J20" s="56"/>
      <c r="K20" s="39"/>
      <c r="L20" s="40" t="str">
        <f t="shared" si="1"/>
        <v/>
      </c>
      <c r="M20" s="37"/>
      <c r="N20" s="39"/>
      <c r="O20" s="56"/>
      <c r="P20" s="39"/>
      <c r="Q20" s="40" t="str">
        <f t="shared" si="2"/>
        <v/>
      </c>
      <c r="R20" s="37"/>
      <c r="S20" s="43" t="str">
        <f t="shared" si="3"/>
        <v/>
      </c>
      <c r="T20" s="43" t="str">
        <f t="shared" si="4"/>
        <v/>
      </c>
      <c r="U20" s="43" t="str">
        <f t="shared" si="5"/>
        <v/>
      </c>
    </row>
    <row r="21" spans="1:21" ht="15" customHeight="1" x14ac:dyDescent="0.2">
      <c r="A21" s="37"/>
      <c r="B21" s="37"/>
      <c r="C21" s="39"/>
      <c r="D21" s="39"/>
      <c r="E21" s="56"/>
      <c r="F21" s="39"/>
      <c r="G21" s="40" t="str">
        <f t="shared" si="0"/>
        <v/>
      </c>
      <c r="H21" s="37"/>
      <c r="I21" s="39"/>
      <c r="J21" s="56"/>
      <c r="K21" s="39"/>
      <c r="L21" s="40" t="str">
        <f t="shared" si="1"/>
        <v/>
      </c>
      <c r="M21" s="37"/>
      <c r="N21" s="39"/>
      <c r="O21" s="56"/>
      <c r="P21" s="39"/>
      <c r="Q21" s="40" t="str">
        <f t="shared" si="2"/>
        <v/>
      </c>
      <c r="R21" s="37"/>
      <c r="S21" s="43" t="str">
        <f t="shared" si="3"/>
        <v/>
      </c>
      <c r="T21" s="43" t="str">
        <f t="shared" si="4"/>
        <v/>
      </c>
      <c r="U21" s="43" t="str">
        <f t="shared" si="5"/>
        <v/>
      </c>
    </row>
    <row r="22" spans="1:21" ht="15" customHeight="1" x14ac:dyDescent="0.2">
      <c r="A22" s="37"/>
      <c r="B22" s="37"/>
      <c r="C22" s="39"/>
      <c r="D22" s="39"/>
      <c r="E22" s="56"/>
      <c r="F22" s="39"/>
      <c r="G22" s="40" t="str">
        <f t="shared" si="0"/>
        <v/>
      </c>
      <c r="H22" s="37"/>
      <c r="I22" s="39"/>
      <c r="J22" s="56"/>
      <c r="K22" s="39"/>
      <c r="L22" s="40" t="str">
        <f t="shared" si="1"/>
        <v/>
      </c>
      <c r="M22" s="37"/>
      <c r="N22" s="39"/>
      <c r="O22" s="56"/>
      <c r="P22" s="39"/>
      <c r="Q22" s="40" t="str">
        <f t="shared" si="2"/>
        <v/>
      </c>
      <c r="R22" s="37"/>
      <c r="S22" s="43" t="str">
        <f t="shared" si="3"/>
        <v/>
      </c>
      <c r="T22" s="43" t="str">
        <f t="shared" si="4"/>
        <v/>
      </c>
      <c r="U22" s="43" t="str">
        <f t="shared" si="5"/>
        <v/>
      </c>
    </row>
    <row r="23" spans="1:21" ht="15" customHeight="1" x14ac:dyDescent="0.2">
      <c r="A23" s="37"/>
      <c r="B23" s="37"/>
      <c r="C23" s="39"/>
      <c r="D23" s="39"/>
      <c r="E23" s="56"/>
      <c r="F23" s="39"/>
      <c r="G23" s="40" t="str">
        <f t="shared" si="0"/>
        <v/>
      </c>
      <c r="H23" s="37"/>
      <c r="I23" s="39"/>
      <c r="J23" s="56"/>
      <c r="K23" s="39"/>
      <c r="L23" s="40" t="str">
        <f t="shared" si="1"/>
        <v/>
      </c>
      <c r="M23" s="37"/>
      <c r="N23" s="39"/>
      <c r="O23" s="56"/>
      <c r="P23" s="39"/>
      <c r="Q23" s="40" t="str">
        <f t="shared" si="2"/>
        <v/>
      </c>
      <c r="R23" s="37"/>
      <c r="S23" s="43" t="str">
        <f t="shared" si="3"/>
        <v/>
      </c>
      <c r="T23" s="43" t="str">
        <f t="shared" si="4"/>
        <v/>
      </c>
      <c r="U23" s="43" t="str">
        <f t="shared" si="5"/>
        <v/>
      </c>
    </row>
  </sheetData>
  <mergeCells count="5">
    <mergeCell ref="A1:T1"/>
    <mergeCell ref="D2:H2"/>
    <mergeCell ref="I2:M2"/>
    <mergeCell ref="N2:R2"/>
    <mergeCell ref="S2:U2"/>
  </mergeCells>
  <conditionalFormatting sqref="S4:T23">
    <cfRule type="cellIs" dxfId="19" priority="2" operator="equal">
      <formula>"PASS"</formula>
    </cfRule>
    <cfRule type="cellIs" dxfId="18" priority="3" operator="equal">
      <formula>"FAIL"</formula>
    </cfRule>
  </conditionalFormatting>
  <conditionalFormatting sqref="U4:U23">
    <cfRule type="cellIs" dxfId="17" priority="6" operator="equal">
      <formula>"OK"</formula>
    </cfRule>
    <cfRule type="cellIs" dxfId="16" priority="7" operator="equal">
      <formula>"CHECK TAGS"</formula>
    </cfRule>
  </conditionalFormatting>
  <dataValidations count="1">
    <dataValidation type="list" allowBlank="1" sqref="H4:H23 M4:M23 R4:R23" xr:uid="{00000000-0002-0000-0D00-000000000000}">
      <formula1>"Likely,Possible,Unlikely"</formula1>
      <formula2>0</formula2>
    </dataValidation>
  </dataValidations>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B23"/>
  <sheetViews>
    <sheetView showGridLines="0" zoomScaleNormal="100" workbookViewId="0">
      <pane xSplit="4" ySplit="3" topLeftCell="E4" activePane="bottomRight" state="frozen"/>
      <selection pane="topRight" activeCell="E1" sqref="E1"/>
      <selection pane="bottomLeft" activeCell="A4" sqref="A4"/>
      <selection pane="bottomRight" sqref="A1:V1"/>
    </sheetView>
  </sheetViews>
  <sheetFormatPr baseColWidth="10" defaultColWidth="8.6640625" defaultRowHeight="15" x14ac:dyDescent="0.2"/>
  <cols>
    <col min="1" max="1" width="8" customWidth="1"/>
    <col min="2" max="2" width="14" customWidth="1"/>
    <col min="3" max="25" width="9" customWidth="1"/>
    <col min="26" max="26" width="16" customWidth="1"/>
    <col min="27" max="27" width="9" customWidth="1"/>
    <col min="28" max="28" width="20" customWidth="1"/>
  </cols>
  <sheetData>
    <row r="1" spans="1:28" ht="25.5" customHeight="1" x14ac:dyDescent="0.2">
      <c r="A1" s="7" t="s">
        <v>276</v>
      </c>
      <c r="B1" s="7"/>
      <c r="C1" s="7"/>
      <c r="D1" s="7"/>
      <c r="E1" s="7"/>
      <c r="F1" s="7"/>
      <c r="G1" s="7"/>
      <c r="H1" s="7"/>
      <c r="I1" s="7"/>
      <c r="J1" s="7"/>
      <c r="K1" s="7"/>
      <c r="L1" s="7"/>
      <c r="M1" s="7"/>
      <c r="N1" s="7"/>
      <c r="O1" s="7"/>
      <c r="P1" s="7"/>
      <c r="Q1" s="7"/>
      <c r="R1" s="7"/>
      <c r="S1" s="7"/>
      <c r="T1" s="7"/>
      <c r="U1" s="7"/>
      <c r="V1" s="7"/>
    </row>
    <row r="2" spans="1:28" ht="25.5" customHeight="1" x14ac:dyDescent="0.2">
      <c r="E2" s="2" t="s">
        <v>277</v>
      </c>
      <c r="F2" s="2"/>
      <c r="G2" s="2"/>
      <c r="H2" s="2"/>
      <c r="I2" s="2"/>
      <c r="J2" s="2"/>
      <c r="K2" s="2"/>
      <c r="L2" s="2"/>
      <c r="M2" s="2"/>
      <c r="N2" s="2"/>
      <c r="O2" s="2"/>
      <c r="P2" s="2"/>
      <c r="Q2" s="2"/>
      <c r="R2" s="2"/>
      <c r="S2" s="2"/>
      <c r="T2" s="75" t="s">
        <v>278</v>
      </c>
      <c r="U2" s="75"/>
      <c r="V2" s="75"/>
      <c r="W2" s="75"/>
      <c r="X2" s="75"/>
      <c r="Y2" s="75"/>
      <c r="Z2" s="75"/>
    </row>
    <row r="3" spans="1:28" ht="27.75" customHeight="1" x14ac:dyDescent="0.2">
      <c r="A3" s="22" t="s">
        <v>57</v>
      </c>
      <c r="B3" s="22" t="s">
        <v>166</v>
      </c>
      <c r="C3" s="22" t="s">
        <v>279</v>
      </c>
      <c r="D3" s="22" t="s">
        <v>280</v>
      </c>
      <c r="E3" s="22" t="s">
        <v>281</v>
      </c>
      <c r="F3" s="22" t="s">
        <v>282</v>
      </c>
      <c r="G3" s="22" t="s">
        <v>283</v>
      </c>
      <c r="H3" s="22" t="s">
        <v>284</v>
      </c>
      <c r="I3" s="22" t="s">
        <v>285</v>
      </c>
      <c r="J3" s="22" t="s">
        <v>283</v>
      </c>
      <c r="K3" s="22" t="s">
        <v>286</v>
      </c>
      <c r="L3" s="22" t="s">
        <v>287</v>
      </c>
      <c r="M3" s="22" t="s">
        <v>283</v>
      </c>
      <c r="N3" s="22" t="s">
        <v>288</v>
      </c>
      <c r="O3" s="22" t="s">
        <v>289</v>
      </c>
      <c r="P3" s="22" t="s">
        <v>283</v>
      </c>
      <c r="Q3" s="22" t="s">
        <v>290</v>
      </c>
      <c r="R3" s="22" t="s">
        <v>291</v>
      </c>
      <c r="S3" s="22" t="s">
        <v>283</v>
      </c>
      <c r="T3" s="22" t="s">
        <v>292</v>
      </c>
      <c r="U3" s="22" t="s">
        <v>293</v>
      </c>
      <c r="V3" s="22" t="s">
        <v>294</v>
      </c>
      <c r="W3" s="22" t="s">
        <v>295</v>
      </c>
      <c r="X3" s="22" t="s">
        <v>296</v>
      </c>
      <c r="Y3" s="22" t="s">
        <v>297</v>
      </c>
      <c r="Z3" s="22" t="s">
        <v>298</v>
      </c>
      <c r="AA3" s="22" t="s">
        <v>299</v>
      </c>
      <c r="AB3" s="22" t="s">
        <v>260</v>
      </c>
    </row>
    <row r="4" spans="1:28" ht="15" customHeight="1" x14ac:dyDescent="0.2">
      <c r="A4" s="37"/>
      <c r="B4" s="37"/>
      <c r="C4" s="57"/>
      <c r="D4" s="57"/>
      <c r="E4" s="37"/>
      <c r="F4" s="37"/>
      <c r="G4" s="26" t="str">
        <f t="shared" ref="G4:G23" si="0">IF(OR(E4="",F4=""),"",IF(AND(E4&lt;=2,F4&lt;=2),"TRIGGER","OK"))</f>
        <v/>
      </c>
      <c r="H4" s="37"/>
      <c r="I4" s="37"/>
      <c r="J4" s="26" t="str">
        <f t="shared" ref="J4:J23" si="1">IF(OR(H4="",I4=""),"",IF(AND(H4&lt;=2,I4&lt;=2),"TRIGGER","OK"))</f>
        <v/>
      </c>
      <c r="K4" s="37"/>
      <c r="L4" s="37"/>
      <c r="M4" s="26" t="str">
        <f t="shared" ref="M4:M23" si="2">IF(OR(K4="",L4=""),"",IF(AND(K4&lt;=2,L4&lt;=2),"TRIGGER","OK"))</f>
        <v/>
      </c>
      <c r="N4" s="37"/>
      <c r="O4" s="37"/>
      <c r="P4" s="26" t="str">
        <f t="shared" ref="P4:P23" si="3">IF(OR(N4="",O4=""),"",IF(AND(N4&lt;=2,O4&lt;=2),"TRIGGER","OK"))</f>
        <v/>
      </c>
      <c r="Q4" s="37"/>
      <c r="R4" s="37"/>
      <c r="S4" s="26" t="str">
        <f t="shared" ref="S4:S23" si="4">IF(OR(Q4="",R4=""),"",IF(AND(Q4&lt;=2,R4&lt;=2),"TRIGGER","OK"))</f>
        <v/>
      </c>
      <c r="T4" s="56"/>
      <c r="U4" s="56"/>
      <c r="V4" s="57"/>
      <c r="W4" s="57"/>
      <c r="X4" s="37"/>
      <c r="Y4" s="37"/>
      <c r="Z4" s="26" t="str">
        <f t="shared" ref="Z4:Z23" si="5">IF(TRIM(IF(AND(T4&lt;&gt;"",T4&gt;6),"Debt/FCF&gt;6x; ","")&amp;IF(AND(U4&lt;&gt;"",V4&lt;&gt;"",U4&gt;50,V4&lt;0.15),"P/FCF&gt;50x+low growth; ","")&amp;IF(AND(W4&lt;&gt;"",W4&lt;0.07),"Implied return&lt;7%; ","")&amp;IF(AND(C4&lt;&gt;"",D4&lt;&gt;"",C4&gt;D4),"Position&gt;max; ","")&amp;IF(AND(X4&lt;&gt;"",Y4&lt;&gt;"",X4&lt;&gt;Y4,OR(Y4="Strong Buy",Y4="Buy")),"Tier downgraded; ",""))="","OK",TRIM(IF(AND(T4&lt;&gt;"",T4&gt;6),"Debt/FCF&gt;6x; ","")&amp;IF(AND(U4&lt;&gt;"",V4&lt;&gt;"",U4&gt;50,V4&lt;0.15),"P/FCF&gt;50x+low growth; ","")&amp;IF(AND(W4&lt;&gt;"",W4&lt;0.07),"Implied return&lt;7%; ","")&amp;IF(AND(C4&lt;&gt;"",D4&lt;&gt;"",C4&gt;D4),"Position&gt;max; ","")&amp;IF(AND(X4&lt;&gt;"",Y4&lt;&gt;"",X4&lt;&gt;Y4,OR(Y4="Strong Buy",Y4="Buy")),"Tier downgraded; ","")))</f>
        <v>OK</v>
      </c>
      <c r="AA4" s="37"/>
      <c r="AB4" s="43" t="str">
        <f t="shared" ref="AB4:AB23" si="6">IF(COUNTA(G4,J4,M4,P4,S4)=0,"",IF(AA4="Y","Hold Through applies — monitor only",IF(OR((COUNTIF(G4,"TRIGGER")+COUNTIF(J4,"TRIGGER")+COUNTIF(M4,"TRIGGER")+COUNTIF(P4,"TRIGGER")+COUNTIF(S4,"TRIGGER"))&gt;0,Z4&lt;&gt;"OK"),"ACTION REQUIRED WITHIN 30 DAYS","OK — no active trigger")))</f>
        <v>OK — no active trigger</v>
      </c>
    </row>
    <row r="5" spans="1:28" ht="15" customHeight="1" x14ac:dyDescent="0.2">
      <c r="A5" s="37"/>
      <c r="B5" s="37"/>
      <c r="C5" s="57"/>
      <c r="D5" s="57"/>
      <c r="E5" s="37"/>
      <c r="F5" s="37"/>
      <c r="G5" s="26" t="str">
        <f t="shared" si="0"/>
        <v/>
      </c>
      <c r="H5" s="37"/>
      <c r="I5" s="37"/>
      <c r="J5" s="26" t="str">
        <f t="shared" si="1"/>
        <v/>
      </c>
      <c r="K5" s="37"/>
      <c r="L5" s="37"/>
      <c r="M5" s="26" t="str">
        <f t="shared" si="2"/>
        <v/>
      </c>
      <c r="N5" s="37"/>
      <c r="O5" s="37"/>
      <c r="P5" s="26" t="str">
        <f t="shared" si="3"/>
        <v/>
      </c>
      <c r="Q5" s="37"/>
      <c r="R5" s="37"/>
      <c r="S5" s="26" t="str">
        <f t="shared" si="4"/>
        <v/>
      </c>
      <c r="T5" s="56"/>
      <c r="U5" s="56"/>
      <c r="V5" s="57"/>
      <c r="W5" s="57"/>
      <c r="X5" s="37"/>
      <c r="Y5" s="37"/>
      <c r="Z5" s="26" t="str">
        <f t="shared" si="5"/>
        <v>OK</v>
      </c>
      <c r="AA5" s="37"/>
      <c r="AB5" s="43" t="str">
        <f t="shared" si="6"/>
        <v>OK — no active trigger</v>
      </c>
    </row>
    <row r="6" spans="1:28" ht="15" customHeight="1" x14ac:dyDescent="0.2">
      <c r="A6" s="37"/>
      <c r="B6" s="37"/>
      <c r="C6" s="57"/>
      <c r="D6" s="57"/>
      <c r="E6" s="37"/>
      <c r="F6" s="37"/>
      <c r="G6" s="26" t="str">
        <f t="shared" si="0"/>
        <v/>
      </c>
      <c r="H6" s="37"/>
      <c r="I6" s="37"/>
      <c r="J6" s="26" t="str">
        <f t="shared" si="1"/>
        <v/>
      </c>
      <c r="K6" s="37"/>
      <c r="L6" s="37"/>
      <c r="M6" s="26" t="str">
        <f t="shared" si="2"/>
        <v/>
      </c>
      <c r="N6" s="37"/>
      <c r="O6" s="37"/>
      <c r="P6" s="26" t="str">
        <f t="shared" si="3"/>
        <v/>
      </c>
      <c r="Q6" s="37"/>
      <c r="R6" s="37"/>
      <c r="S6" s="26" t="str">
        <f t="shared" si="4"/>
        <v/>
      </c>
      <c r="T6" s="56"/>
      <c r="U6" s="56"/>
      <c r="V6" s="57"/>
      <c r="W6" s="57"/>
      <c r="X6" s="37"/>
      <c r="Y6" s="37"/>
      <c r="Z6" s="26" t="str">
        <f t="shared" si="5"/>
        <v>OK</v>
      </c>
      <c r="AA6" s="37"/>
      <c r="AB6" s="43" t="str">
        <f t="shared" si="6"/>
        <v>OK — no active trigger</v>
      </c>
    </row>
    <row r="7" spans="1:28" ht="15" customHeight="1" x14ac:dyDescent="0.2">
      <c r="A7" s="37"/>
      <c r="B7" s="37"/>
      <c r="C7" s="57"/>
      <c r="D7" s="57"/>
      <c r="E7" s="37"/>
      <c r="F7" s="37"/>
      <c r="G7" s="26" t="str">
        <f t="shared" si="0"/>
        <v/>
      </c>
      <c r="H7" s="37"/>
      <c r="I7" s="37"/>
      <c r="J7" s="26" t="str">
        <f t="shared" si="1"/>
        <v/>
      </c>
      <c r="K7" s="37"/>
      <c r="L7" s="37"/>
      <c r="M7" s="26" t="str">
        <f t="shared" si="2"/>
        <v/>
      </c>
      <c r="N7" s="37"/>
      <c r="O7" s="37"/>
      <c r="P7" s="26" t="str">
        <f t="shared" si="3"/>
        <v/>
      </c>
      <c r="Q7" s="37"/>
      <c r="R7" s="37"/>
      <c r="S7" s="26" t="str">
        <f t="shared" si="4"/>
        <v/>
      </c>
      <c r="T7" s="56"/>
      <c r="U7" s="56"/>
      <c r="V7" s="57"/>
      <c r="W7" s="57"/>
      <c r="X7" s="37"/>
      <c r="Y7" s="37"/>
      <c r="Z7" s="26" t="str">
        <f t="shared" si="5"/>
        <v>OK</v>
      </c>
      <c r="AA7" s="37"/>
      <c r="AB7" s="43" t="str">
        <f t="shared" si="6"/>
        <v>OK — no active trigger</v>
      </c>
    </row>
    <row r="8" spans="1:28" ht="15" customHeight="1" x14ac:dyDescent="0.2">
      <c r="A8" s="37"/>
      <c r="B8" s="37"/>
      <c r="C8" s="57"/>
      <c r="D8" s="57"/>
      <c r="E8" s="37"/>
      <c r="F8" s="37"/>
      <c r="G8" s="26" t="str">
        <f t="shared" si="0"/>
        <v/>
      </c>
      <c r="H8" s="37"/>
      <c r="I8" s="37"/>
      <c r="J8" s="26" t="str">
        <f t="shared" si="1"/>
        <v/>
      </c>
      <c r="K8" s="37"/>
      <c r="L8" s="37"/>
      <c r="M8" s="26" t="str">
        <f t="shared" si="2"/>
        <v/>
      </c>
      <c r="N8" s="37"/>
      <c r="O8" s="37"/>
      <c r="P8" s="26" t="str">
        <f t="shared" si="3"/>
        <v/>
      </c>
      <c r="Q8" s="37"/>
      <c r="R8" s="37"/>
      <c r="S8" s="26" t="str">
        <f t="shared" si="4"/>
        <v/>
      </c>
      <c r="T8" s="56"/>
      <c r="U8" s="56"/>
      <c r="V8" s="57"/>
      <c r="W8" s="57"/>
      <c r="X8" s="37"/>
      <c r="Y8" s="37"/>
      <c r="Z8" s="26" t="str">
        <f t="shared" si="5"/>
        <v>OK</v>
      </c>
      <c r="AA8" s="37"/>
      <c r="AB8" s="43" t="str">
        <f t="shared" si="6"/>
        <v>OK — no active trigger</v>
      </c>
    </row>
    <row r="9" spans="1:28" ht="15" customHeight="1" x14ac:dyDescent="0.2">
      <c r="A9" s="37"/>
      <c r="B9" s="37"/>
      <c r="C9" s="57"/>
      <c r="D9" s="57"/>
      <c r="E9" s="37"/>
      <c r="F9" s="37"/>
      <c r="G9" s="26" t="str">
        <f t="shared" si="0"/>
        <v/>
      </c>
      <c r="H9" s="37"/>
      <c r="I9" s="37"/>
      <c r="J9" s="26" t="str">
        <f t="shared" si="1"/>
        <v/>
      </c>
      <c r="K9" s="37"/>
      <c r="L9" s="37"/>
      <c r="M9" s="26" t="str">
        <f t="shared" si="2"/>
        <v/>
      </c>
      <c r="N9" s="37"/>
      <c r="O9" s="37"/>
      <c r="P9" s="26" t="str">
        <f t="shared" si="3"/>
        <v/>
      </c>
      <c r="Q9" s="37"/>
      <c r="R9" s="37"/>
      <c r="S9" s="26" t="str">
        <f t="shared" si="4"/>
        <v/>
      </c>
      <c r="T9" s="56"/>
      <c r="U9" s="56"/>
      <c r="V9" s="57"/>
      <c r="W9" s="57"/>
      <c r="X9" s="37"/>
      <c r="Y9" s="37"/>
      <c r="Z9" s="26" t="str">
        <f t="shared" si="5"/>
        <v>OK</v>
      </c>
      <c r="AA9" s="37"/>
      <c r="AB9" s="43" t="str">
        <f t="shared" si="6"/>
        <v>OK — no active trigger</v>
      </c>
    </row>
    <row r="10" spans="1:28" ht="15" customHeight="1" x14ac:dyDescent="0.2">
      <c r="A10" s="37"/>
      <c r="B10" s="37"/>
      <c r="C10" s="57"/>
      <c r="D10" s="57"/>
      <c r="E10" s="37"/>
      <c r="F10" s="37"/>
      <c r="G10" s="26" t="str">
        <f t="shared" si="0"/>
        <v/>
      </c>
      <c r="H10" s="37"/>
      <c r="I10" s="37"/>
      <c r="J10" s="26" t="str">
        <f t="shared" si="1"/>
        <v/>
      </c>
      <c r="K10" s="37"/>
      <c r="L10" s="37"/>
      <c r="M10" s="26" t="str">
        <f t="shared" si="2"/>
        <v/>
      </c>
      <c r="N10" s="37"/>
      <c r="O10" s="37"/>
      <c r="P10" s="26" t="str">
        <f t="shared" si="3"/>
        <v/>
      </c>
      <c r="Q10" s="37"/>
      <c r="R10" s="37"/>
      <c r="S10" s="26" t="str">
        <f t="shared" si="4"/>
        <v/>
      </c>
      <c r="T10" s="56"/>
      <c r="U10" s="56"/>
      <c r="V10" s="57"/>
      <c r="W10" s="57"/>
      <c r="X10" s="37"/>
      <c r="Y10" s="37"/>
      <c r="Z10" s="26" t="str">
        <f t="shared" si="5"/>
        <v>OK</v>
      </c>
      <c r="AA10" s="37"/>
      <c r="AB10" s="43" t="str">
        <f t="shared" si="6"/>
        <v>OK — no active trigger</v>
      </c>
    </row>
    <row r="11" spans="1:28" ht="15" customHeight="1" x14ac:dyDescent="0.2">
      <c r="A11" s="37"/>
      <c r="B11" s="37"/>
      <c r="C11" s="57"/>
      <c r="D11" s="57"/>
      <c r="E11" s="37"/>
      <c r="F11" s="37"/>
      <c r="G11" s="26" t="str">
        <f t="shared" si="0"/>
        <v/>
      </c>
      <c r="H11" s="37"/>
      <c r="I11" s="37"/>
      <c r="J11" s="26" t="str">
        <f t="shared" si="1"/>
        <v/>
      </c>
      <c r="K11" s="37"/>
      <c r="L11" s="37"/>
      <c r="M11" s="26" t="str">
        <f t="shared" si="2"/>
        <v/>
      </c>
      <c r="N11" s="37"/>
      <c r="O11" s="37"/>
      <c r="P11" s="26" t="str">
        <f t="shared" si="3"/>
        <v/>
      </c>
      <c r="Q11" s="37"/>
      <c r="R11" s="37"/>
      <c r="S11" s="26" t="str">
        <f t="shared" si="4"/>
        <v/>
      </c>
      <c r="T11" s="56"/>
      <c r="U11" s="56"/>
      <c r="V11" s="57"/>
      <c r="W11" s="57"/>
      <c r="X11" s="37"/>
      <c r="Y11" s="37"/>
      <c r="Z11" s="26" t="str">
        <f t="shared" si="5"/>
        <v>OK</v>
      </c>
      <c r="AA11" s="37"/>
      <c r="AB11" s="43" t="str">
        <f t="shared" si="6"/>
        <v>OK — no active trigger</v>
      </c>
    </row>
    <row r="12" spans="1:28" ht="15" customHeight="1" x14ac:dyDescent="0.2">
      <c r="A12" s="37"/>
      <c r="B12" s="37"/>
      <c r="C12" s="57"/>
      <c r="D12" s="57"/>
      <c r="E12" s="37"/>
      <c r="F12" s="37"/>
      <c r="G12" s="26" t="str">
        <f t="shared" si="0"/>
        <v/>
      </c>
      <c r="H12" s="37"/>
      <c r="I12" s="37"/>
      <c r="J12" s="26" t="str">
        <f t="shared" si="1"/>
        <v/>
      </c>
      <c r="K12" s="37"/>
      <c r="L12" s="37"/>
      <c r="M12" s="26" t="str">
        <f t="shared" si="2"/>
        <v/>
      </c>
      <c r="N12" s="37"/>
      <c r="O12" s="37"/>
      <c r="P12" s="26" t="str">
        <f t="shared" si="3"/>
        <v/>
      </c>
      <c r="Q12" s="37"/>
      <c r="R12" s="37"/>
      <c r="S12" s="26" t="str">
        <f t="shared" si="4"/>
        <v/>
      </c>
      <c r="T12" s="56"/>
      <c r="U12" s="56"/>
      <c r="V12" s="57"/>
      <c r="W12" s="57"/>
      <c r="X12" s="37"/>
      <c r="Y12" s="37"/>
      <c r="Z12" s="26" t="str">
        <f t="shared" si="5"/>
        <v>OK</v>
      </c>
      <c r="AA12" s="37"/>
      <c r="AB12" s="43" t="str">
        <f t="shared" si="6"/>
        <v>OK — no active trigger</v>
      </c>
    </row>
    <row r="13" spans="1:28" ht="15" customHeight="1" x14ac:dyDescent="0.2">
      <c r="A13" s="37"/>
      <c r="B13" s="37"/>
      <c r="C13" s="57"/>
      <c r="D13" s="57"/>
      <c r="E13" s="37"/>
      <c r="F13" s="37"/>
      <c r="G13" s="26" t="str">
        <f t="shared" si="0"/>
        <v/>
      </c>
      <c r="H13" s="37"/>
      <c r="I13" s="37"/>
      <c r="J13" s="26" t="str">
        <f t="shared" si="1"/>
        <v/>
      </c>
      <c r="K13" s="37"/>
      <c r="L13" s="37"/>
      <c r="M13" s="26" t="str">
        <f t="shared" si="2"/>
        <v/>
      </c>
      <c r="N13" s="37"/>
      <c r="O13" s="37"/>
      <c r="P13" s="26" t="str">
        <f t="shared" si="3"/>
        <v/>
      </c>
      <c r="Q13" s="37"/>
      <c r="R13" s="37"/>
      <c r="S13" s="26" t="str">
        <f t="shared" si="4"/>
        <v/>
      </c>
      <c r="T13" s="56"/>
      <c r="U13" s="56"/>
      <c r="V13" s="57"/>
      <c r="W13" s="57"/>
      <c r="X13" s="37"/>
      <c r="Y13" s="37"/>
      <c r="Z13" s="26" t="str">
        <f t="shared" si="5"/>
        <v>OK</v>
      </c>
      <c r="AA13" s="37"/>
      <c r="AB13" s="43" t="str">
        <f t="shared" si="6"/>
        <v>OK — no active trigger</v>
      </c>
    </row>
    <row r="14" spans="1:28" ht="15" customHeight="1" x14ac:dyDescent="0.2">
      <c r="A14" s="37"/>
      <c r="B14" s="37"/>
      <c r="C14" s="57"/>
      <c r="D14" s="57"/>
      <c r="E14" s="37"/>
      <c r="F14" s="37"/>
      <c r="G14" s="26" t="str">
        <f t="shared" si="0"/>
        <v/>
      </c>
      <c r="H14" s="37"/>
      <c r="I14" s="37"/>
      <c r="J14" s="26" t="str">
        <f t="shared" si="1"/>
        <v/>
      </c>
      <c r="K14" s="37"/>
      <c r="L14" s="37"/>
      <c r="M14" s="26" t="str">
        <f t="shared" si="2"/>
        <v/>
      </c>
      <c r="N14" s="37"/>
      <c r="O14" s="37"/>
      <c r="P14" s="26" t="str">
        <f t="shared" si="3"/>
        <v/>
      </c>
      <c r="Q14" s="37"/>
      <c r="R14" s="37"/>
      <c r="S14" s="26" t="str">
        <f t="shared" si="4"/>
        <v/>
      </c>
      <c r="T14" s="56"/>
      <c r="U14" s="56"/>
      <c r="V14" s="57"/>
      <c r="W14" s="57"/>
      <c r="X14" s="37"/>
      <c r="Y14" s="37"/>
      <c r="Z14" s="26" t="str">
        <f t="shared" si="5"/>
        <v>OK</v>
      </c>
      <c r="AA14" s="37"/>
      <c r="AB14" s="43" t="str">
        <f t="shared" si="6"/>
        <v>OK — no active trigger</v>
      </c>
    </row>
    <row r="15" spans="1:28" ht="15" customHeight="1" x14ac:dyDescent="0.2">
      <c r="A15" s="37"/>
      <c r="B15" s="37"/>
      <c r="C15" s="57"/>
      <c r="D15" s="57"/>
      <c r="E15" s="37"/>
      <c r="F15" s="37"/>
      <c r="G15" s="26" t="str">
        <f t="shared" si="0"/>
        <v/>
      </c>
      <c r="H15" s="37"/>
      <c r="I15" s="37"/>
      <c r="J15" s="26" t="str">
        <f t="shared" si="1"/>
        <v/>
      </c>
      <c r="K15" s="37"/>
      <c r="L15" s="37"/>
      <c r="M15" s="26" t="str">
        <f t="shared" si="2"/>
        <v/>
      </c>
      <c r="N15" s="37"/>
      <c r="O15" s="37"/>
      <c r="P15" s="26" t="str">
        <f t="shared" si="3"/>
        <v/>
      </c>
      <c r="Q15" s="37"/>
      <c r="R15" s="37"/>
      <c r="S15" s="26" t="str">
        <f t="shared" si="4"/>
        <v/>
      </c>
      <c r="T15" s="56"/>
      <c r="U15" s="56"/>
      <c r="V15" s="57"/>
      <c r="W15" s="57"/>
      <c r="X15" s="37"/>
      <c r="Y15" s="37"/>
      <c r="Z15" s="26" t="str">
        <f t="shared" si="5"/>
        <v>OK</v>
      </c>
      <c r="AA15" s="37"/>
      <c r="AB15" s="43" t="str">
        <f t="shared" si="6"/>
        <v>OK — no active trigger</v>
      </c>
    </row>
    <row r="16" spans="1:28" ht="15" customHeight="1" x14ac:dyDescent="0.2">
      <c r="A16" s="37"/>
      <c r="B16" s="37"/>
      <c r="C16" s="57"/>
      <c r="D16" s="57"/>
      <c r="E16" s="37"/>
      <c r="F16" s="37"/>
      <c r="G16" s="26" t="str">
        <f t="shared" si="0"/>
        <v/>
      </c>
      <c r="H16" s="37"/>
      <c r="I16" s="37"/>
      <c r="J16" s="26" t="str">
        <f t="shared" si="1"/>
        <v/>
      </c>
      <c r="K16" s="37"/>
      <c r="L16" s="37"/>
      <c r="M16" s="26" t="str">
        <f t="shared" si="2"/>
        <v/>
      </c>
      <c r="N16" s="37"/>
      <c r="O16" s="37"/>
      <c r="P16" s="26" t="str">
        <f t="shared" si="3"/>
        <v/>
      </c>
      <c r="Q16" s="37"/>
      <c r="R16" s="37"/>
      <c r="S16" s="26" t="str">
        <f t="shared" si="4"/>
        <v/>
      </c>
      <c r="T16" s="56"/>
      <c r="U16" s="56"/>
      <c r="V16" s="57"/>
      <c r="W16" s="57"/>
      <c r="X16" s="37"/>
      <c r="Y16" s="37"/>
      <c r="Z16" s="26" t="str">
        <f t="shared" si="5"/>
        <v>OK</v>
      </c>
      <c r="AA16" s="37"/>
      <c r="AB16" s="43" t="str">
        <f t="shared" si="6"/>
        <v>OK — no active trigger</v>
      </c>
    </row>
    <row r="17" spans="1:28" ht="15" customHeight="1" x14ac:dyDescent="0.2">
      <c r="A17" s="37"/>
      <c r="B17" s="37"/>
      <c r="C17" s="57"/>
      <c r="D17" s="57"/>
      <c r="E17" s="37"/>
      <c r="F17" s="37"/>
      <c r="G17" s="26" t="str">
        <f t="shared" si="0"/>
        <v/>
      </c>
      <c r="H17" s="37"/>
      <c r="I17" s="37"/>
      <c r="J17" s="26" t="str">
        <f t="shared" si="1"/>
        <v/>
      </c>
      <c r="K17" s="37"/>
      <c r="L17" s="37"/>
      <c r="M17" s="26" t="str">
        <f t="shared" si="2"/>
        <v/>
      </c>
      <c r="N17" s="37"/>
      <c r="O17" s="37"/>
      <c r="P17" s="26" t="str">
        <f t="shared" si="3"/>
        <v/>
      </c>
      <c r="Q17" s="37"/>
      <c r="R17" s="37"/>
      <c r="S17" s="26" t="str">
        <f t="shared" si="4"/>
        <v/>
      </c>
      <c r="T17" s="56"/>
      <c r="U17" s="56"/>
      <c r="V17" s="57"/>
      <c r="W17" s="57"/>
      <c r="X17" s="37"/>
      <c r="Y17" s="37"/>
      <c r="Z17" s="26" t="str">
        <f t="shared" si="5"/>
        <v>OK</v>
      </c>
      <c r="AA17" s="37"/>
      <c r="AB17" s="43" t="str">
        <f t="shared" si="6"/>
        <v>OK — no active trigger</v>
      </c>
    </row>
    <row r="18" spans="1:28" ht="15" customHeight="1" x14ac:dyDescent="0.2">
      <c r="A18" s="37"/>
      <c r="B18" s="37"/>
      <c r="C18" s="57"/>
      <c r="D18" s="57"/>
      <c r="E18" s="37"/>
      <c r="F18" s="37"/>
      <c r="G18" s="26" t="str">
        <f t="shared" si="0"/>
        <v/>
      </c>
      <c r="H18" s="37"/>
      <c r="I18" s="37"/>
      <c r="J18" s="26" t="str">
        <f t="shared" si="1"/>
        <v/>
      </c>
      <c r="K18" s="37"/>
      <c r="L18" s="37"/>
      <c r="M18" s="26" t="str">
        <f t="shared" si="2"/>
        <v/>
      </c>
      <c r="N18" s="37"/>
      <c r="O18" s="37"/>
      <c r="P18" s="26" t="str">
        <f t="shared" si="3"/>
        <v/>
      </c>
      <c r="Q18" s="37"/>
      <c r="R18" s="37"/>
      <c r="S18" s="26" t="str">
        <f t="shared" si="4"/>
        <v/>
      </c>
      <c r="T18" s="56"/>
      <c r="U18" s="56"/>
      <c r="V18" s="57"/>
      <c r="W18" s="57"/>
      <c r="X18" s="37"/>
      <c r="Y18" s="37"/>
      <c r="Z18" s="26" t="str">
        <f t="shared" si="5"/>
        <v>OK</v>
      </c>
      <c r="AA18" s="37"/>
      <c r="AB18" s="43" t="str">
        <f t="shared" si="6"/>
        <v>OK — no active trigger</v>
      </c>
    </row>
    <row r="19" spans="1:28" ht="15" customHeight="1" x14ac:dyDescent="0.2">
      <c r="A19" s="37"/>
      <c r="B19" s="37"/>
      <c r="C19" s="57"/>
      <c r="D19" s="57"/>
      <c r="E19" s="37"/>
      <c r="F19" s="37"/>
      <c r="G19" s="26" t="str">
        <f t="shared" si="0"/>
        <v/>
      </c>
      <c r="H19" s="37"/>
      <c r="I19" s="37"/>
      <c r="J19" s="26" t="str">
        <f t="shared" si="1"/>
        <v/>
      </c>
      <c r="K19" s="37"/>
      <c r="L19" s="37"/>
      <c r="M19" s="26" t="str">
        <f t="shared" si="2"/>
        <v/>
      </c>
      <c r="N19" s="37"/>
      <c r="O19" s="37"/>
      <c r="P19" s="26" t="str">
        <f t="shared" si="3"/>
        <v/>
      </c>
      <c r="Q19" s="37"/>
      <c r="R19" s="37"/>
      <c r="S19" s="26" t="str">
        <f t="shared" si="4"/>
        <v/>
      </c>
      <c r="T19" s="56"/>
      <c r="U19" s="56"/>
      <c r="V19" s="57"/>
      <c r="W19" s="57"/>
      <c r="X19" s="37"/>
      <c r="Y19" s="37"/>
      <c r="Z19" s="26" t="str">
        <f t="shared" si="5"/>
        <v>OK</v>
      </c>
      <c r="AA19" s="37"/>
      <c r="AB19" s="43" t="str">
        <f t="shared" si="6"/>
        <v>OK — no active trigger</v>
      </c>
    </row>
    <row r="20" spans="1:28" ht="15" customHeight="1" x14ac:dyDescent="0.2">
      <c r="A20" s="37"/>
      <c r="B20" s="37"/>
      <c r="C20" s="57"/>
      <c r="D20" s="57"/>
      <c r="E20" s="37"/>
      <c r="F20" s="37"/>
      <c r="G20" s="26" t="str">
        <f t="shared" si="0"/>
        <v/>
      </c>
      <c r="H20" s="37"/>
      <c r="I20" s="37"/>
      <c r="J20" s="26" t="str">
        <f t="shared" si="1"/>
        <v/>
      </c>
      <c r="K20" s="37"/>
      <c r="L20" s="37"/>
      <c r="M20" s="26" t="str">
        <f t="shared" si="2"/>
        <v/>
      </c>
      <c r="N20" s="37"/>
      <c r="O20" s="37"/>
      <c r="P20" s="26" t="str">
        <f t="shared" si="3"/>
        <v/>
      </c>
      <c r="Q20" s="37"/>
      <c r="R20" s="37"/>
      <c r="S20" s="26" t="str">
        <f t="shared" si="4"/>
        <v/>
      </c>
      <c r="T20" s="56"/>
      <c r="U20" s="56"/>
      <c r="V20" s="57"/>
      <c r="W20" s="57"/>
      <c r="X20" s="37"/>
      <c r="Y20" s="37"/>
      <c r="Z20" s="26" t="str">
        <f t="shared" si="5"/>
        <v>OK</v>
      </c>
      <c r="AA20" s="37"/>
      <c r="AB20" s="43" t="str">
        <f t="shared" si="6"/>
        <v>OK — no active trigger</v>
      </c>
    </row>
    <row r="21" spans="1:28" ht="15" customHeight="1" x14ac:dyDescent="0.2">
      <c r="A21" s="37"/>
      <c r="B21" s="37"/>
      <c r="C21" s="57"/>
      <c r="D21" s="57"/>
      <c r="E21" s="37"/>
      <c r="F21" s="37"/>
      <c r="G21" s="26" t="str">
        <f t="shared" si="0"/>
        <v/>
      </c>
      <c r="H21" s="37"/>
      <c r="I21" s="37"/>
      <c r="J21" s="26" t="str">
        <f t="shared" si="1"/>
        <v/>
      </c>
      <c r="K21" s="37"/>
      <c r="L21" s="37"/>
      <c r="M21" s="26" t="str">
        <f t="shared" si="2"/>
        <v/>
      </c>
      <c r="N21" s="37"/>
      <c r="O21" s="37"/>
      <c r="P21" s="26" t="str">
        <f t="shared" si="3"/>
        <v/>
      </c>
      <c r="Q21" s="37"/>
      <c r="R21" s="37"/>
      <c r="S21" s="26" t="str">
        <f t="shared" si="4"/>
        <v/>
      </c>
      <c r="T21" s="56"/>
      <c r="U21" s="56"/>
      <c r="V21" s="57"/>
      <c r="W21" s="57"/>
      <c r="X21" s="37"/>
      <c r="Y21" s="37"/>
      <c r="Z21" s="26" t="str">
        <f t="shared" si="5"/>
        <v>OK</v>
      </c>
      <c r="AA21" s="37"/>
      <c r="AB21" s="43" t="str">
        <f t="shared" si="6"/>
        <v>OK — no active trigger</v>
      </c>
    </row>
    <row r="22" spans="1:28" ht="15" customHeight="1" x14ac:dyDescent="0.2">
      <c r="A22" s="37"/>
      <c r="B22" s="37"/>
      <c r="C22" s="57"/>
      <c r="D22" s="57"/>
      <c r="E22" s="37"/>
      <c r="F22" s="37"/>
      <c r="G22" s="26" t="str">
        <f t="shared" si="0"/>
        <v/>
      </c>
      <c r="H22" s="37"/>
      <c r="I22" s="37"/>
      <c r="J22" s="26" t="str">
        <f t="shared" si="1"/>
        <v/>
      </c>
      <c r="K22" s="37"/>
      <c r="L22" s="37"/>
      <c r="M22" s="26" t="str">
        <f t="shared" si="2"/>
        <v/>
      </c>
      <c r="N22" s="37"/>
      <c r="O22" s="37"/>
      <c r="P22" s="26" t="str">
        <f t="shared" si="3"/>
        <v/>
      </c>
      <c r="Q22" s="37"/>
      <c r="R22" s="37"/>
      <c r="S22" s="26" t="str">
        <f t="shared" si="4"/>
        <v/>
      </c>
      <c r="T22" s="56"/>
      <c r="U22" s="56"/>
      <c r="V22" s="57"/>
      <c r="W22" s="57"/>
      <c r="X22" s="37"/>
      <c r="Y22" s="37"/>
      <c r="Z22" s="26" t="str">
        <f t="shared" si="5"/>
        <v>OK</v>
      </c>
      <c r="AA22" s="37"/>
      <c r="AB22" s="43" t="str">
        <f t="shared" si="6"/>
        <v>OK — no active trigger</v>
      </c>
    </row>
    <row r="23" spans="1:28" ht="15" customHeight="1" x14ac:dyDescent="0.2">
      <c r="A23" s="37"/>
      <c r="B23" s="37"/>
      <c r="C23" s="57"/>
      <c r="D23" s="57"/>
      <c r="E23" s="37"/>
      <c r="F23" s="37"/>
      <c r="G23" s="26" t="str">
        <f t="shared" si="0"/>
        <v/>
      </c>
      <c r="H23" s="37"/>
      <c r="I23" s="37"/>
      <c r="J23" s="26" t="str">
        <f t="shared" si="1"/>
        <v/>
      </c>
      <c r="K23" s="37"/>
      <c r="L23" s="37"/>
      <c r="M23" s="26" t="str">
        <f t="shared" si="2"/>
        <v/>
      </c>
      <c r="N23" s="37"/>
      <c r="O23" s="37"/>
      <c r="P23" s="26" t="str">
        <f t="shared" si="3"/>
        <v/>
      </c>
      <c r="Q23" s="37"/>
      <c r="R23" s="37"/>
      <c r="S23" s="26" t="str">
        <f t="shared" si="4"/>
        <v/>
      </c>
      <c r="T23" s="56"/>
      <c r="U23" s="56"/>
      <c r="V23" s="57"/>
      <c r="W23" s="57"/>
      <c r="X23" s="37"/>
      <c r="Y23" s="37"/>
      <c r="Z23" s="26" t="str">
        <f t="shared" si="5"/>
        <v>OK</v>
      </c>
      <c r="AA23" s="37"/>
      <c r="AB23" s="43" t="str">
        <f t="shared" si="6"/>
        <v>OK — no active trigger</v>
      </c>
    </row>
  </sheetData>
  <mergeCells count="3">
    <mergeCell ref="A1:V1"/>
    <mergeCell ref="E2:S2"/>
    <mergeCell ref="T2:Z2"/>
  </mergeCells>
  <conditionalFormatting sqref="G4:G23">
    <cfRule type="cellIs" dxfId="15" priority="2" operator="equal">
      <formula>"TRIGGER"</formula>
    </cfRule>
    <cfRule type="cellIs" dxfId="14" priority="3" operator="equal">
      <formula>"OK"</formula>
    </cfRule>
  </conditionalFormatting>
  <conditionalFormatting sqref="J4:J23">
    <cfRule type="cellIs" dxfId="13" priority="4" operator="equal">
      <formula>"TRIGGER"</formula>
    </cfRule>
    <cfRule type="cellIs" dxfId="12" priority="5" operator="equal">
      <formula>"OK"</formula>
    </cfRule>
  </conditionalFormatting>
  <conditionalFormatting sqref="M4:M23">
    <cfRule type="cellIs" dxfId="11" priority="6" operator="equal">
      <formula>"TRIGGER"</formula>
    </cfRule>
    <cfRule type="cellIs" dxfId="10" priority="7" operator="equal">
      <formula>"OK"</formula>
    </cfRule>
  </conditionalFormatting>
  <conditionalFormatting sqref="P4:P23">
    <cfRule type="cellIs" dxfId="9" priority="8" operator="equal">
      <formula>"TRIGGER"</formula>
    </cfRule>
    <cfRule type="cellIs" dxfId="8" priority="9" operator="equal">
      <formula>"OK"</formula>
    </cfRule>
  </conditionalFormatting>
  <conditionalFormatting sqref="S4:S23">
    <cfRule type="cellIs" dxfId="7" priority="10" operator="equal">
      <formula>"TRIGGER"</formula>
    </cfRule>
    <cfRule type="cellIs" dxfId="6" priority="11" operator="equal">
      <formula>"OK"</formula>
    </cfRule>
  </conditionalFormatting>
  <conditionalFormatting sqref="Z4:Z23">
    <cfRule type="expression" dxfId="5" priority="12">
      <formula>Z4&lt;&gt;"OK"</formula>
    </cfRule>
  </conditionalFormatting>
  <conditionalFormatting sqref="AB4:AB23">
    <cfRule type="expression" dxfId="4" priority="13">
      <formula>ISNUMBER(SEARCH("ACTION REQUIRED",AB4))</formula>
    </cfRule>
    <cfRule type="expression" dxfId="3" priority="14">
      <formula>ISNUMBER(SEARCH("OK",AB4))</formula>
    </cfRule>
    <cfRule type="expression" dxfId="2" priority="15">
      <formula>ISNUMBER(SEARCH("Hold Through",AB4))</formula>
    </cfRule>
  </conditionalFormatting>
  <dataValidations count="2">
    <dataValidation type="list" allowBlank="1" sqref="AA4:AA23" xr:uid="{00000000-0002-0000-0E00-000000000000}">
      <formula1>"Y,N"</formula1>
      <formula2>0</formula2>
    </dataValidation>
    <dataValidation type="list" allowBlank="1" sqref="X4:Y23" xr:uid="{00000000-0002-0000-0E00-000001000000}">
      <formula1>"Strong Buy,Buy,Watch List,Avoid,Pass"</formula1>
      <formula2>0</formula2>
    </dataValidation>
  </dataValidation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4"/>
  <sheetViews>
    <sheetView showGridLines="0" zoomScaleNormal="100" workbookViewId="0">
      <pane ySplit="2" topLeftCell="A3" activePane="bottomLeft" state="frozen"/>
      <selection pane="bottomLeft" sqref="A1:Q1"/>
    </sheetView>
  </sheetViews>
  <sheetFormatPr baseColWidth="10" defaultColWidth="8.6640625" defaultRowHeight="15" x14ac:dyDescent="0.2"/>
  <cols>
    <col min="1" max="1" width="8" customWidth="1"/>
    <col min="2" max="2" width="14" customWidth="1"/>
    <col min="3" max="3" width="11" customWidth="1"/>
    <col min="4" max="4" width="9" customWidth="1"/>
    <col min="5" max="5" width="8" customWidth="1"/>
    <col min="6" max="6" width="9" customWidth="1"/>
    <col min="7" max="7" width="12" customWidth="1"/>
    <col min="8" max="8" width="10" customWidth="1"/>
    <col min="9" max="10" width="11" customWidth="1"/>
    <col min="11" max="11" width="9" customWidth="1"/>
    <col min="12" max="12" width="20" customWidth="1"/>
    <col min="13" max="14" width="11" customWidth="1"/>
    <col min="15" max="16" width="12" customWidth="1"/>
    <col min="17" max="17" width="11" customWidth="1"/>
  </cols>
  <sheetData>
    <row r="1" spans="1:17" ht="25.5" customHeight="1" x14ac:dyDescent="0.2">
      <c r="A1" s="7" t="s">
        <v>300</v>
      </c>
      <c r="B1" s="7"/>
      <c r="C1" s="7"/>
      <c r="D1" s="7"/>
      <c r="E1" s="7"/>
      <c r="F1" s="7"/>
      <c r="G1" s="7"/>
      <c r="H1" s="7"/>
      <c r="I1" s="7"/>
      <c r="J1" s="7"/>
      <c r="K1" s="7"/>
      <c r="L1" s="7"/>
      <c r="M1" s="7"/>
      <c r="N1" s="7"/>
      <c r="O1" s="7"/>
      <c r="P1" s="7"/>
      <c r="Q1" s="7"/>
    </row>
    <row r="2" spans="1:17" ht="31.5" customHeight="1" x14ac:dyDescent="0.2">
      <c r="A2" s="22" t="s">
        <v>57</v>
      </c>
      <c r="B2" s="22" t="s">
        <v>166</v>
      </c>
      <c r="C2" s="22" t="s">
        <v>301</v>
      </c>
      <c r="D2" s="22" t="s">
        <v>302</v>
      </c>
      <c r="E2" s="22" t="s">
        <v>254</v>
      </c>
      <c r="F2" s="22" t="s">
        <v>303</v>
      </c>
      <c r="G2" s="22" t="s">
        <v>304</v>
      </c>
      <c r="H2" s="22" t="s">
        <v>305</v>
      </c>
      <c r="I2" s="22" t="s">
        <v>306</v>
      </c>
      <c r="J2" s="22" t="s">
        <v>307</v>
      </c>
      <c r="K2" s="22" t="s">
        <v>308</v>
      </c>
      <c r="L2" s="22" t="s">
        <v>309</v>
      </c>
      <c r="M2" s="22" t="s">
        <v>310</v>
      </c>
      <c r="N2" s="22" t="s">
        <v>311</v>
      </c>
      <c r="O2" s="22" t="s">
        <v>312</v>
      </c>
      <c r="P2" s="22" t="s">
        <v>313</v>
      </c>
      <c r="Q2" s="22" t="s">
        <v>314</v>
      </c>
    </row>
    <row r="3" spans="1:17" ht="15" customHeight="1" x14ac:dyDescent="0.2">
      <c r="A3" s="37"/>
      <c r="B3" s="37"/>
      <c r="C3" s="41"/>
      <c r="D3" s="39"/>
      <c r="E3" s="37"/>
      <c r="F3" s="37"/>
      <c r="G3" s="37"/>
      <c r="H3" s="39"/>
      <c r="I3" s="37"/>
      <c r="J3" s="41"/>
      <c r="K3" s="39"/>
      <c r="L3" s="37"/>
      <c r="M3" s="39"/>
      <c r="N3" s="39"/>
      <c r="O3" s="40" t="str">
        <f t="shared" ref="O3:O32" si="0">IF(OR(D3="",M3=""),"",M3/D3-1)</f>
        <v/>
      </c>
      <c r="P3" s="29" t="str">
        <f t="shared" ref="P3:P32" si="1">IF(OR(H3="",N3=""),"",N3/H3-1)</f>
        <v/>
      </c>
      <c r="Q3" s="40" t="str">
        <f t="shared" ref="Q3:Q32" si="2">IF(OR(O3="",P3=""),"",O3-P3)</f>
        <v/>
      </c>
    </row>
    <row r="4" spans="1:17" ht="15" customHeight="1" x14ac:dyDescent="0.2">
      <c r="A4" s="37"/>
      <c r="B4" s="37"/>
      <c r="C4" s="41"/>
      <c r="D4" s="39"/>
      <c r="E4" s="37"/>
      <c r="F4" s="37"/>
      <c r="G4" s="37"/>
      <c r="H4" s="39"/>
      <c r="I4" s="37"/>
      <c r="J4" s="41"/>
      <c r="K4" s="39"/>
      <c r="L4" s="37"/>
      <c r="M4" s="39"/>
      <c r="N4" s="39"/>
      <c r="O4" s="40" t="str">
        <f t="shared" si="0"/>
        <v/>
      </c>
      <c r="P4" s="29" t="str">
        <f t="shared" si="1"/>
        <v/>
      </c>
      <c r="Q4" s="40" t="str">
        <f t="shared" si="2"/>
        <v/>
      </c>
    </row>
    <row r="5" spans="1:17" ht="15" customHeight="1" x14ac:dyDescent="0.2">
      <c r="A5" s="37"/>
      <c r="B5" s="37"/>
      <c r="C5" s="41"/>
      <c r="D5" s="39"/>
      <c r="E5" s="37"/>
      <c r="F5" s="37"/>
      <c r="G5" s="37"/>
      <c r="H5" s="39"/>
      <c r="I5" s="37"/>
      <c r="J5" s="41"/>
      <c r="K5" s="39"/>
      <c r="L5" s="37"/>
      <c r="M5" s="39"/>
      <c r="N5" s="39"/>
      <c r="O5" s="40" t="str">
        <f t="shared" si="0"/>
        <v/>
      </c>
      <c r="P5" s="29" t="str">
        <f t="shared" si="1"/>
        <v/>
      </c>
      <c r="Q5" s="40" t="str">
        <f t="shared" si="2"/>
        <v/>
      </c>
    </row>
    <row r="6" spans="1:17" ht="15" customHeight="1" x14ac:dyDescent="0.2">
      <c r="A6" s="37"/>
      <c r="B6" s="37"/>
      <c r="C6" s="41"/>
      <c r="D6" s="39"/>
      <c r="E6" s="37"/>
      <c r="F6" s="37"/>
      <c r="G6" s="37"/>
      <c r="H6" s="39"/>
      <c r="I6" s="37"/>
      <c r="J6" s="41"/>
      <c r="K6" s="39"/>
      <c r="L6" s="37"/>
      <c r="M6" s="39"/>
      <c r="N6" s="39"/>
      <c r="O6" s="40" t="str">
        <f t="shared" si="0"/>
        <v/>
      </c>
      <c r="P6" s="29" t="str">
        <f t="shared" si="1"/>
        <v/>
      </c>
      <c r="Q6" s="40" t="str">
        <f t="shared" si="2"/>
        <v/>
      </c>
    </row>
    <row r="7" spans="1:17" ht="15" customHeight="1" x14ac:dyDescent="0.2">
      <c r="A7" s="37"/>
      <c r="B7" s="37"/>
      <c r="C7" s="41"/>
      <c r="D7" s="39"/>
      <c r="E7" s="37"/>
      <c r="F7" s="37"/>
      <c r="G7" s="37"/>
      <c r="H7" s="39"/>
      <c r="I7" s="37"/>
      <c r="J7" s="41"/>
      <c r="K7" s="39"/>
      <c r="L7" s="37"/>
      <c r="M7" s="39"/>
      <c r="N7" s="39"/>
      <c r="O7" s="40" t="str">
        <f t="shared" si="0"/>
        <v/>
      </c>
      <c r="P7" s="29" t="str">
        <f t="shared" si="1"/>
        <v/>
      </c>
      <c r="Q7" s="40" t="str">
        <f t="shared" si="2"/>
        <v/>
      </c>
    </row>
    <row r="8" spans="1:17" ht="15" customHeight="1" x14ac:dyDescent="0.2">
      <c r="A8" s="37"/>
      <c r="B8" s="37"/>
      <c r="C8" s="41"/>
      <c r="D8" s="39"/>
      <c r="E8" s="37"/>
      <c r="F8" s="37"/>
      <c r="G8" s="37"/>
      <c r="H8" s="39"/>
      <c r="I8" s="37"/>
      <c r="J8" s="41"/>
      <c r="K8" s="39"/>
      <c r="L8" s="37"/>
      <c r="M8" s="39"/>
      <c r="N8" s="39"/>
      <c r="O8" s="40" t="str">
        <f t="shared" si="0"/>
        <v/>
      </c>
      <c r="P8" s="29" t="str">
        <f t="shared" si="1"/>
        <v/>
      </c>
      <c r="Q8" s="40" t="str">
        <f t="shared" si="2"/>
        <v/>
      </c>
    </row>
    <row r="9" spans="1:17" ht="15" customHeight="1" x14ac:dyDescent="0.2">
      <c r="A9" s="37"/>
      <c r="B9" s="37"/>
      <c r="C9" s="41"/>
      <c r="D9" s="39"/>
      <c r="E9" s="37"/>
      <c r="F9" s="37"/>
      <c r="G9" s="37"/>
      <c r="H9" s="39"/>
      <c r="I9" s="37"/>
      <c r="J9" s="41"/>
      <c r="K9" s="39"/>
      <c r="L9" s="37"/>
      <c r="M9" s="39"/>
      <c r="N9" s="39"/>
      <c r="O9" s="40" t="str">
        <f t="shared" si="0"/>
        <v/>
      </c>
      <c r="P9" s="29" t="str">
        <f t="shared" si="1"/>
        <v/>
      </c>
      <c r="Q9" s="40" t="str">
        <f t="shared" si="2"/>
        <v/>
      </c>
    </row>
    <row r="10" spans="1:17" ht="15" customHeight="1" x14ac:dyDescent="0.2">
      <c r="A10" s="37"/>
      <c r="B10" s="37"/>
      <c r="C10" s="41"/>
      <c r="D10" s="39"/>
      <c r="E10" s="37"/>
      <c r="F10" s="37"/>
      <c r="G10" s="37"/>
      <c r="H10" s="39"/>
      <c r="I10" s="37"/>
      <c r="J10" s="41"/>
      <c r="K10" s="39"/>
      <c r="L10" s="37"/>
      <c r="M10" s="39"/>
      <c r="N10" s="39"/>
      <c r="O10" s="40" t="str">
        <f t="shared" si="0"/>
        <v/>
      </c>
      <c r="P10" s="29" t="str">
        <f t="shared" si="1"/>
        <v/>
      </c>
      <c r="Q10" s="40" t="str">
        <f t="shared" si="2"/>
        <v/>
      </c>
    </row>
    <row r="11" spans="1:17" ht="15" customHeight="1" x14ac:dyDescent="0.2">
      <c r="A11" s="37"/>
      <c r="B11" s="37"/>
      <c r="C11" s="41"/>
      <c r="D11" s="39"/>
      <c r="E11" s="37"/>
      <c r="F11" s="37"/>
      <c r="G11" s="37"/>
      <c r="H11" s="39"/>
      <c r="I11" s="37"/>
      <c r="J11" s="41"/>
      <c r="K11" s="39"/>
      <c r="L11" s="37"/>
      <c r="M11" s="39"/>
      <c r="N11" s="39"/>
      <c r="O11" s="40" t="str">
        <f t="shared" si="0"/>
        <v/>
      </c>
      <c r="P11" s="29" t="str">
        <f t="shared" si="1"/>
        <v/>
      </c>
      <c r="Q11" s="40" t="str">
        <f t="shared" si="2"/>
        <v/>
      </c>
    </row>
    <row r="12" spans="1:17" ht="15" customHeight="1" x14ac:dyDescent="0.2">
      <c r="A12" s="37"/>
      <c r="B12" s="37"/>
      <c r="C12" s="41"/>
      <c r="D12" s="39"/>
      <c r="E12" s="37"/>
      <c r="F12" s="37"/>
      <c r="G12" s="37"/>
      <c r="H12" s="39"/>
      <c r="I12" s="37"/>
      <c r="J12" s="41"/>
      <c r="K12" s="39"/>
      <c r="L12" s="37"/>
      <c r="M12" s="39"/>
      <c r="N12" s="39"/>
      <c r="O12" s="40" t="str">
        <f t="shared" si="0"/>
        <v/>
      </c>
      <c r="P12" s="29" t="str">
        <f t="shared" si="1"/>
        <v/>
      </c>
      <c r="Q12" s="40" t="str">
        <f t="shared" si="2"/>
        <v/>
      </c>
    </row>
    <row r="13" spans="1:17" ht="15" customHeight="1" x14ac:dyDescent="0.2">
      <c r="A13" s="37"/>
      <c r="B13" s="37"/>
      <c r="C13" s="41"/>
      <c r="D13" s="39"/>
      <c r="E13" s="37"/>
      <c r="F13" s="37"/>
      <c r="G13" s="37"/>
      <c r="H13" s="39"/>
      <c r="I13" s="37"/>
      <c r="J13" s="41"/>
      <c r="K13" s="39"/>
      <c r="L13" s="37"/>
      <c r="M13" s="39"/>
      <c r="N13" s="39"/>
      <c r="O13" s="40" t="str">
        <f t="shared" si="0"/>
        <v/>
      </c>
      <c r="P13" s="29" t="str">
        <f t="shared" si="1"/>
        <v/>
      </c>
      <c r="Q13" s="40" t="str">
        <f t="shared" si="2"/>
        <v/>
      </c>
    </row>
    <row r="14" spans="1:17" ht="15" customHeight="1" x14ac:dyDescent="0.2">
      <c r="A14" s="37"/>
      <c r="B14" s="37"/>
      <c r="C14" s="41"/>
      <c r="D14" s="39"/>
      <c r="E14" s="37"/>
      <c r="F14" s="37"/>
      <c r="G14" s="37"/>
      <c r="H14" s="39"/>
      <c r="I14" s="37"/>
      <c r="J14" s="41"/>
      <c r="K14" s="39"/>
      <c r="L14" s="37"/>
      <c r="M14" s="39"/>
      <c r="N14" s="39"/>
      <c r="O14" s="40" t="str">
        <f t="shared" si="0"/>
        <v/>
      </c>
      <c r="P14" s="29" t="str">
        <f t="shared" si="1"/>
        <v/>
      </c>
      <c r="Q14" s="40" t="str">
        <f t="shared" si="2"/>
        <v/>
      </c>
    </row>
    <row r="15" spans="1:17" ht="15" customHeight="1" x14ac:dyDescent="0.2">
      <c r="A15" s="37"/>
      <c r="B15" s="37"/>
      <c r="C15" s="41"/>
      <c r="D15" s="39"/>
      <c r="E15" s="37"/>
      <c r="F15" s="37"/>
      <c r="G15" s="37"/>
      <c r="H15" s="39"/>
      <c r="I15" s="37"/>
      <c r="J15" s="41"/>
      <c r="K15" s="39"/>
      <c r="L15" s="37"/>
      <c r="M15" s="39"/>
      <c r="N15" s="39"/>
      <c r="O15" s="40" t="str">
        <f t="shared" si="0"/>
        <v/>
      </c>
      <c r="P15" s="29" t="str">
        <f t="shared" si="1"/>
        <v/>
      </c>
      <c r="Q15" s="40" t="str">
        <f t="shared" si="2"/>
        <v/>
      </c>
    </row>
    <row r="16" spans="1:17" ht="15" customHeight="1" x14ac:dyDescent="0.2">
      <c r="A16" s="37"/>
      <c r="B16" s="37"/>
      <c r="C16" s="41"/>
      <c r="D16" s="39"/>
      <c r="E16" s="37"/>
      <c r="F16" s="37"/>
      <c r="G16" s="37"/>
      <c r="H16" s="39"/>
      <c r="I16" s="37"/>
      <c r="J16" s="41"/>
      <c r="K16" s="39"/>
      <c r="L16" s="37"/>
      <c r="M16" s="39"/>
      <c r="N16" s="39"/>
      <c r="O16" s="40" t="str">
        <f t="shared" si="0"/>
        <v/>
      </c>
      <c r="P16" s="29" t="str">
        <f t="shared" si="1"/>
        <v/>
      </c>
      <c r="Q16" s="40" t="str">
        <f t="shared" si="2"/>
        <v/>
      </c>
    </row>
    <row r="17" spans="1:17" ht="15" customHeight="1" x14ac:dyDescent="0.2">
      <c r="A17" s="37"/>
      <c r="B17" s="37"/>
      <c r="C17" s="41"/>
      <c r="D17" s="39"/>
      <c r="E17" s="37"/>
      <c r="F17" s="37"/>
      <c r="G17" s="37"/>
      <c r="H17" s="39"/>
      <c r="I17" s="37"/>
      <c r="J17" s="41"/>
      <c r="K17" s="39"/>
      <c r="L17" s="37"/>
      <c r="M17" s="39"/>
      <c r="N17" s="39"/>
      <c r="O17" s="40" t="str">
        <f t="shared" si="0"/>
        <v/>
      </c>
      <c r="P17" s="29" t="str">
        <f t="shared" si="1"/>
        <v/>
      </c>
      <c r="Q17" s="40" t="str">
        <f t="shared" si="2"/>
        <v/>
      </c>
    </row>
    <row r="18" spans="1:17" ht="15" customHeight="1" x14ac:dyDescent="0.2">
      <c r="A18" s="37"/>
      <c r="B18" s="37"/>
      <c r="C18" s="41"/>
      <c r="D18" s="39"/>
      <c r="E18" s="37"/>
      <c r="F18" s="37"/>
      <c r="G18" s="37"/>
      <c r="H18" s="39"/>
      <c r="I18" s="37"/>
      <c r="J18" s="41"/>
      <c r="K18" s="39"/>
      <c r="L18" s="37"/>
      <c r="M18" s="39"/>
      <c r="N18" s="39"/>
      <c r="O18" s="40" t="str">
        <f t="shared" si="0"/>
        <v/>
      </c>
      <c r="P18" s="29" t="str">
        <f t="shared" si="1"/>
        <v/>
      </c>
      <c r="Q18" s="40" t="str">
        <f t="shared" si="2"/>
        <v/>
      </c>
    </row>
    <row r="19" spans="1:17" ht="15" customHeight="1" x14ac:dyDescent="0.2">
      <c r="A19" s="37"/>
      <c r="B19" s="37"/>
      <c r="C19" s="41"/>
      <c r="D19" s="39"/>
      <c r="E19" s="37"/>
      <c r="F19" s="37"/>
      <c r="G19" s="37"/>
      <c r="H19" s="39"/>
      <c r="I19" s="37"/>
      <c r="J19" s="41"/>
      <c r="K19" s="39"/>
      <c r="L19" s="37"/>
      <c r="M19" s="39"/>
      <c r="N19" s="39"/>
      <c r="O19" s="40" t="str">
        <f t="shared" si="0"/>
        <v/>
      </c>
      <c r="P19" s="29" t="str">
        <f t="shared" si="1"/>
        <v/>
      </c>
      <c r="Q19" s="40" t="str">
        <f t="shared" si="2"/>
        <v/>
      </c>
    </row>
    <row r="20" spans="1:17" ht="15" customHeight="1" x14ac:dyDescent="0.2">
      <c r="A20" s="37"/>
      <c r="B20" s="37"/>
      <c r="C20" s="41"/>
      <c r="D20" s="39"/>
      <c r="E20" s="37"/>
      <c r="F20" s="37"/>
      <c r="G20" s="37"/>
      <c r="H20" s="39"/>
      <c r="I20" s="37"/>
      <c r="J20" s="41"/>
      <c r="K20" s="39"/>
      <c r="L20" s="37"/>
      <c r="M20" s="39"/>
      <c r="N20" s="39"/>
      <c r="O20" s="40" t="str">
        <f t="shared" si="0"/>
        <v/>
      </c>
      <c r="P20" s="29" t="str">
        <f t="shared" si="1"/>
        <v/>
      </c>
      <c r="Q20" s="40" t="str">
        <f t="shared" si="2"/>
        <v/>
      </c>
    </row>
    <row r="21" spans="1:17" ht="15" customHeight="1" x14ac:dyDescent="0.2">
      <c r="A21" s="37"/>
      <c r="B21" s="37"/>
      <c r="C21" s="41"/>
      <c r="D21" s="39"/>
      <c r="E21" s="37"/>
      <c r="F21" s="37"/>
      <c r="G21" s="37"/>
      <c r="H21" s="39"/>
      <c r="I21" s="37"/>
      <c r="J21" s="41"/>
      <c r="K21" s="39"/>
      <c r="L21" s="37"/>
      <c r="M21" s="39"/>
      <c r="N21" s="39"/>
      <c r="O21" s="40" t="str">
        <f t="shared" si="0"/>
        <v/>
      </c>
      <c r="P21" s="29" t="str">
        <f t="shared" si="1"/>
        <v/>
      </c>
      <c r="Q21" s="40" t="str">
        <f t="shared" si="2"/>
        <v/>
      </c>
    </row>
    <row r="22" spans="1:17" ht="15" customHeight="1" x14ac:dyDescent="0.2">
      <c r="A22" s="37"/>
      <c r="B22" s="37"/>
      <c r="C22" s="41"/>
      <c r="D22" s="39"/>
      <c r="E22" s="37"/>
      <c r="F22" s="37"/>
      <c r="G22" s="37"/>
      <c r="H22" s="39"/>
      <c r="I22" s="37"/>
      <c r="J22" s="41"/>
      <c r="K22" s="39"/>
      <c r="L22" s="37"/>
      <c r="M22" s="39"/>
      <c r="N22" s="39"/>
      <c r="O22" s="40" t="str">
        <f t="shared" si="0"/>
        <v/>
      </c>
      <c r="P22" s="29" t="str">
        <f t="shared" si="1"/>
        <v/>
      </c>
      <c r="Q22" s="40" t="str">
        <f t="shared" si="2"/>
        <v/>
      </c>
    </row>
    <row r="23" spans="1:17" ht="15" customHeight="1" x14ac:dyDescent="0.2">
      <c r="A23" s="37"/>
      <c r="B23" s="37"/>
      <c r="C23" s="41"/>
      <c r="D23" s="39"/>
      <c r="E23" s="37"/>
      <c r="F23" s="37"/>
      <c r="G23" s="37"/>
      <c r="H23" s="39"/>
      <c r="I23" s="37"/>
      <c r="J23" s="41"/>
      <c r="K23" s="39"/>
      <c r="L23" s="37"/>
      <c r="M23" s="39"/>
      <c r="N23" s="39"/>
      <c r="O23" s="40" t="str">
        <f t="shared" si="0"/>
        <v/>
      </c>
      <c r="P23" s="29" t="str">
        <f t="shared" si="1"/>
        <v/>
      </c>
      <c r="Q23" s="40" t="str">
        <f t="shared" si="2"/>
        <v/>
      </c>
    </row>
    <row r="24" spans="1:17" ht="15" customHeight="1" x14ac:dyDescent="0.2">
      <c r="A24" s="37"/>
      <c r="B24" s="37"/>
      <c r="C24" s="41"/>
      <c r="D24" s="39"/>
      <c r="E24" s="37"/>
      <c r="F24" s="37"/>
      <c r="G24" s="37"/>
      <c r="H24" s="39"/>
      <c r="I24" s="37"/>
      <c r="J24" s="41"/>
      <c r="K24" s="39"/>
      <c r="L24" s="37"/>
      <c r="M24" s="39"/>
      <c r="N24" s="39"/>
      <c r="O24" s="40" t="str">
        <f t="shared" si="0"/>
        <v/>
      </c>
      <c r="P24" s="29" t="str">
        <f t="shared" si="1"/>
        <v/>
      </c>
      <c r="Q24" s="40" t="str">
        <f t="shared" si="2"/>
        <v/>
      </c>
    </row>
    <row r="25" spans="1:17" ht="15" customHeight="1" x14ac:dyDescent="0.2">
      <c r="A25" s="37"/>
      <c r="B25" s="37"/>
      <c r="C25" s="41"/>
      <c r="D25" s="39"/>
      <c r="E25" s="37"/>
      <c r="F25" s="37"/>
      <c r="G25" s="37"/>
      <c r="H25" s="39"/>
      <c r="I25" s="37"/>
      <c r="J25" s="41"/>
      <c r="K25" s="39"/>
      <c r="L25" s="37"/>
      <c r="M25" s="39"/>
      <c r="N25" s="39"/>
      <c r="O25" s="40" t="str">
        <f t="shared" si="0"/>
        <v/>
      </c>
      <c r="P25" s="29" t="str">
        <f t="shared" si="1"/>
        <v/>
      </c>
      <c r="Q25" s="40" t="str">
        <f t="shared" si="2"/>
        <v/>
      </c>
    </row>
    <row r="26" spans="1:17" ht="15" customHeight="1" x14ac:dyDescent="0.2">
      <c r="A26" s="37"/>
      <c r="B26" s="37"/>
      <c r="C26" s="41"/>
      <c r="D26" s="39"/>
      <c r="E26" s="37"/>
      <c r="F26" s="37"/>
      <c r="G26" s="37"/>
      <c r="H26" s="39"/>
      <c r="I26" s="37"/>
      <c r="J26" s="41"/>
      <c r="K26" s="39"/>
      <c r="L26" s="37"/>
      <c r="M26" s="39"/>
      <c r="N26" s="39"/>
      <c r="O26" s="40" t="str">
        <f t="shared" si="0"/>
        <v/>
      </c>
      <c r="P26" s="29" t="str">
        <f t="shared" si="1"/>
        <v/>
      </c>
      <c r="Q26" s="40" t="str">
        <f t="shared" si="2"/>
        <v/>
      </c>
    </row>
    <row r="27" spans="1:17" ht="15" customHeight="1" x14ac:dyDescent="0.2">
      <c r="A27" s="37"/>
      <c r="B27" s="37"/>
      <c r="C27" s="41"/>
      <c r="D27" s="39"/>
      <c r="E27" s="37"/>
      <c r="F27" s="37"/>
      <c r="G27" s="37"/>
      <c r="H27" s="39"/>
      <c r="I27" s="37"/>
      <c r="J27" s="41"/>
      <c r="K27" s="39"/>
      <c r="L27" s="37"/>
      <c r="M27" s="39"/>
      <c r="N27" s="39"/>
      <c r="O27" s="40" t="str">
        <f t="shared" si="0"/>
        <v/>
      </c>
      <c r="P27" s="29" t="str">
        <f t="shared" si="1"/>
        <v/>
      </c>
      <c r="Q27" s="40" t="str">
        <f t="shared" si="2"/>
        <v/>
      </c>
    </row>
    <row r="28" spans="1:17" ht="15" customHeight="1" x14ac:dyDescent="0.2">
      <c r="A28" s="37"/>
      <c r="B28" s="37"/>
      <c r="C28" s="41"/>
      <c r="D28" s="39"/>
      <c r="E28" s="37"/>
      <c r="F28" s="37"/>
      <c r="G28" s="37"/>
      <c r="H28" s="39"/>
      <c r="I28" s="37"/>
      <c r="J28" s="41"/>
      <c r="K28" s="39"/>
      <c r="L28" s="37"/>
      <c r="M28" s="39"/>
      <c r="N28" s="39"/>
      <c r="O28" s="40" t="str">
        <f t="shared" si="0"/>
        <v/>
      </c>
      <c r="P28" s="29" t="str">
        <f t="shared" si="1"/>
        <v/>
      </c>
      <c r="Q28" s="40" t="str">
        <f t="shared" si="2"/>
        <v/>
      </c>
    </row>
    <row r="29" spans="1:17" ht="15" customHeight="1" x14ac:dyDescent="0.2">
      <c r="A29" s="37"/>
      <c r="B29" s="37"/>
      <c r="C29" s="41"/>
      <c r="D29" s="39"/>
      <c r="E29" s="37"/>
      <c r="F29" s="37"/>
      <c r="G29" s="37"/>
      <c r="H29" s="39"/>
      <c r="I29" s="37"/>
      <c r="J29" s="41"/>
      <c r="K29" s="39"/>
      <c r="L29" s="37"/>
      <c r="M29" s="39"/>
      <c r="N29" s="39"/>
      <c r="O29" s="40" t="str">
        <f t="shared" si="0"/>
        <v/>
      </c>
      <c r="P29" s="29" t="str">
        <f t="shared" si="1"/>
        <v/>
      </c>
      <c r="Q29" s="40" t="str">
        <f t="shared" si="2"/>
        <v/>
      </c>
    </row>
    <row r="30" spans="1:17" ht="15" customHeight="1" x14ac:dyDescent="0.2">
      <c r="A30" s="37"/>
      <c r="B30" s="37"/>
      <c r="C30" s="41"/>
      <c r="D30" s="39"/>
      <c r="E30" s="37"/>
      <c r="F30" s="37"/>
      <c r="G30" s="37"/>
      <c r="H30" s="39"/>
      <c r="I30" s="37"/>
      <c r="J30" s="41"/>
      <c r="K30" s="39"/>
      <c r="L30" s="37"/>
      <c r="M30" s="39"/>
      <c r="N30" s="39"/>
      <c r="O30" s="40" t="str">
        <f t="shared" si="0"/>
        <v/>
      </c>
      <c r="P30" s="29" t="str">
        <f t="shared" si="1"/>
        <v/>
      </c>
      <c r="Q30" s="40" t="str">
        <f t="shared" si="2"/>
        <v/>
      </c>
    </row>
    <row r="31" spans="1:17" ht="15" customHeight="1" x14ac:dyDescent="0.2">
      <c r="A31" s="37"/>
      <c r="B31" s="37"/>
      <c r="C31" s="41"/>
      <c r="D31" s="39"/>
      <c r="E31" s="37"/>
      <c r="F31" s="37"/>
      <c r="G31" s="37"/>
      <c r="H31" s="39"/>
      <c r="I31" s="37"/>
      <c r="J31" s="41"/>
      <c r="K31" s="39"/>
      <c r="L31" s="37"/>
      <c r="M31" s="39"/>
      <c r="N31" s="39"/>
      <c r="O31" s="40" t="str">
        <f t="shared" si="0"/>
        <v/>
      </c>
      <c r="P31" s="29" t="str">
        <f t="shared" si="1"/>
        <v/>
      </c>
      <c r="Q31" s="40" t="str">
        <f t="shared" si="2"/>
        <v/>
      </c>
    </row>
    <row r="32" spans="1:17" ht="15" customHeight="1" x14ac:dyDescent="0.2">
      <c r="A32" s="37"/>
      <c r="B32" s="37"/>
      <c r="C32" s="41"/>
      <c r="D32" s="39"/>
      <c r="E32" s="37"/>
      <c r="F32" s="37"/>
      <c r="G32" s="37"/>
      <c r="H32" s="39"/>
      <c r="I32" s="37"/>
      <c r="J32" s="41"/>
      <c r="K32" s="39"/>
      <c r="L32" s="37"/>
      <c r="M32" s="39"/>
      <c r="N32" s="39"/>
      <c r="O32" s="40" t="str">
        <f t="shared" si="0"/>
        <v/>
      </c>
      <c r="P32" s="29" t="str">
        <f t="shared" si="1"/>
        <v/>
      </c>
      <c r="Q32" s="40" t="str">
        <f t="shared" si="2"/>
        <v/>
      </c>
    </row>
    <row r="34" spans="1:17" ht="15" customHeight="1" x14ac:dyDescent="0.2">
      <c r="A34" s="4" t="s">
        <v>315</v>
      </c>
      <c r="B34" s="4"/>
      <c r="C34" s="4"/>
      <c r="D34" s="4"/>
      <c r="E34" s="4"/>
      <c r="F34" s="4"/>
      <c r="G34" s="4"/>
      <c r="H34" s="4"/>
      <c r="I34" s="4"/>
      <c r="J34" s="4"/>
      <c r="K34" s="4"/>
      <c r="L34" s="4"/>
      <c r="M34" s="4"/>
      <c r="N34" s="4"/>
      <c r="O34" s="4"/>
      <c r="P34" s="4"/>
      <c r="Q34" s="4"/>
    </row>
  </sheetData>
  <mergeCells count="2">
    <mergeCell ref="A1:Q1"/>
    <mergeCell ref="A34:Q34"/>
  </mergeCells>
  <conditionalFormatting sqref="Q3:Q32">
    <cfRule type="cellIs" dxfId="1" priority="2" operator="greaterThan">
      <formula>0</formula>
    </cfRule>
    <cfRule type="cellIs" dxfId="0" priority="3" operator="lessThan">
      <formula>0</formula>
    </cfRule>
  </conditionalFormatting>
  <dataValidations count="2">
    <dataValidation type="list" allowBlank="1" sqref="I3:I32" xr:uid="{00000000-0002-0000-0F00-000000000000}">
      <formula1>"Held,Exited"</formula1>
      <formula2>0</formula2>
    </dataValidation>
    <dataValidation type="list" allowBlank="1" sqref="G3:G32" xr:uid="{00000000-0002-0000-0F00-000001000000}">
      <formula1>"Strong Buy,Buy"</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02"/>
  <sheetViews>
    <sheetView showGridLines="0" zoomScaleNormal="100" workbookViewId="0">
      <pane ySplit="2" topLeftCell="A3" activePane="bottomLeft" state="frozen"/>
      <selection pane="bottomLeft" sqref="A1:C1"/>
    </sheetView>
  </sheetViews>
  <sheetFormatPr baseColWidth="10" defaultColWidth="8.6640625" defaultRowHeight="15" x14ac:dyDescent="0.2"/>
  <cols>
    <col min="1" max="1" width="13" customWidth="1"/>
    <col min="2" max="2" width="10" customWidth="1"/>
    <col min="3" max="3" width="100" customWidth="1"/>
  </cols>
  <sheetData>
    <row r="1" spans="1:3" ht="27.75" customHeight="1" x14ac:dyDescent="0.2">
      <c r="A1" s="7" t="s">
        <v>316</v>
      </c>
      <c r="B1" s="7"/>
      <c r="C1" s="7"/>
    </row>
    <row r="2" spans="1:3" ht="18" customHeight="1" x14ac:dyDescent="0.2">
      <c r="A2" s="21" t="s">
        <v>244</v>
      </c>
      <c r="B2" s="21" t="s">
        <v>57</v>
      </c>
      <c r="C2" s="21" t="s">
        <v>153</v>
      </c>
    </row>
    <row r="3" spans="1:3" ht="15" customHeight="1" x14ac:dyDescent="0.2">
      <c r="A3" s="70">
        <v>46241</v>
      </c>
      <c r="B3" s="71" t="s">
        <v>122</v>
      </c>
      <c r="C3" s="72" t="s">
        <v>317</v>
      </c>
    </row>
    <row r="4" spans="1:3" ht="15" customHeight="1" x14ac:dyDescent="0.2">
      <c r="A4" s="70">
        <v>46241</v>
      </c>
      <c r="B4" s="71" t="s">
        <v>125</v>
      </c>
      <c r="C4" s="72" t="s">
        <v>318</v>
      </c>
    </row>
    <row r="5" spans="1:3" ht="15" customHeight="1" x14ac:dyDescent="0.2">
      <c r="A5" s="70">
        <v>46241</v>
      </c>
      <c r="B5" s="71" t="s">
        <v>132</v>
      </c>
      <c r="C5" s="72" t="s">
        <v>319</v>
      </c>
    </row>
    <row r="6" spans="1:3" ht="15" customHeight="1" x14ac:dyDescent="0.2">
      <c r="A6" s="70">
        <v>46241</v>
      </c>
      <c r="B6" s="71" t="s">
        <v>113</v>
      </c>
      <c r="C6" s="72" t="s">
        <v>320</v>
      </c>
    </row>
    <row r="7" spans="1:3" ht="15" customHeight="1" x14ac:dyDescent="0.2">
      <c r="A7" s="70">
        <v>46241</v>
      </c>
      <c r="B7" s="71" t="s">
        <v>321</v>
      </c>
      <c r="C7" s="72" t="s">
        <v>322</v>
      </c>
    </row>
    <row r="8" spans="1:3" ht="15" customHeight="1" x14ac:dyDescent="0.2">
      <c r="A8" s="70">
        <v>46241</v>
      </c>
      <c r="B8" s="71" t="s">
        <v>321</v>
      </c>
      <c r="C8" s="72" t="s">
        <v>323</v>
      </c>
    </row>
    <row r="9" spans="1:3" ht="15" customHeight="1" x14ac:dyDescent="0.2">
      <c r="A9" s="70"/>
      <c r="B9" s="71"/>
      <c r="C9" s="72"/>
    </row>
    <row r="10" spans="1:3" ht="15" customHeight="1" x14ac:dyDescent="0.2">
      <c r="A10" s="70"/>
      <c r="B10" s="71"/>
      <c r="C10" s="72"/>
    </row>
    <row r="11" spans="1:3" ht="15" customHeight="1" x14ac:dyDescent="0.2">
      <c r="A11" s="70"/>
      <c r="B11" s="71"/>
      <c r="C11" s="72"/>
    </row>
    <row r="12" spans="1:3" ht="15" customHeight="1" x14ac:dyDescent="0.2">
      <c r="A12" s="70"/>
      <c r="B12" s="71"/>
      <c r="C12" s="72"/>
    </row>
    <row r="13" spans="1:3" ht="15" customHeight="1" x14ac:dyDescent="0.2">
      <c r="A13" s="70"/>
      <c r="B13" s="71"/>
      <c r="C13" s="72"/>
    </row>
    <row r="14" spans="1:3" ht="15" customHeight="1" x14ac:dyDescent="0.2">
      <c r="A14" s="70"/>
      <c r="B14" s="71"/>
      <c r="C14" s="72"/>
    </row>
    <row r="15" spans="1:3" ht="15" customHeight="1" x14ac:dyDescent="0.2">
      <c r="A15" s="70"/>
      <c r="B15" s="71"/>
      <c r="C15" s="72"/>
    </row>
    <row r="16" spans="1:3" ht="15" customHeight="1" x14ac:dyDescent="0.2">
      <c r="A16" s="70"/>
      <c r="B16" s="71"/>
      <c r="C16" s="72"/>
    </row>
    <row r="17" spans="1:3" ht="15" customHeight="1" x14ac:dyDescent="0.2">
      <c r="A17" s="70"/>
      <c r="B17" s="71"/>
      <c r="C17" s="72"/>
    </row>
    <row r="18" spans="1:3" ht="15" customHeight="1" x14ac:dyDescent="0.2">
      <c r="A18" s="70"/>
      <c r="B18" s="71"/>
      <c r="C18" s="72"/>
    </row>
    <row r="19" spans="1:3" ht="15" customHeight="1" x14ac:dyDescent="0.2">
      <c r="A19" s="70"/>
      <c r="B19" s="71"/>
      <c r="C19" s="72"/>
    </row>
    <row r="20" spans="1:3" ht="15" customHeight="1" x14ac:dyDescent="0.2">
      <c r="A20" s="70"/>
      <c r="B20" s="71"/>
      <c r="C20" s="72"/>
    </row>
    <row r="21" spans="1:3" ht="15" customHeight="1" x14ac:dyDescent="0.2">
      <c r="A21" s="70"/>
      <c r="B21" s="71"/>
      <c r="C21" s="72"/>
    </row>
    <row r="22" spans="1:3" ht="15" customHeight="1" x14ac:dyDescent="0.2">
      <c r="A22" s="70"/>
      <c r="B22" s="71"/>
      <c r="C22" s="72"/>
    </row>
    <row r="23" spans="1:3" ht="15" customHeight="1" x14ac:dyDescent="0.2">
      <c r="A23" s="70"/>
      <c r="B23" s="71"/>
      <c r="C23" s="72"/>
    </row>
    <row r="24" spans="1:3" ht="15" customHeight="1" x14ac:dyDescent="0.2">
      <c r="A24" s="70"/>
      <c r="B24" s="71"/>
      <c r="C24" s="72"/>
    </row>
    <row r="25" spans="1:3" ht="15" customHeight="1" x14ac:dyDescent="0.2">
      <c r="A25" s="70"/>
      <c r="B25" s="71"/>
      <c r="C25" s="72"/>
    </row>
    <row r="26" spans="1:3" ht="15" customHeight="1" x14ac:dyDescent="0.2">
      <c r="A26" s="70"/>
      <c r="B26" s="71"/>
      <c r="C26" s="72"/>
    </row>
    <row r="27" spans="1:3" ht="15" customHeight="1" x14ac:dyDescent="0.2">
      <c r="A27" s="70"/>
      <c r="B27" s="71"/>
      <c r="C27" s="72"/>
    </row>
    <row r="28" spans="1:3" ht="15" customHeight="1" x14ac:dyDescent="0.2">
      <c r="A28" s="70"/>
      <c r="B28" s="71"/>
      <c r="C28" s="72"/>
    </row>
    <row r="29" spans="1:3" ht="15" customHeight="1" x14ac:dyDescent="0.2">
      <c r="A29" s="70"/>
      <c r="B29" s="71"/>
      <c r="C29" s="72"/>
    </row>
    <row r="30" spans="1:3" ht="15" customHeight="1" x14ac:dyDescent="0.2">
      <c r="A30" s="70"/>
      <c r="B30" s="71"/>
      <c r="C30" s="72"/>
    </row>
    <row r="31" spans="1:3" ht="15" customHeight="1" x14ac:dyDescent="0.2">
      <c r="A31" s="70"/>
      <c r="B31" s="71"/>
      <c r="C31" s="72"/>
    </row>
    <row r="32" spans="1:3" ht="15" customHeight="1" x14ac:dyDescent="0.2">
      <c r="A32" s="70"/>
      <c r="B32" s="71"/>
      <c r="C32" s="72"/>
    </row>
    <row r="33" spans="1:3" ht="15" customHeight="1" x14ac:dyDescent="0.2">
      <c r="A33" s="70"/>
      <c r="B33" s="71"/>
      <c r="C33" s="72"/>
    </row>
    <row r="34" spans="1:3" ht="15" customHeight="1" x14ac:dyDescent="0.2">
      <c r="A34" s="70"/>
      <c r="B34" s="71"/>
      <c r="C34" s="72"/>
    </row>
    <row r="35" spans="1:3" ht="15" customHeight="1" x14ac:dyDescent="0.2">
      <c r="A35" s="70"/>
      <c r="B35" s="71"/>
      <c r="C35" s="72"/>
    </row>
    <row r="36" spans="1:3" ht="15" customHeight="1" x14ac:dyDescent="0.2">
      <c r="A36" s="70"/>
      <c r="B36" s="71"/>
      <c r="C36" s="72"/>
    </row>
    <row r="37" spans="1:3" ht="15" customHeight="1" x14ac:dyDescent="0.2">
      <c r="A37" s="70"/>
      <c r="B37" s="71"/>
      <c r="C37" s="72"/>
    </row>
    <row r="38" spans="1:3" ht="15" customHeight="1" x14ac:dyDescent="0.2">
      <c r="A38" s="70"/>
      <c r="B38" s="71"/>
      <c r="C38" s="72"/>
    </row>
    <row r="39" spans="1:3" ht="15" customHeight="1" x14ac:dyDescent="0.2">
      <c r="A39" s="70"/>
      <c r="B39" s="71"/>
      <c r="C39" s="72"/>
    </row>
    <row r="40" spans="1:3" ht="15" customHeight="1" x14ac:dyDescent="0.2">
      <c r="A40" s="70"/>
      <c r="B40" s="71"/>
      <c r="C40" s="72"/>
    </row>
    <row r="41" spans="1:3" ht="15" customHeight="1" x14ac:dyDescent="0.2">
      <c r="A41" s="70"/>
      <c r="B41" s="71"/>
      <c r="C41" s="72"/>
    </row>
    <row r="42" spans="1:3" ht="15" customHeight="1" x14ac:dyDescent="0.2">
      <c r="A42" s="70"/>
      <c r="B42" s="71"/>
      <c r="C42" s="72"/>
    </row>
    <row r="43" spans="1:3" ht="15" customHeight="1" x14ac:dyDescent="0.2">
      <c r="A43" s="70"/>
      <c r="B43" s="71"/>
      <c r="C43" s="72"/>
    </row>
    <row r="44" spans="1:3" ht="15" customHeight="1" x14ac:dyDescent="0.2">
      <c r="A44" s="70"/>
      <c r="B44" s="71"/>
      <c r="C44" s="72"/>
    </row>
    <row r="45" spans="1:3" ht="15" customHeight="1" x14ac:dyDescent="0.2">
      <c r="A45" s="70"/>
      <c r="B45" s="71"/>
      <c r="C45" s="72"/>
    </row>
    <row r="46" spans="1:3" ht="15" customHeight="1" x14ac:dyDescent="0.2">
      <c r="A46" s="70"/>
      <c r="B46" s="71"/>
      <c r="C46" s="72"/>
    </row>
    <row r="47" spans="1:3" ht="15" customHeight="1" x14ac:dyDescent="0.2">
      <c r="A47" s="70"/>
      <c r="B47" s="71"/>
      <c r="C47" s="72"/>
    </row>
    <row r="48" spans="1:3" ht="15" customHeight="1" x14ac:dyDescent="0.2">
      <c r="A48" s="70"/>
      <c r="B48" s="71"/>
      <c r="C48" s="72"/>
    </row>
    <row r="49" spans="1:3" ht="15" customHeight="1" x14ac:dyDescent="0.2">
      <c r="A49" s="70"/>
      <c r="B49" s="71"/>
      <c r="C49" s="72"/>
    </row>
    <row r="50" spans="1:3" ht="15" customHeight="1" x14ac:dyDescent="0.2">
      <c r="A50" s="70"/>
      <c r="B50" s="71"/>
      <c r="C50" s="72"/>
    </row>
    <row r="51" spans="1:3" ht="15" customHeight="1" x14ac:dyDescent="0.2">
      <c r="A51" s="70"/>
      <c r="B51" s="71"/>
      <c r="C51" s="72"/>
    </row>
    <row r="52" spans="1:3" ht="15" customHeight="1" x14ac:dyDescent="0.2">
      <c r="A52" s="70"/>
      <c r="B52" s="71"/>
      <c r="C52" s="72"/>
    </row>
    <row r="53" spans="1:3" ht="15" customHeight="1" x14ac:dyDescent="0.2">
      <c r="A53" s="70"/>
      <c r="B53" s="71"/>
      <c r="C53" s="72"/>
    </row>
    <row r="54" spans="1:3" ht="15" customHeight="1" x14ac:dyDescent="0.2">
      <c r="A54" s="70"/>
      <c r="B54" s="71"/>
      <c r="C54" s="72"/>
    </row>
    <row r="55" spans="1:3" ht="15" customHeight="1" x14ac:dyDescent="0.2">
      <c r="A55" s="70"/>
      <c r="B55" s="71"/>
      <c r="C55" s="72"/>
    </row>
    <row r="56" spans="1:3" ht="15" customHeight="1" x14ac:dyDescent="0.2">
      <c r="A56" s="70"/>
      <c r="B56" s="71"/>
      <c r="C56" s="72"/>
    </row>
    <row r="57" spans="1:3" ht="15" customHeight="1" x14ac:dyDescent="0.2">
      <c r="A57" s="70"/>
      <c r="B57" s="71"/>
      <c r="C57" s="72"/>
    </row>
    <row r="58" spans="1:3" ht="15" customHeight="1" x14ac:dyDescent="0.2">
      <c r="A58" s="70"/>
      <c r="B58" s="71"/>
      <c r="C58" s="72"/>
    </row>
    <row r="59" spans="1:3" ht="15" customHeight="1" x14ac:dyDescent="0.2">
      <c r="A59" s="70"/>
      <c r="B59" s="71"/>
      <c r="C59" s="72"/>
    </row>
    <row r="60" spans="1:3" ht="15" customHeight="1" x14ac:dyDescent="0.2">
      <c r="A60" s="70"/>
      <c r="B60" s="71"/>
      <c r="C60" s="72"/>
    </row>
    <row r="61" spans="1:3" ht="15" customHeight="1" x14ac:dyDescent="0.2">
      <c r="A61" s="70"/>
      <c r="B61" s="71"/>
      <c r="C61" s="72"/>
    </row>
    <row r="62" spans="1:3" ht="15" customHeight="1" x14ac:dyDescent="0.2">
      <c r="A62" s="70"/>
      <c r="B62" s="71"/>
      <c r="C62" s="72"/>
    </row>
    <row r="63" spans="1:3" ht="15" customHeight="1" x14ac:dyDescent="0.2">
      <c r="A63" s="70"/>
      <c r="B63" s="71"/>
      <c r="C63" s="72"/>
    </row>
    <row r="64" spans="1:3" ht="15" customHeight="1" x14ac:dyDescent="0.2">
      <c r="A64" s="70"/>
      <c r="B64" s="71"/>
      <c r="C64" s="72"/>
    </row>
    <row r="65" spans="1:3" ht="15" customHeight="1" x14ac:dyDescent="0.2">
      <c r="A65" s="70"/>
      <c r="B65" s="71"/>
      <c r="C65" s="72"/>
    </row>
    <row r="66" spans="1:3" ht="15" customHeight="1" x14ac:dyDescent="0.2">
      <c r="A66" s="70"/>
      <c r="B66" s="71"/>
      <c r="C66" s="72"/>
    </row>
    <row r="67" spans="1:3" ht="15" customHeight="1" x14ac:dyDescent="0.2">
      <c r="A67" s="70"/>
      <c r="B67" s="71"/>
      <c r="C67" s="72"/>
    </row>
    <row r="68" spans="1:3" ht="15" customHeight="1" x14ac:dyDescent="0.2">
      <c r="A68" s="70"/>
      <c r="B68" s="71"/>
      <c r="C68" s="72"/>
    </row>
    <row r="69" spans="1:3" ht="15" customHeight="1" x14ac:dyDescent="0.2">
      <c r="A69" s="70"/>
      <c r="B69" s="71"/>
      <c r="C69" s="72"/>
    </row>
    <row r="70" spans="1:3" ht="15" customHeight="1" x14ac:dyDescent="0.2">
      <c r="A70" s="70"/>
      <c r="B70" s="71"/>
      <c r="C70" s="72"/>
    </row>
    <row r="71" spans="1:3" ht="15" customHeight="1" x14ac:dyDescent="0.2">
      <c r="A71" s="70"/>
      <c r="B71" s="71"/>
      <c r="C71" s="72"/>
    </row>
    <row r="72" spans="1:3" ht="15" customHeight="1" x14ac:dyDescent="0.2">
      <c r="A72" s="70"/>
      <c r="B72" s="71"/>
      <c r="C72" s="72"/>
    </row>
    <row r="73" spans="1:3" ht="15" customHeight="1" x14ac:dyDescent="0.2">
      <c r="A73" s="70"/>
      <c r="B73" s="71"/>
      <c r="C73" s="72"/>
    </row>
    <row r="74" spans="1:3" ht="15" customHeight="1" x14ac:dyDescent="0.2">
      <c r="A74" s="70"/>
      <c r="B74" s="71"/>
      <c r="C74" s="72"/>
    </row>
    <row r="75" spans="1:3" ht="15" customHeight="1" x14ac:dyDescent="0.2">
      <c r="A75" s="70"/>
      <c r="B75" s="71"/>
      <c r="C75" s="72"/>
    </row>
    <row r="76" spans="1:3" ht="15" customHeight="1" x14ac:dyDescent="0.2">
      <c r="A76" s="70"/>
      <c r="B76" s="71"/>
      <c r="C76" s="72"/>
    </row>
    <row r="77" spans="1:3" ht="15" customHeight="1" x14ac:dyDescent="0.2">
      <c r="A77" s="70"/>
      <c r="B77" s="71"/>
      <c r="C77" s="72"/>
    </row>
    <row r="78" spans="1:3" ht="15" customHeight="1" x14ac:dyDescent="0.2">
      <c r="A78" s="70"/>
      <c r="B78" s="71"/>
      <c r="C78" s="72"/>
    </row>
    <row r="79" spans="1:3" ht="15" customHeight="1" x14ac:dyDescent="0.2">
      <c r="A79" s="70"/>
      <c r="B79" s="71"/>
      <c r="C79" s="72"/>
    </row>
    <row r="80" spans="1:3" ht="15" customHeight="1" x14ac:dyDescent="0.2">
      <c r="A80" s="70"/>
      <c r="B80" s="71"/>
      <c r="C80" s="72"/>
    </row>
    <row r="81" spans="1:3" ht="15" customHeight="1" x14ac:dyDescent="0.2">
      <c r="A81" s="70"/>
      <c r="B81" s="71"/>
      <c r="C81" s="72"/>
    </row>
    <row r="82" spans="1:3" ht="15" customHeight="1" x14ac:dyDescent="0.2">
      <c r="A82" s="70"/>
      <c r="B82" s="71"/>
      <c r="C82" s="72"/>
    </row>
    <row r="83" spans="1:3" ht="15" customHeight="1" x14ac:dyDescent="0.2">
      <c r="A83" s="70"/>
      <c r="B83" s="71"/>
      <c r="C83" s="72"/>
    </row>
    <row r="84" spans="1:3" ht="15" customHeight="1" x14ac:dyDescent="0.2">
      <c r="A84" s="70"/>
      <c r="B84" s="71"/>
      <c r="C84" s="72"/>
    </row>
    <row r="85" spans="1:3" ht="15" customHeight="1" x14ac:dyDescent="0.2">
      <c r="A85" s="70"/>
      <c r="B85" s="71"/>
      <c r="C85" s="72"/>
    </row>
    <row r="86" spans="1:3" ht="15" customHeight="1" x14ac:dyDescent="0.2">
      <c r="A86" s="70"/>
      <c r="B86" s="71"/>
      <c r="C86" s="72"/>
    </row>
    <row r="87" spans="1:3" ht="15" customHeight="1" x14ac:dyDescent="0.2">
      <c r="A87" s="70"/>
      <c r="B87" s="71"/>
      <c r="C87" s="72"/>
    </row>
    <row r="88" spans="1:3" ht="15" customHeight="1" x14ac:dyDescent="0.2">
      <c r="A88" s="70"/>
      <c r="B88" s="71"/>
      <c r="C88" s="72"/>
    </row>
    <row r="89" spans="1:3" ht="15" customHeight="1" x14ac:dyDescent="0.2">
      <c r="A89" s="70"/>
      <c r="B89" s="71"/>
      <c r="C89" s="72"/>
    </row>
    <row r="90" spans="1:3" ht="15" customHeight="1" x14ac:dyDescent="0.2">
      <c r="A90" s="70"/>
      <c r="B90" s="71"/>
      <c r="C90" s="72"/>
    </row>
    <row r="91" spans="1:3" ht="15" customHeight="1" x14ac:dyDescent="0.2">
      <c r="A91" s="70"/>
      <c r="B91" s="71"/>
      <c r="C91" s="72"/>
    </row>
    <row r="92" spans="1:3" ht="15" customHeight="1" x14ac:dyDescent="0.2">
      <c r="A92" s="70"/>
      <c r="B92" s="71"/>
      <c r="C92" s="72"/>
    </row>
    <row r="93" spans="1:3" ht="15" customHeight="1" x14ac:dyDescent="0.2">
      <c r="A93" s="70"/>
      <c r="B93" s="71"/>
      <c r="C93" s="72"/>
    </row>
    <row r="94" spans="1:3" ht="15" customHeight="1" x14ac:dyDescent="0.2">
      <c r="A94" s="70"/>
      <c r="B94" s="71"/>
      <c r="C94" s="72"/>
    </row>
    <row r="95" spans="1:3" ht="15" customHeight="1" x14ac:dyDescent="0.2">
      <c r="A95" s="70"/>
      <c r="B95" s="71"/>
      <c r="C95" s="72"/>
    </row>
    <row r="96" spans="1:3" ht="15" customHeight="1" x14ac:dyDescent="0.2">
      <c r="A96" s="70"/>
      <c r="B96" s="71"/>
      <c r="C96" s="72"/>
    </row>
    <row r="97" spans="1:3" ht="15" customHeight="1" x14ac:dyDescent="0.2">
      <c r="A97" s="70"/>
      <c r="B97" s="71"/>
      <c r="C97" s="72"/>
    </row>
    <row r="98" spans="1:3" ht="15" customHeight="1" x14ac:dyDescent="0.2">
      <c r="A98" s="70"/>
      <c r="B98" s="71"/>
      <c r="C98" s="72"/>
    </row>
    <row r="99" spans="1:3" ht="15" customHeight="1" x14ac:dyDescent="0.2">
      <c r="A99" s="70"/>
      <c r="B99" s="71"/>
      <c r="C99" s="72"/>
    </row>
    <row r="100" spans="1:3" ht="15" customHeight="1" x14ac:dyDescent="0.2">
      <c r="A100" s="70"/>
      <c r="B100" s="71"/>
      <c r="C100" s="72"/>
    </row>
    <row r="101" spans="1:3" ht="15" customHeight="1" x14ac:dyDescent="0.2">
      <c r="A101" s="70"/>
      <c r="B101" s="71"/>
      <c r="C101" s="72"/>
    </row>
    <row r="102" spans="1:3" ht="15" customHeight="1" x14ac:dyDescent="0.2">
      <c r="A102" s="70"/>
      <c r="B102" s="71"/>
      <c r="C102" s="72"/>
    </row>
    <row r="103" spans="1:3" ht="15" customHeight="1" x14ac:dyDescent="0.2">
      <c r="A103" s="70"/>
      <c r="B103" s="71"/>
      <c r="C103" s="72"/>
    </row>
    <row r="104" spans="1:3" ht="15" customHeight="1" x14ac:dyDescent="0.2">
      <c r="A104" s="70"/>
      <c r="B104" s="71"/>
      <c r="C104" s="72"/>
    </row>
    <row r="105" spans="1:3" ht="15" customHeight="1" x14ac:dyDescent="0.2">
      <c r="A105" s="70"/>
      <c r="B105" s="71"/>
      <c r="C105" s="72"/>
    </row>
    <row r="106" spans="1:3" ht="15" customHeight="1" x14ac:dyDescent="0.2">
      <c r="A106" s="70"/>
      <c r="B106" s="71"/>
      <c r="C106" s="72"/>
    </row>
    <row r="107" spans="1:3" ht="15" customHeight="1" x14ac:dyDescent="0.2">
      <c r="A107" s="70"/>
      <c r="B107" s="71"/>
      <c r="C107" s="72"/>
    </row>
    <row r="108" spans="1:3" ht="15" customHeight="1" x14ac:dyDescent="0.2">
      <c r="A108" s="70"/>
      <c r="B108" s="71"/>
      <c r="C108" s="72"/>
    </row>
    <row r="109" spans="1:3" ht="15" customHeight="1" x14ac:dyDescent="0.2">
      <c r="A109" s="70"/>
      <c r="B109" s="71"/>
      <c r="C109" s="72"/>
    </row>
    <row r="110" spans="1:3" ht="15" customHeight="1" x14ac:dyDescent="0.2">
      <c r="A110" s="70"/>
      <c r="B110" s="71"/>
      <c r="C110" s="72"/>
    </row>
    <row r="111" spans="1:3" ht="15" customHeight="1" x14ac:dyDescent="0.2">
      <c r="A111" s="70"/>
      <c r="B111" s="71"/>
      <c r="C111" s="72"/>
    </row>
    <row r="112" spans="1:3" ht="15" customHeight="1" x14ac:dyDescent="0.2">
      <c r="A112" s="70"/>
      <c r="B112" s="71"/>
      <c r="C112" s="72"/>
    </row>
    <row r="113" spans="1:3" ht="15" customHeight="1" x14ac:dyDescent="0.2">
      <c r="A113" s="70"/>
      <c r="B113" s="71"/>
      <c r="C113" s="72"/>
    </row>
    <row r="114" spans="1:3" ht="15" customHeight="1" x14ac:dyDescent="0.2">
      <c r="A114" s="70"/>
      <c r="B114" s="71"/>
      <c r="C114" s="72"/>
    </row>
    <row r="115" spans="1:3" ht="15" customHeight="1" x14ac:dyDescent="0.2">
      <c r="A115" s="70"/>
      <c r="B115" s="71"/>
      <c r="C115" s="72"/>
    </row>
    <row r="116" spans="1:3" ht="15" customHeight="1" x14ac:dyDescent="0.2">
      <c r="A116" s="70"/>
      <c r="B116" s="71"/>
      <c r="C116" s="72"/>
    </row>
    <row r="117" spans="1:3" ht="15" customHeight="1" x14ac:dyDescent="0.2">
      <c r="A117" s="70"/>
      <c r="B117" s="71"/>
      <c r="C117" s="72"/>
    </row>
    <row r="118" spans="1:3" ht="15" customHeight="1" x14ac:dyDescent="0.2">
      <c r="A118" s="70"/>
      <c r="B118" s="71"/>
      <c r="C118" s="72"/>
    </row>
    <row r="119" spans="1:3" ht="15" customHeight="1" x14ac:dyDescent="0.2">
      <c r="A119" s="70"/>
      <c r="B119" s="71"/>
      <c r="C119" s="72"/>
    </row>
    <row r="120" spans="1:3" ht="15" customHeight="1" x14ac:dyDescent="0.2">
      <c r="A120" s="70"/>
      <c r="B120" s="71"/>
      <c r="C120" s="72"/>
    </row>
    <row r="121" spans="1:3" ht="15" customHeight="1" x14ac:dyDescent="0.2">
      <c r="A121" s="70"/>
      <c r="B121" s="71"/>
      <c r="C121" s="72"/>
    </row>
    <row r="122" spans="1:3" ht="15" customHeight="1" x14ac:dyDescent="0.2">
      <c r="A122" s="70"/>
      <c r="B122" s="71"/>
      <c r="C122" s="72"/>
    </row>
    <row r="123" spans="1:3" ht="15" customHeight="1" x14ac:dyDescent="0.2">
      <c r="A123" s="70"/>
      <c r="B123" s="71"/>
      <c r="C123" s="72"/>
    </row>
    <row r="124" spans="1:3" ht="15" customHeight="1" x14ac:dyDescent="0.2">
      <c r="A124" s="70"/>
      <c r="B124" s="71"/>
      <c r="C124" s="72"/>
    </row>
    <row r="125" spans="1:3" ht="15" customHeight="1" x14ac:dyDescent="0.2">
      <c r="A125" s="70"/>
      <c r="B125" s="71"/>
      <c r="C125" s="72"/>
    </row>
    <row r="126" spans="1:3" ht="15" customHeight="1" x14ac:dyDescent="0.2">
      <c r="A126" s="70"/>
      <c r="B126" s="71"/>
      <c r="C126" s="72"/>
    </row>
    <row r="127" spans="1:3" ht="15" customHeight="1" x14ac:dyDescent="0.2">
      <c r="A127" s="70"/>
      <c r="B127" s="71"/>
      <c r="C127" s="72"/>
    </row>
    <row r="128" spans="1:3" ht="15" customHeight="1" x14ac:dyDescent="0.2">
      <c r="A128" s="70"/>
      <c r="B128" s="71"/>
      <c r="C128" s="72"/>
    </row>
    <row r="129" spans="1:3" ht="15" customHeight="1" x14ac:dyDescent="0.2">
      <c r="A129" s="70"/>
      <c r="B129" s="71"/>
      <c r="C129" s="72"/>
    </row>
    <row r="130" spans="1:3" ht="15" customHeight="1" x14ac:dyDescent="0.2">
      <c r="A130" s="70"/>
      <c r="B130" s="71"/>
      <c r="C130" s="72"/>
    </row>
    <row r="131" spans="1:3" ht="15" customHeight="1" x14ac:dyDescent="0.2">
      <c r="A131" s="70"/>
      <c r="B131" s="71"/>
      <c r="C131" s="72"/>
    </row>
    <row r="132" spans="1:3" ht="15" customHeight="1" x14ac:dyDescent="0.2">
      <c r="A132" s="70"/>
      <c r="B132" s="71"/>
      <c r="C132" s="72"/>
    </row>
    <row r="133" spans="1:3" ht="15" customHeight="1" x14ac:dyDescent="0.2">
      <c r="A133" s="70"/>
      <c r="B133" s="71"/>
      <c r="C133" s="72"/>
    </row>
    <row r="134" spans="1:3" ht="15" customHeight="1" x14ac:dyDescent="0.2">
      <c r="A134" s="70"/>
      <c r="B134" s="71"/>
      <c r="C134" s="72"/>
    </row>
    <row r="135" spans="1:3" ht="15" customHeight="1" x14ac:dyDescent="0.2">
      <c r="A135" s="70"/>
      <c r="B135" s="71"/>
      <c r="C135" s="72"/>
    </row>
    <row r="136" spans="1:3" ht="15" customHeight="1" x14ac:dyDescent="0.2">
      <c r="A136" s="70"/>
      <c r="B136" s="71"/>
      <c r="C136" s="72"/>
    </row>
    <row r="137" spans="1:3" ht="15" customHeight="1" x14ac:dyDescent="0.2">
      <c r="A137" s="70"/>
      <c r="B137" s="71"/>
      <c r="C137" s="72"/>
    </row>
    <row r="138" spans="1:3" ht="15" customHeight="1" x14ac:dyDescent="0.2">
      <c r="A138" s="70"/>
      <c r="B138" s="71"/>
      <c r="C138" s="72"/>
    </row>
    <row r="139" spans="1:3" ht="15" customHeight="1" x14ac:dyDescent="0.2">
      <c r="A139" s="70"/>
      <c r="B139" s="71"/>
      <c r="C139" s="72"/>
    </row>
    <row r="140" spans="1:3" ht="15" customHeight="1" x14ac:dyDescent="0.2">
      <c r="A140" s="70"/>
      <c r="B140" s="71"/>
      <c r="C140" s="72"/>
    </row>
    <row r="141" spans="1:3" ht="15" customHeight="1" x14ac:dyDescent="0.2">
      <c r="A141" s="70"/>
      <c r="B141" s="71"/>
      <c r="C141" s="72"/>
    </row>
    <row r="142" spans="1:3" ht="15" customHeight="1" x14ac:dyDescent="0.2">
      <c r="A142" s="70"/>
      <c r="B142" s="71"/>
      <c r="C142" s="72"/>
    </row>
    <row r="143" spans="1:3" ht="15" customHeight="1" x14ac:dyDescent="0.2">
      <c r="A143" s="70"/>
      <c r="B143" s="71"/>
      <c r="C143" s="72"/>
    </row>
    <row r="144" spans="1:3" ht="15" customHeight="1" x14ac:dyDescent="0.2">
      <c r="A144" s="70"/>
      <c r="B144" s="71"/>
      <c r="C144" s="72"/>
    </row>
    <row r="145" spans="1:3" ht="15" customHeight="1" x14ac:dyDescent="0.2">
      <c r="A145" s="70"/>
      <c r="B145" s="71"/>
      <c r="C145" s="72"/>
    </row>
    <row r="146" spans="1:3" ht="15" customHeight="1" x14ac:dyDescent="0.2">
      <c r="A146" s="70"/>
      <c r="B146" s="71"/>
      <c r="C146" s="72"/>
    </row>
    <row r="147" spans="1:3" ht="15" customHeight="1" x14ac:dyDescent="0.2">
      <c r="A147" s="70"/>
      <c r="B147" s="71"/>
      <c r="C147" s="72"/>
    </row>
    <row r="148" spans="1:3" ht="15" customHeight="1" x14ac:dyDescent="0.2">
      <c r="A148" s="70"/>
      <c r="B148" s="71"/>
      <c r="C148" s="72"/>
    </row>
    <row r="149" spans="1:3" ht="15" customHeight="1" x14ac:dyDescent="0.2">
      <c r="A149" s="70"/>
      <c r="B149" s="71"/>
      <c r="C149" s="72"/>
    </row>
    <row r="150" spans="1:3" ht="15" customHeight="1" x14ac:dyDescent="0.2">
      <c r="A150" s="70"/>
      <c r="B150" s="71"/>
      <c r="C150" s="72"/>
    </row>
    <row r="151" spans="1:3" ht="15" customHeight="1" x14ac:dyDescent="0.2">
      <c r="A151" s="70"/>
      <c r="B151" s="71"/>
      <c r="C151" s="72"/>
    </row>
    <row r="152" spans="1:3" ht="15" customHeight="1" x14ac:dyDescent="0.2">
      <c r="A152" s="70"/>
      <c r="B152" s="71"/>
      <c r="C152" s="72"/>
    </row>
    <row r="153" spans="1:3" ht="15" customHeight="1" x14ac:dyDescent="0.2">
      <c r="A153" s="70"/>
      <c r="B153" s="71"/>
      <c r="C153" s="72"/>
    </row>
    <row r="154" spans="1:3" ht="15" customHeight="1" x14ac:dyDescent="0.2">
      <c r="A154" s="70"/>
      <c r="B154" s="71"/>
      <c r="C154" s="72"/>
    </row>
    <row r="155" spans="1:3" ht="15" customHeight="1" x14ac:dyDescent="0.2">
      <c r="A155" s="70"/>
      <c r="B155" s="71"/>
      <c r="C155" s="72"/>
    </row>
    <row r="156" spans="1:3" ht="15" customHeight="1" x14ac:dyDescent="0.2">
      <c r="A156" s="70"/>
      <c r="B156" s="71"/>
      <c r="C156" s="72"/>
    </row>
    <row r="157" spans="1:3" ht="15" customHeight="1" x14ac:dyDescent="0.2">
      <c r="A157" s="70"/>
      <c r="B157" s="71"/>
      <c r="C157" s="72"/>
    </row>
    <row r="158" spans="1:3" ht="15" customHeight="1" x14ac:dyDescent="0.2">
      <c r="A158" s="70"/>
      <c r="B158" s="71"/>
      <c r="C158" s="72"/>
    </row>
    <row r="159" spans="1:3" ht="15" customHeight="1" x14ac:dyDescent="0.2">
      <c r="A159" s="70"/>
      <c r="B159" s="71"/>
      <c r="C159" s="72"/>
    </row>
    <row r="160" spans="1:3" ht="15" customHeight="1" x14ac:dyDescent="0.2">
      <c r="A160" s="70"/>
      <c r="B160" s="71"/>
      <c r="C160" s="72"/>
    </row>
    <row r="161" spans="1:3" ht="15" customHeight="1" x14ac:dyDescent="0.2">
      <c r="A161" s="70"/>
      <c r="B161" s="71"/>
      <c r="C161" s="72"/>
    </row>
    <row r="162" spans="1:3" ht="15" customHeight="1" x14ac:dyDescent="0.2">
      <c r="A162" s="70"/>
      <c r="B162" s="71"/>
      <c r="C162" s="72"/>
    </row>
    <row r="163" spans="1:3" ht="15" customHeight="1" x14ac:dyDescent="0.2">
      <c r="A163" s="70"/>
      <c r="B163" s="71"/>
      <c r="C163" s="72"/>
    </row>
    <row r="164" spans="1:3" ht="15" customHeight="1" x14ac:dyDescent="0.2">
      <c r="A164" s="70"/>
      <c r="B164" s="71"/>
      <c r="C164" s="72"/>
    </row>
    <row r="165" spans="1:3" ht="15" customHeight="1" x14ac:dyDescent="0.2">
      <c r="A165" s="70"/>
      <c r="B165" s="71"/>
      <c r="C165" s="72"/>
    </row>
    <row r="166" spans="1:3" ht="15" customHeight="1" x14ac:dyDescent="0.2">
      <c r="A166" s="70"/>
      <c r="B166" s="71"/>
      <c r="C166" s="72"/>
    </row>
    <row r="167" spans="1:3" ht="15" customHeight="1" x14ac:dyDescent="0.2">
      <c r="A167" s="70"/>
      <c r="B167" s="71"/>
      <c r="C167" s="72"/>
    </row>
    <row r="168" spans="1:3" ht="15" customHeight="1" x14ac:dyDescent="0.2">
      <c r="A168" s="70"/>
      <c r="B168" s="71"/>
      <c r="C168" s="72"/>
    </row>
    <row r="169" spans="1:3" ht="15" customHeight="1" x14ac:dyDescent="0.2">
      <c r="A169" s="70"/>
      <c r="B169" s="71"/>
      <c r="C169" s="72"/>
    </row>
    <row r="170" spans="1:3" ht="15" customHeight="1" x14ac:dyDescent="0.2">
      <c r="A170" s="70"/>
      <c r="B170" s="71"/>
      <c r="C170" s="72"/>
    </row>
    <row r="171" spans="1:3" ht="15" customHeight="1" x14ac:dyDescent="0.2">
      <c r="A171" s="70"/>
      <c r="B171" s="71"/>
      <c r="C171" s="72"/>
    </row>
    <row r="172" spans="1:3" ht="15" customHeight="1" x14ac:dyDescent="0.2">
      <c r="A172" s="70"/>
      <c r="B172" s="71"/>
      <c r="C172" s="72"/>
    </row>
    <row r="173" spans="1:3" ht="15" customHeight="1" x14ac:dyDescent="0.2">
      <c r="A173" s="70"/>
      <c r="B173" s="71"/>
      <c r="C173" s="72"/>
    </row>
    <row r="174" spans="1:3" ht="15" customHeight="1" x14ac:dyDescent="0.2">
      <c r="A174" s="70"/>
      <c r="B174" s="71"/>
      <c r="C174" s="72"/>
    </row>
    <row r="175" spans="1:3" ht="15" customHeight="1" x14ac:dyDescent="0.2">
      <c r="A175" s="70"/>
      <c r="B175" s="71"/>
      <c r="C175" s="72"/>
    </row>
    <row r="176" spans="1:3" ht="15" customHeight="1" x14ac:dyDescent="0.2">
      <c r="A176" s="70"/>
      <c r="B176" s="71"/>
      <c r="C176" s="72"/>
    </row>
    <row r="177" spans="1:3" ht="15" customHeight="1" x14ac:dyDescent="0.2">
      <c r="A177" s="70"/>
      <c r="B177" s="71"/>
      <c r="C177" s="72"/>
    </row>
    <row r="178" spans="1:3" ht="15" customHeight="1" x14ac:dyDescent="0.2">
      <c r="A178" s="70"/>
      <c r="B178" s="71"/>
      <c r="C178" s="72"/>
    </row>
    <row r="179" spans="1:3" ht="15" customHeight="1" x14ac:dyDescent="0.2">
      <c r="A179" s="70"/>
      <c r="B179" s="71"/>
      <c r="C179" s="72"/>
    </row>
    <row r="180" spans="1:3" ht="15" customHeight="1" x14ac:dyDescent="0.2">
      <c r="A180" s="70"/>
      <c r="B180" s="71"/>
      <c r="C180" s="72"/>
    </row>
    <row r="181" spans="1:3" ht="15" customHeight="1" x14ac:dyDescent="0.2">
      <c r="A181" s="70"/>
      <c r="B181" s="71"/>
      <c r="C181" s="72"/>
    </row>
    <row r="182" spans="1:3" ht="15" customHeight="1" x14ac:dyDescent="0.2">
      <c r="A182" s="70"/>
      <c r="B182" s="71"/>
      <c r="C182" s="72"/>
    </row>
    <row r="183" spans="1:3" ht="15" customHeight="1" x14ac:dyDescent="0.2">
      <c r="A183" s="70"/>
      <c r="B183" s="71"/>
      <c r="C183" s="72"/>
    </row>
    <row r="184" spans="1:3" ht="15" customHeight="1" x14ac:dyDescent="0.2">
      <c r="A184" s="70"/>
      <c r="B184" s="71"/>
      <c r="C184" s="72"/>
    </row>
    <row r="185" spans="1:3" ht="15" customHeight="1" x14ac:dyDescent="0.2">
      <c r="A185" s="70"/>
      <c r="B185" s="71"/>
      <c r="C185" s="72"/>
    </row>
    <row r="186" spans="1:3" ht="15" customHeight="1" x14ac:dyDescent="0.2">
      <c r="A186" s="70"/>
      <c r="B186" s="71"/>
      <c r="C186" s="72"/>
    </row>
    <row r="187" spans="1:3" ht="15" customHeight="1" x14ac:dyDescent="0.2">
      <c r="A187" s="70"/>
      <c r="B187" s="71"/>
      <c r="C187" s="72"/>
    </row>
    <row r="188" spans="1:3" ht="15" customHeight="1" x14ac:dyDescent="0.2">
      <c r="A188" s="70"/>
      <c r="B188" s="71"/>
      <c r="C188" s="72"/>
    </row>
    <row r="189" spans="1:3" ht="15" customHeight="1" x14ac:dyDescent="0.2">
      <c r="A189" s="70"/>
      <c r="B189" s="71"/>
      <c r="C189" s="72"/>
    </row>
    <row r="190" spans="1:3" ht="15" customHeight="1" x14ac:dyDescent="0.2">
      <c r="A190" s="70"/>
      <c r="B190" s="71"/>
      <c r="C190" s="72"/>
    </row>
    <row r="191" spans="1:3" ht="15" customHeight="1" x14ac:dyDescent="0.2">
      <c r="A191" s="70"/>
      <c r="B191" s="71"/>
      <c r="C191" s="72"/>
    </row>
    <row r="192" spans="1:3" ht="15" customHeight="1" x14ac:dyDescent="0.2">
      <c r="A192" s="70"/>
      <c r="B192" s="71"/>
      <c r="C192" s="72"/>
    </row>
    <row r="193" spans="1:3" ht="15" customHeight="1" x14ac:dyDescent="0.2">
      <c r="A193" s="70"/>
      <c r="B193" s="71"/>
      <c r="C193" s="72"/>
    </row>
    <row r="194" spans="1:3" ht="15" customHeight="1" x14ac:dyDescent="0.2">
      <c r="A194" s="70"/>
      <c r="B194" s="71"/>
      <c r="C194" s="72"/>
    </row>
    <row r="195" spans="1:3" ht="15" customHeight="1" x14ac:dyDescent="0.2">
      <c r="A195" s="70"/>
      <c r="B195" s="71"/>
      <c r="C195" s="72"/>
    </row>
    <row r="196" spans="1:3" ht="15" customHeight="1" x14ac:dyDescent="0.2">
      <c r="A196" s="70"/>
      <c r="B196" s="71"/>
      <c r="C196" s="72"/>
    </row>
    <row r="197" spans="1:3" ht="15" customHeight="1" x14ac:dyDescent="0.2">
      <c r="A197" s="70"/>
      <c r="B197" s="71"/>
      <c r="C197" s="72"/>
    </row>
    <row r="198" spans="1:3" ht="15" customHeight="1" x14ac:dyDescent="0.2">
      <c r="A198" s="70"/>
      <c r="B198" s="71"/>
      <c r="C198" s="72"/>
    </row>
    <row r="199" spans="1:3" ht="15" customHeight="1" x14ac:dyDescent="0.2">
      <c r="A199" s="70"/>
      <c r="B199" s="71"/>
      <c r="C199" s="72"/>
    </row>
    <row r="200" spans="1:3" ht="15" customHeight="1" x14ac:dyDescent="0.2">
      <c r="A200" s="70"/>
      <c r="B200" s="71"/>
      <c r="C200" s="72"/>
    </row>
    <row r="201" spans="1:3" ht="15" customHeight="1" x14ac:dyDescent="0.2">
      <c r="A201" s="70"/>
      <c r="B201" s="71"/>
      <c r="C201" s="72"/>
    </row>
    <row r="202" spans="1:3" ht="15" customHeight="1" x14ac:dyDescent="0.2">
      <c r="A202" s="70"/>
      <c r="B202" s="71"/>
      <c r="C202" s="72"/>
    </row>
    <row r="203" spans="1:3" ht="15" customHeight="1" x14ac:dyDescent="0.2">
      <c r="A203" s="70"/>
      <c r="B203" s="71"/>
      <c r="C203" s="72"/>
    </row>
    <row r="204" spans="1:3" ht="15" customHeight="1" x14ac:dyDescent="0.2">
      <c r="A204" s="70"/>
      <c r="B204" s="71"/>
      <c r="C204" s="72"/>
    </row>
    <row r="205" spans="1:3" ht="15" customHeight="1" x14ac:dyDescent="0.2">
      <c r="A205" s="70"/>
      <c r="B205" s="71"/>
      <c r="C205" s="72"/>
    </row>
    <row r="206" spans="1:3" ht="15" customHeight="1" x14ac:dyDescent="0.2">
      <c r="A206" s="70"/>
      <c r="B206" s="71"/>
      <c r="C206" s="72"/>
    </row>
    <row r="207" spans="1:3" ht="15" customHeight="1" x14ac:dyDescent="0.2">
      <c r="A207" s="70"/>
      <c r="B207" s="71"/>
      <c r="C207" s="72"/>
    </row>
    <row r="208" spans="1:3" ht="15" customHeight="1" x14ac:dyDescent="0.2">
      <c r="A208" s="70"/>
      <c r="B208" s="71"/>
      <c r="C208" s="72"/>
    </row>
    <row r="209" spans="1:3" ht="15" customHeight="1" x14ac:dyDescent="0.2">
      <c r="A209" s="70"/>
      <c r="B209" s="71"/>
      <c r="C209" s="72"/>
    </row>
    <row r="210" spans="1:3" ht="15" customHeight="1" x14ac:dyDescent="0.2">
      <c r="A210" s="70"/>
      <c r="B210" s="71"/>
      <c r="C210" s="72"/>
    </row>
    <row r="211" spans="1:3" ht="15" customHeight="1" x14ac:dyDescent="0.2">
      <c r="A211" s="70"/>
      <c r="B211" s="71"/>
      <c r="C211" s="72"/>
    </row>
    <row r="212" spans="1:3" ht="15" customHeight="1" x14ac:dyDescent="0.2">
      <c r="A212" s="70"/>
      <c r="B212" s="71"/>
      <c r="C212" s="72"/>
    </row>
    <row r="213" spans="1:3" ht="15" customHeight="1" x14ac:dyDescent="0.2">
      <c r="A213" s="70"/>
      <c r="B213" s="71"/>
      <c r="C213" s="72"/>
    </row>
    <row r="214" spans="1:3" ht="15" customHeight="1" x14ac:dyDescent="0.2">
      <c r="A214" s="70"/>
      <c r="B214" s="71"/>
      <c r="C214" s="72"/>
    </row>
    <row r="215" spans="1:3" ht="15" customHeight="1" x14ac:dyDescent="0.2">
      <c r="A215" s="70"/>
      <c r="B215" s="71"/>
      <c r="C215" s="72"/>
    </row>
    <row r="216" spans="1:3" ht="15" customHeight="1" x14ac:dyDescent="0.2">
      <c r="A216" s="70"/>
      <c r="B216" s="71"/>
      <c r="C216" s="72"/>
    </row>
    <row r="217" spans="1:3" ht="15" customHeight="1" x14ac:dyDescent="0.2">
      <c r="A217" s="70"/>
      <c r="B217" s="71"/>
      <c r="C217" s="72"/>
    </row>
    <row r="218" spans="1:3" ht="15" customHeight="1" x14ac:dyDescent="0.2">
      <c r="A218" s="70"/>
      <c r="B218" s="71"/>
      <c r="C218" s="72"/>
    </row>
    <row r="219" spans="1:3" ht="15" customHeight="1" x14ac:dyDescent="0.2">
      <c r="A219" s="70"/>
      <c r="B219" s="71"/>
      <c r="C219" s="72"/>
    </row>
    <row r="220" spans="1:3" ht="15" customHeight="1" x14ac:dyDescent="0.2">
      <c r="A220" s="70"/>
      <c r="B220" s="71"/>
      <c r="C220" s="72"/>
    </row>
    <row r="221" spans="1:3" ht="15" customHeight="1" x14ac:dyDescent="0.2">
      <c r="A221" s="70"/>
      <c r="B221" s="71"/>
      <c r="C221" s="72"/>
    </row>
    <row r="222" spans="1:3" ht="15" customHeight="1" x14ac:dyDescent="0.2">
      <c r="A222" s="70"/>
      <c r="B222" s="71"/>
      <c r="C222" s="72"/>
    </row>
    <row r="223" spans="1:3" ht="15" customHeight="1" x14ac:dyDescent="0.2">
      <c r="A223" s="70"/>
      <c r="B223" s="71"/>
      <c r="C223" s="72"/>
    </row>
    <row r="224" spans="1:3" ht="15" customHeight="1" x14ac:dyDescent="0.2">
      <c r="A224" s="70"/>
      <c r="B224" s="71"/>
      <c r="C224" s="72"/>
    </row>
    <row r="225" spans="1:3" ht="15" customHeight="1" x14ac:dyDescent="0.2">
      <c r="A225" s="70"/>
      <c r="B225" s="71"/>
      <c r="C225" s="72"/>
    </row>
    <row r="226" spans="1:3" ht="15" customHeight="1" x14ac:dyDescent="0.2">
      <c r="A226" s="70"/>
      <c r="B226" s="71"/>
      <c r="C226" s="72"/>
    </row>
    <row r="227" spans="1:3" ht="15" customHeight="1" x14ac:dyDescent="0.2">
      <c r="A227" s="70"/>
      <c r="B227" s="71"/>
      <c r="C227" s="72"/>
    </row>
    <row r="228" spans="1:3" ht="15" customHeight="1" x14ac:dyDescent="0.2">
      <c r="A228" s="70"/>
      <c r="B228" s="71"/>
      <c r="C228" s="72"/>
    </row>
    <row r="229" spans="1:3" ht="15" customHeight="1" x14ac:dyDescent="0.2">
      <c r="A229" s="70"/>
      <c r="B229" s="71"/>
      <c r="C229" s="72"/>
    </row>
    <row r="230" spans="1:3" ht="15" customHeight="1" x14ac:dyDescent="0.2">
      <c r="A230" s="70"/>
      <c r="B230" s="71"/>
      <c r="C230" s="72"/>
    </row>
    <row r="231" spans="1:3" ht="15" customHeight="1" x14ac:dyDescent="0.2">
      <c r="A231" s="70"/>
      <c r="B231" s="71"/>
      <c r="C231" s="72"/>
    </row>
    <row r="232" spans="1:3" ht="15" customHeight="1" x14ac:dyDescent="0.2">
      <c r="A232" s="70"/>
      <c r="B232" s="71"/>
      <c r="C232" s="72"/>
    </row>
    <row r="233" spans="1:3" ht="15" customHeight="1" x14ac:dyDescent="0.2">
      <c r="A233" s="70"/>
      <c r="B233" s="71"/>
      <c r="C233" s="72"/>
    </row>
    <row r="234" spans="1:3" ht="15" customHeight="1" x14ac:dyDescent="0.2">
      <c r="A234" s="70"/>
      <c r="B234" s="71"/>
      <c r="C234" s="72"/>
    </row>
    <row r="235" spans="1:3" ht="15" customHeight="1" x14ac:dyDescent="0.2">
      <c r="A235" s="70"/>
      <c r="B235" s="71"/>
      <c r="C235" s="72"/>
    </row>
    <row r="236" spans="1:3" ht="15" customHeight="1" x14ac:dyDescent="0.2">
      <c r="A236" s="70"/>
      <c r="B236" s="71"/>
      <c r="C236" s="72"/>
    </row>
    <row r="237" spans="1:3" ht="15" customHeight="1" x14ac:dyDescent="0.2">
      <c r="A237" s="70"/>
      <c r="B237" s="71"/>
      <c r="C237" s="72"/>
    </row>
    <row r="238" spans="1:3" ht="15" customHeight="1" x14ac:dyDescent="0.2">
      <c r="A238" s="70"/>
      <c r="B238" s="71"/>
      <c r="C238" s="72"/>
    </row>
    <row r="239" spans="1:3" ht="15" customHeight="1" x14ac:dyDescent="0.2">
      <c r="A239" s="70"/>
      <c r="B239" s="71"/>
      <c r="C239" s="72"/>
    </row>
    <row r="240" spans="1:3" ht="15" customHeight="1" x14ac:dyDescent="0.2">
      <c r="A240" s="70"/>
      <c r="B240" s="71"/>
      <c r="C240" s="72"/>
    </row>
    <row r="241" spans="1:3" ht="15" customHeight="1" x14ac:dyDescent="0.2">
      <c r="A241" s="70"/>
      <c r="B241" s="71"/>
      <c r="C241" s="72"/>
    </row>
    <row r="242" spans="1:3" ht="15" customHeight="1" x14ac:dyDescent="0.2">
      <c r="A242" s="70"/>
      <c r="B242" s="71"/>
      <c r="C242" s="72"/>
    </row>
    <row r="243" spans="1:3" ht="15" customHeight="1" x14ac:dyDescent="0.2">
      <c r="A243" s="70"/>
      <c r="B243" s="71"/>
      <c r="C243" s="72"/>
    </row>
    <row r="244" spans="1:3" ht="15" customHeight="1" x14ac:dyDescent="0.2">
      <c r="A244" s="70"/>
      <c r="B244" s="71"/>
      <c r="C244" s="72"/>
    </row>
    <row r="245" spans="1:3" ht="15" customHeight="1" x14ac:dyDescent="0.2">
      <c r="A245" s="70"/>
      <c r="B245" s="71"/>
      <c r="C245" s="72"/>
    </row>
    <row r="246" spans="1:3" ht="15" customHeight="1" x14ac:dyDescent="0.2">
      <c r="A246" s="70"/>
      <c r="B246" s="71"/>
      <c r="C246" s="72"/>
    </row>
    <row r="247" spans="1:3" ht="15" customHeight="1" x14ac:dyDescent="0.2">
      <c r="A247" s="70"/>
      <c r="B247" s="71"/>
      <c r="C247" s="72"/>
    </row>
    <row r="248" spans="1:3" ht="15" customHeight="1" x14ac:dyDescent="0.2">
      <c r="A248" s="70"/>
      <c r="B248" s="71"/>
      <c r="C248" s="72"/>
    </row>
    <row r="249" spans="1:3" ht="15" customHeight="1" x14ac:dyDescent="0.2">
      <c r="A249" s="70"/>
      <c r="B249" s="71"/>
      <c r="C249" s="72"/>
    </row>
    <row r="250" spans="1:3" ht="15" customHeight="1" x14ac:dyDescent="0.2">
      <c r="A250" s="70"/>
      <c r="B250" s="71"/>
      <c r="C250" s="72"/>
    </row>
    <row r="251" spans="1:3" ht="15" customHeight="1" x14ac:dyDescent="0.2">
      <c r="A251" s="70"/>
      <c r="B251" s="71"/>
      <c r="C251" s="72"/>
    </row>
    <row r="252" spans="1:3" ht="15" customHeight="1" x14ac:dyDescent="0.2">
      <c r="A252" s="70"/>
      <c r="B252" s="71"/>
      <c r="C252" s="72"/>
    </row>
    <row r="253" spans="1:3" ht="15" customHeight="1" x14ac:dyDescent="0.2">
      <c r="A253" s="70"/>
      <c r="B253" s="71"/>
      <c r="C253" s="72"/>
    </row>
    <row r="254" spans="1:3" ht="15" customHeight="1" x14ac:dyDescent="0.2">
      <c r="A254" s="70"/>
      <c r="B254" s="71"/>
      <c r="C254" s="72"/>
    </row>
    <row r="255" spans="1:3" ht="15" customHeight="1" x14ac:dyDescent="0.2">
      <c r="A255" s="70"/>
      <c r="B255" s="71"/>
      <c r="C255" s="72"/>
    </row>
    <row r="256" spans="1:3" ht="15" customHeight="1" x14ac:dyDescent="0.2">
      <c r="A256" s="70"/>
      <c r="B256" s="71"/>
      <c r="C256" s="72"/>
    </row>
    <row r="257" spans="1:3" ht="15" customHeight="1" x14ac:dyDescent="0.2">
      <c r="A257" s="70"/>
      <c r="B257" s="71"/>
      <c r="C257" s="72"/>
    </row>
    <row r="258" spans="1:3" ht="15" customHeight="1" x14ac:dyDescent="0.2">
      <c r="A258" s="70"/>
      <c r="B258" s="71"/>
      <c r="C258" s="72"/>
    </row>
    <row r="259" spans="1:3" ht="15" customHeight="1" x14ac:dyDescent="0.2">
      <c r="A259" s="70"/>
      <c r="B259" s="71"/>
      <c r="C259" s="72"/>
    </row>
    <row r="260" spans="1:3" ht="15" customHeight="1" x14ac:dyDescent="0.2">
      <c r="A260" s="70"/>
      <c r="B260" s="71"/>
      <c r="C260" s="72"/>
    </row>
    <row r="261" spans="1:3" ht="15" customHeight="1" x14ac:dyDescent="0.2">
      <c r="A261" s="70"/>
      <c r="B261" s="71"/>
      <c r="C261" s="72"/>
    </row>
    <row r="262" spans="1:3" ht="15" customHeight="1" x14ac:dyDescent="0.2">
      <c r="A262" s="70"/>
      <c r="B262" s="71"/>
      <c r="C262" s="72"/>
    </row>
    <row r="263" spans="1:3" ht="15" customHeight="1" x14ac:dyDescent="0.2">
      <c r="A263" s="70"/>
      <c r="B263" s="71"/>
      <c r="C263" s="72"/>
    </row>
    <row r="264" spans="1:3" ht="15" customHeight="1" x14ac:dyDescent="0.2">
      <c r="A264" s="70"/>
      <c r="B264" s="71"/>
      <c r="C264" s="72"/>
    </row>
    <row r="265" spans="1:3" ht="15" customHeight="1" x14ac:dyDescent="0.2">
      <c r="A265" s="70"/>
      <c r="B265" s="71"/>
      <c r="C265" s="72"/>
    </row>
    <row r="266" spans="1:3" ht="15" customHeight="1" x14ac:dyDescent="0.2">
      <c r="A266" s="70"/>
      <c r="B266" s="71"/>
      <c r="C266" s="72"/>
    </row>
    <row r="267" spans="1:3" ht="15" customHeight="1" x14ac:dyDescent="0.2">
      <c r="A267" s="70"/>
      <c r="B267" s="71"/>
      <c r="C267" s="72"/>
    </row>
    <row r="268" spans="1:3" ht="15" customHeight="1" x14ac:dyDescent="0.2">
      <c r="A268" s="70"/>
      <c r="B268" s="71"/>
      <c r="C268" s="72"/>
    </row>
    <row r="269" spans="1:3" ht="15" customHeight="1" x14ac:dyDescent="0.2">
      <c r="A269" s="70"/>
      <c r="B269" s="71"/>
      <c r="C269" s="72"/>
    </row>
    <row r="270" spans="1:3" ht="15" customHeight="1" x14ac:dyDescent="0.2">
      <c r="A270" s="70"/>
      <c r="B270" s="71"/>
      <c r="C270" s="72"/>
    </row>
    <row r="271" spans="1:3" ht="15" customHeight="1" x14ac:dyDescent="0.2">
      <c r="A271" s="70"/>
      <c r="B271" s="71"/>
      <c r="C271" s="72"/>
    </row>
    <row r="272" spans="1:3" ht="15" customHeight="1" x14ac:dyDescent="0.2">
      <c r="A272" s="70"/>
      <c r="B272" s="71"/>
      <c r="C272" s="72"/>
    </row>
    <row r="273" spans="1:3" ht="15" customHeight="1" x14ac:dyDescent="0.2">
      <c r="A273" s="70"/>
      <c r="B273" s="71"/>
      <c r="C273" s="72"/>
    </row>
    <row r="274" spans="1:3" ht="15" customHeight="1" x14ac:dyDescent="0.2">
      <c r="A274" s="70"/>
      <c r="B274" s="71"/>
      <c r="C274" s="72"/>
    </row>
    <row r="275" spans="1:3" ht="15" customHeight="1" x14ac:dyDescent="0.2">
      <c r="A275" s="70"/>
      <c r="B275" s="71"/>
      <c r="C275" s="72"/>
    </row>
    <row r="276" spans="1:3" ht="15" customHeight="1" x14ac:dyDescent="0.2">
      <c r="A276" s="70"/>
      <c r="B276" s="71"/>
      <c r="C276" s="72"/>
    </row>
    <row r="277" spans="1:3" ht="15" customHeight="1" x14ac:dyDescent="0.2">
      <c r="A277" s="70"/>
      <c r="B277" s="71"/>
      <c r="C277" s="72"/>
    </row>
    <row r="278" spans="1:3" ht="15" customHeight="1" x14ac:dyDescent="0.2">
      <c r="A278" s="70"/>
      <c r="B278" s="71"/>
      <c r="C278" s="72"/>
    </row>
    <row r="279" spans="1:3" ht="15" customHeight="1" x14ac:dyDescent="0.2">
      <c r="A279" s="70"/>
      <c r="B279" s="71"/>
      <c r="C279" s="72"/>
    </row>
    <row r="280" spans="1:3" ht="15" customHeight="1" x14ac:dyDescent="0.2">
      <c r="A280" s="70"/>
      <c r="B280" s="71"/>
      <c r="C280" s="72"/>
    </row>
    <row r="281" spans="1:3" ht="15" customHeight="1" x14ac:dyDescent="0.2">
      <c r="A281" s="70"/>
      <c r="B281" s="71"/>
      <c r="C281" s="72"/>
    </row>
    <row r="282" spans="1:3" ht="15" customHeight="1" x14ac:dyDescent="0.2">
      <c r="A282" s="70"/>
      <c r="B282" s="71"/>
      <c r="C282" s="72"/>
    </row>
    <row r="283" spans="1:3" ht="15" customHeight="1" x14ac:dyDescent="0.2">
      <c r="A283" s="70"/>
      <c r="B283" s="71"/>
      <c r="C283" s="72"/>
    </row>
    <row r="284" spans="1:3" ht="15" customHeight="1" x14ac:dyDescent="0.2">
      <c r="A284" s="70"/>
      <c r="B284" s="71"/>
      <c r="C284" s="72"/>
    </row>
    <row r="285" spans="1:3" ht="15" customHeight="1" x14ac:dyDescent="0.2">
      <c r="A285" s="70"/>
      <c r="B285" s="71"/>
      <c r="C285" s="72"/>
    </row>
    <row r="286" spans="1:3" ht="15" customHeight="1" x14ac:dyDescent="0.2">
      <c r="A286" s="70"/>
      <c r="B286" s="71"/>
      <c r="C286" s="72"/>
    </row>
    <row r="287" spans="1:3" ht="15" customHeight="1" x14ac:dyDescent="0.2">
      <c r="A287" s="70"/>
      <c r="B287" s="71"/>
      <c r="C287" s="72"/>
    </row>
    <row r="288" spans="1:3" ht="15" customHeight="1" x14ac:dyDescent="0.2">
      <c r="A288" s="70"/>
      <c r="B288" s="71"/>
      <c r="C288" s="72"/>
    </row>
    <row r="289" spans="1:3" ht="15" customHeight="1" x14ac:dyDescent="0.2">
      <c r="A289" s="70"/>
      <c r="B289" s="71"/>
      <c r="C289" s="72"/>
    </row>
    <row r="290" spans="1:3" ht="15" customHeight="1" x14ac:dyDescent="0.2">
      <c r="A290" s="70"/>
      <c r="B290" s="71"/>
      <c r="C290" s="72"/>
    </row>
    <row r="291" spans="1:3" ht="15" customHeight="1" x14ac:dyDescent="0.2">
      <c r="A291" s="70"/>
      <c r="B291" s="71"/>
      <c r="C291" s="72"/>
    </row>
    <row r="292" spans="1:3" ht="15" customHeight="1" x14ac:dyDescent="0.2">
      <c r="A292" s="70"/>
      <c r="B292" s="71"/>
      <c r="C292" s="72"/>
    </row>
    <row r="293" spans="1:3" ht="15" customHeight="1" x14ac:dyDescent="0.2">
      <c r="A293" s="70"/>
      <c r="B293" s="71"/>
      <c r="C293" s="72"/>
    </row>
    <row r="294" spans="1:3" ht="15" customHeight="1" x14ac:dyDescent="0.2">
      <c r="A294" s="70"/>
      <c r="B294" s="71"/>
      <c r="C294" s="72"/>
    </row>
    <row r="295" spans="1:3" ht="15" customHeight="1" x14ac:dyDescent="0.2">
      <c r="A295" s="70"/>
      <c r="B295" s="71"/>
      <c r="C295" s="72"/>
    </row>
    <row r="296" spans="1:3" ht="15" customHeight="1" x14ac:dyDescent="0.2">
      <c r="A296" s="70"/>
      <c r="B296" s="71"/>
      <c r="C296" s="72"/>
    </row>
    <row r="297" spans="1:3" ht="15" customHeight="1" x14ac:dyDescent="0.2">
      <c r="A297" s="70"/>
      <c r="B297" s="71"/>
      <c r="C297" s="72"/>
    </row>
    <row r="298" spans="1:3" ht="15" customHeight="1" x14ac:dyDescent="0.2">
      <c r="A298" s="70"/>
      <c r="B298" s="71"/>
      <c r="C298" s="72"/>
    </row>
    <row r="299" spans="1:3" ht="15" customHeight="1" x14ac:dyDescent="0.2">
      <c r="A299" s="70"/>
      <c r="B299" s="71"/>
      <c r="C299" s="72"/>
    </row>
    <row r="300" spans="1:3" ht="15" customHeight="1" x14ac:dyDescent="0.2">
      <c r="A300" s="70"/>
      <c r="B300" s="71"/>
      <c r="C300" s="72"/>
    </row>
    <row r="301" spans="1:3" ht="15" customHeight="1" x14ac:dyDescent="0.2">
      <c r="A301" s="70"/>
      <c r="B301" s="71"/>
      <c r="C301" s="72"/>
    </row>
    <row r="302" spans="1:3" ht="15" customHeight="1" x14ac:dyDescent="0.2">
      <c r="A302" s="70"/>
      <c r="B302" s="71"/>
      <c r="C302" s="72"/>
    </row>
  </sheetData>
  <mergeCells count="1">
    <mergeCell ref="A1:C1"/>
  </mergeCells>
  <pageMargins left="0.75" right="0.75" top="1" bottom="1" header="0.511811023622047" footer="0.511811023622047"/>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58"/>
  <sheetViews>
    <sheetView showGridLines="0" tabSelected="1" zoomScaleNormal="100" workbookViewId="0">
      <selection activeCell="H10" sqref="H10"/>
    </sheetView>
  </sheetViews>
  <sheetFormatPr baseColWidth="10" defaultColWidth="8.6640625" defaultRowHeight="15" x14ac:dyDescent="0.2"/>
  <cols>
    <col min="1" max="1" width="26" customWidth="1"/>
    <col min="2" max="2" width="45" customWidth="1"/>
    <col min="3" max="3" width="10" customWidth="1"/>
    <col min="4" max="4" width="55" customWidth="1"/>
    <col min="5" max="6" width="1" customWidth="1"/>
  </cols>
  <sheetData>
    <row r="1" spans="1:6" ht="19.5" customHeight="1" x14ac:dyDescent="0.2">
      <c r="A1" s="14" t="s">
        <v>324</v>
      </c>
      <c r="B1" s="14"/>
      <c r="C1" s="14"/>
      <c r="D1" s="14"/>
      <c r="E1" s="14"/>
      <c r="F1" s="14"/>
    </row>
    <row r="2" spans="1:6" ht="39.75" customHeight="1" x14ac:dyDescent="0.2">
      <c r="A2" s="7" t="s">
        <v>325</v>
      </c>
      <c r="B2" s="7"/>
      <c r="C2" s="7"/>
      <c r="D2" s="7"/>
      <c r="E2" s="7"/>
      <c r="F2" s="7"/>
    </row>
    <row r="4" spans="1:6" ht="15" customHeight="1" x14ac:dyDescent="0.2">
      <c r="A4" s="76" t="s">
        <v>326</v>
      </c>
      <c r="B4" s="76"/>
      <c r="C4" s="76"/>
      <c r="D4" s="76"/>
      <c r="E4" s="76"/>
      <c r="F4" s="76"/>
    </row>
    <row r="5" spans="1:6" ht="15" customHeight="1" x14ac:dyDescent="0.2">
      <c r="A5" s="44" t="s">
        <v>327</v>
      </c>
      <c r="B5" s="44" t="s">
        <v>328</v>
      </c>
      <c r="C5" s="44" t="s">
        <v>329</v>
      </c>
      <c r="D5" s="44" t="s">
        <v>330</v>
      </c>
    </row>
    <row r="6" spans="1:6" ht="15" customHeight="1" x14ac:dyDescent="0.2">
      <c r="A6" s="73" t="s">
        <v>331</v>
      </c>
      <c r="B6" s="73" t="s">
        <v>332</v>
      </c>
      <c r="C6" s="73" t="s">
        <v>332</v>
      </c>
      <c r="D6" s="77" t="s">
        <v>333</v>
      </c>
      <c r="E6" s="77"/>
      <c r="F6" s="77"/>
    </row>
    <row r="8" spans="1:6" ht="15" customHeight="1" x14ac:dyDescent="0.2">
      <c r="A8" s="76" t="s">
        <v>334</v>
      </c>
      <c r="B8" s="76"/>
      <c r="C8" s="76"/>
      <c r="D8" s="76"/>
      <c r="E8" s="76"/>
      <c r="F8" s="76"/>
    </row>
    <row r="9" spans="1:6" ht="15" customHeight="1" x14ac:dyDescent="0.2">
      <c r="A9" s="44" t="s">
        <v>327</v>
      </c>
      <c r="B9" s="44" t="s">
        <v>328</v>
      </c>
      <c r="C9" s="44" t="s">
        <v>329</v>
      </c>
      <c r="D9" s="44" t="s">
        <v>330</v>
      </c>
    </row>
    <row r="10" spans="1:6" ht="27.75" customHeight="1" x14ac:dyDescent="0.2">
      <c r="A10" s="73" t="s">
        <v>335</v>
      </c>
      <c r="B10" s="73" t="s">
        <v>332</v>
      </c>
      <c r="C10" s="73" t="s">
        <v>336</v>
      </c>
      <c r="D10" s="77" t="s">
        <v>337</v>
      </c>
      <c r="E10" s="77"/>
      <c r="F10" s="77"/>
    </row>
    <row r="12" spans="1:6" ht="15" customHeight="1" x14ac:dyDescent="0.2">
      <c r="A12" s="76" t="s">
        <v>338</v>
      </c>
      <c r="B12" s="76"/>
      <c r="C12" s="76"/>
      <c r="D12" s="76"/>
      <c r="E12" s="76"/>
      <c r="F12" s="76"/>
    </row>
    <row r="13" spans="1:6" ht="15" customHeight="1" x14ac:dyDescent="0.2">
      <c r="A13" s="44" t="s">
        <v>327</v>
      </c>
      <c r="B13" s="44" t="s">
        <v>328</v>
      </c>
      <c r="C13" s="44" t="s">
        <v>329</v>
      </c>
      <c r="D13" s="44" t="s">
        <v>330</v>
      </c>
    </row>
    <row r="14" spans="1:6" ht="36.75" customHeight="1" x14ac:dyDescent="0.2">
      <c r="A14" s="73" t="s">
        <v>339</v>
      </c>
      <c r="B14" s="73" t="s">
        <v>340</v>
      </c>
      <c r="C14" s="73" t="s">
        <v>341</v>
      </c>
      <c r="D14" s="77" t="s">
        <v>342</v>
      </c>
      <c r="E14" s="77"/>
      <c r="F14" s="77"/>
    </row>
    <row r="16" spans="1:6" ht="15" customHeight="1" x14ac:dyDescent="0.2">
      <c r="A16" s="76" t="s">
        <v>343</v>
      </c>
      <c r="B16" s="76"/>
      <c r="C16" s="76"/>
      <c r="D16" s="76"/>
      <c r="E16" s="76"/>
      <c r="F16" s="76"/>
    </row>
    <row r="17" spans="1:6" ht="15" customHeight="1" x14ac:dyDescent="0.2">
      <c r="A17" s="44" t="s">
        <v>327</v>
      </c>
      <c r="B17" s="44" t="s">
        <v>328</v>
      </c>
      <c r="C17" s="44" t="s">
        <v>329</v>
      </c>
      <c r="D17" s="44" t="s">
        <v>330</v>
      </c>
    </row>
    <row r="18" spans="1:6" ht="18.75" customHeight="1" x14ac:dyDescent="0.2">
      <c r="A18" s="73" t="s">
        <v>344</v>
      </c>
      <c r="B18" s="73" t="s">
        <v>332</v>
      </c>
      <c r="C18" s="73" t="s">
        <v>345</v>
      </c>
      <c r="D18" s="77" t="s">
        <v>346</v>
      </c>
      <c r="E18" s="77"/>
      <c r="F18" s="77"/>
    </row>
    <row r="20" spans="1:6" ht="15" customHeight="1" x14ac:dyDescent="0.2">
      <c r="A20" s="76" t="s">
        <v>347</v>
      </c>
      <c r="B20" s="76"/>
      <c r="C20" s="76"/>
      <c r="D20" s="76"/>
      <c r="E20" s="76"/>
      <c r="F20" s="76"/>
    </row>
    <row r="21" spans="1:6" ht="15" customHeight="1" x14ac:dyDescent="0.2">
      <c r="A21" s="44" t="s">
        <v>327</v>
      </c>
      <c r="B21" s="44" t="s">
        <v>328</v>
      </c>
      <c r="C21" s="44" t="s">
        <v>329</v>
      </c>
      <c r="D21" s="44" t="s">
        <v>330</v>
      </c>
    </row>
    <row r="22" spans="1:6" ht="63.75" customHeight="1" x14ac:dyDescent="0.2">
      <c r="A22" s="73" t="s">
        <v>348</v>
      </c>
      <c r="B22" s="73" t="s">
        <v>349</v>
      </c>
      <c r="C22" s="73" t="s">
        <v>350</v>
      </c>
      <c r="D22" s="77" t="s">
        <v>351</v>
      </c>
      <c r="E22" s="77"/>
      <c r="F22" s="77"/>
    </row>
    <row r="24" spans="1:6" ht="15" customHeight="1" x14ac:dyDescent="0.2">
      <c r="A24" s="76" t="s">
        <v>352</v>
      </c>
      <c r="B24" s="76"/>
      <c r="C24" s="76"/>
      <c r="D24" s="76"/>
      <c r="E24" s="76"/>
      <c r="F24" s="76"/>
    </row>
    <row r="25" spans="1:6" ht="15" customHeight="1" x14ac:dyDescent="0.2">
      <c r="A25" s="44" t="s">
        <v>327</v>
      </c>
      <c r="B25" s="44" t="s">
        <v>328</v>
      </c>
      <c r="C25" s="44" t="s">
        <v>329</v>
      </c>
      <c r="D25" s="44" t="s">
        <v>330</v>
      </c>
    </row>
    <row r="26" spans="1:6" ht="45.75" customHeight="1" x14ac:dyDescent="0.2">
      <c r="A26" s="73" t="s">
        <v>348</v>
      </c>
      <c r="B26" s="73" t="s">
        <v>353</v>
      </c>
      <c r="C26" s="73" t="s">
        <v>354</v>
      </c>
      <c r="D26" s="77" t="s">
        <v>355</v>
      </c>
      <c r="E26" s="77"/>
      <c r="F26" s="77"/>
    </row>
    <row r="28" spans="1:6" ht="15" customHeight="1" x14ac:dyDescent="0.2">
      <c r="A28" s="76" t="s">
        <v>356</v>
      </c>
      <c r="B28" s="76"/>
      <c r="C28" s="76"/>
      <c r="D28" s="76"/>
      <c r="E28" s="76"/>
      <c r="F28" s="76"/>
    </row>
    <row r="29" spans="1:6" ht="15" customHeight="1" x14ac:dyDescent="0.2">
      <c r="A29" s="44" t="s">
        <v>327</v>
      </c>
      <c r="B29" s="44" t="s">
        <v>328</v>
      </c>
      <c r="C29" s="44" t="s">
        <v>329</v>
      </c>
      <c r="D29" s="44" t="s">
        <v>330</v>
      </c>
    </row>
    <row r="30" spans="1:6" ht="27.75" customHeight="1" x14ac:dyDescent="0.2">
      <c r="A30" s="73" t="s">
        <v>348</v>
      </c>
      <c r="B30" s="73" t="s">
        <v>357</v>
      </c>
      <c r="C30" s="73" t="s">
        <v>358</v>
      </c>
      <c r="D30" s="77" t="s">
        <v>359</v>
      </c>
      <c r="E30" s="77"/>
      <c r="F30" s="77"/>
    </row>
    <row r="32" spans="1:6" ht="15" customHeight="1" x14ac:dyDescent="0.2">
      <c r="A32" s="76" t="s">
        <v>360</v>
      </c>
      <c r="B32" s="76"/>
      <c r="C32" s="76"/>
      <c r="D32" s="76"/>
      <c r="E32" s="76"/>
      <c r="F32" s="76"/>
    </row>
    <row r="33" spans="1:6" ht="15" customHeight="1" x14ac:dyDescent="0.2">
      <c r="A33" s="44" t="s">
        <v>327</v>
      </c>
      <c r="B33" s="44" t="s">
        <v>328</v>
      </c>
      <c r="C33" s="44" t="s">
        <v>329</v>
      </c>
      <c r="D33" s="44" t="s">
        <v>330</v>
      </c>
    </row>
    <row r="34" spans="1:6" ht="45.75" customHeight="1" x14ac:dyDescent="0.2">
      <c r="A34" s="73" t="s">
        <v>339</v>
      </c>
      <c r="B34" s="73" t="s">
        <v>361</v>
      </c>
      <c r="C34" s="73" t="s">
        <v>362</v>
      </c>
      <c r="D34" s="77" t="s">
        <v>363</v>
      </c>
      <c r="E34" s="77"/>
      <c r="F34" s="77"/>
    </row>
    <row r="36" spans="1:6" ht="15" customHeight="1" x14ac:dyDescent="0.2">
      <c r="A36" s="76" t="s">
        <v>364</v>
      </c>
      <c r="B36" s="76"/>
      <c r="C36" s="76"/>
      <c r="D36" s="76"/>
      <c r="E36" s="76"/>
      <c r="F36" s="76"/>
    </row>
    <row r="37" spans="1:6" ht="15" customHeight="1" x14ac:dyDescent="0.2">
      <c r="A37" s="44" t="s">
        <v>327</v>
      </c>
      <c r="B37" s="44" t="s">
        <v>328</v>
      </c>
      <c r="C37" s="44" t="s">
        <v>329</v>
      </c>
      <c r="D37" s="44" t="s">
        <v>330</v>
      </c>
    </row>
    <row r="38" spans="1:6" ht="36.75" customHeight="1" x14ac:dyDescent="0.2">
      <c r="A38" s="73" t="s">
        <v>339</v>
      </c>
      <c r="B38" s="73" t="s">
        <v>365</v>
      </c>
      <c r="C38" s="73" t="s">
        <v>366</v>
      </c>
      <c r="D38" s="77" t="s">
        <v>367</v>
      </c>
      <c r="E38" s="77"/>
      <c r="F38" s="77"/>
    </row>
    <row r="40" spans="1:6" ht="15" customHeight="1" x14ac:dyDescent="0.2">
      <c r="A40" s="76" t="s">
        <v>368</v>
      </c>
      <c r="B40" s="76"/>
      <c r="C40" s="76"/>
      <c r="D40" s="76"/>
      <c r="E40" s="76"/>
      <c r="F40" s="76"/>
    </row>
    <row r="41" spans="1:6" ht="15" customHeight="1" x14ac:dyDescent="0.2">
      <c r="A41" s="44" t="s">
        <v>327</v>
      </c>
      <c r="B41" s="44" t="s">
        <v>328</v>
      </c>
      <c r="C41" s="44" t="s">
        <v>329</v>
      </c>
      <c r="D41" s="44" t="s">
        <v>330</v>
      </c>
    </row>
    <row r="42" spans="1:6" ht="36.75" customHeight="1" x14ac:dyDescent="0.2">
      <c r="A42" s="73" t="s">
        <v>348</v>
      </c>
      <c r="B42" s="73" t="s">
        <v>369</v>
      </c>
      <c r="C42" s="73" t="s">
        <v>370</v>
      </c>
      <c r="D42" s="77" t="s">
        <v>371</v>
      </c>
      <c r="E42" s="77"/>
      <c r="F42" s="77"/>
    </row>
    <row r="44" spans="1:6" ht="15" customHeight="1" x14ac:dyDescent="0.2">
      <c r="A44" s="76" t="s">
        <v>372</v>
      </c>
      <c r="B44" s="76"/>
      <c r="C44" s="76"/>
      <c r="D44" s="76"/>
      <c r="E44" s="76"/>
      <c r="F44" s="76"/>
    </row>
    <row r="45" spans="1:6" ht="15" customHeight="1" x14ac:dyDescent="0.2">
      <c r="A45" s="44" t="s">
        <v>327</v>
      </c>
      <c r="B45" s="44" t="s">
        <v>328</v>
      </c>
      <c r="C45" s="44" t="s">
        <v>329</v>
      </c>
      <c r="D45" s="44" t="s">
        <v>330</v>
      </c>
    </row>
    <row r="46" spans="1:6" ht="18.75" customHeight="1" x14ac:dyDescent="0.2">
      <c r="A46" s="73" t="s">
        <v>344</v>
      </c>
      <c r="B46" s="73" t="s">
        <v>332</v>
      </c>
      <c r="C46" s="73" t="s">
        <v>373</v>
      </c>
      <c r="D46" s="77" t="s">
        <v>374</v>
      </c>
      <c r="E46" s="77"/>
      <c r="F46" s="77"/>
    </row>
    <row r="48" spans="1:6" ht="15" customHeight="1" x14ac:dyDescent="0.2">
      <c r="A48" s="76" t="s">
        <v>375</v>
      </c>
      <c r="B48" s="76"/>
      <c r="C48" s="76"/>
      <c r="D48" s="76"/>
      <c r="E48" s="76"/>
      <c r="F48" s="76"/>
    </row>
    <row r="49" spans="1:6" ht="15" customHeight="1" x14ac:dyDescent="0.2">
      <c r="A49" s="44" t="s">
        <v>327</v>
      </c>
      <c r="B49" s="44" t="s">
        <v>328</v>
      </c>
      <c r="C49" s="44" t="s">
        <v>329</v>
      </c>
      <c r="D49" s="44" t="s">
        <v>330</v>
      </c>
    </row>
    <row r="50" spans="1:6" ht="18.75" customHeight="1" x14ac:dyDescent="0.2">
      <c r="A50" s="73" t="s">
        <v>376</v>
      </c>
      <c r="B50" s="73" t="s">
        <v>332</v>
      </c>
      <c r="C50" s="73" t="s">
        <v>377</v>
      </c>
      <c r="D50" s="77" t="s">
        <v>378</v>
      </c>
      <c r="E50" s="77"/>
      <c r="F50" s="77"/>
    </row>
    <row r="52" spans="1:6" ht="15" customHeight="1" x14ac:dyDescent="0.2">
      <c r="A52" s="76" t="s">
        <v>379</v>
      </c>
      <c r="B52" s="76"/>
      <c r="C52" s="76"/>
      <c r="D52" s="76"/>
      <c r="E52" s="76"/>
      <c r="F52" s="76"/>
    </row>
    <row r="53" spans="1:6" ht="15" customHeight="1" x14ac:dyDescent="0.2">
      <c r="A53" s="44" t="s">
        <v>327</v>
      </c>
      <c r="B53" s="44" t="s">
        <v>328</v>
      </c>
      <c r="C53" s="44" t="s">
        <v>329</v>
      </c>
      <c r="D53" s="44" t="s">
        <v>330</v>
      </c>
    </row>
    <row r="54" spans="1:6" ht="36.75" customHeight="1" x14ac:dyDescent="0.2">
      <c r="A54" s="73" t="s">
        <v>380</v>
      </c>
      <c r="B54" s="73" t="s">
        <v>332</v>
      </c>
      <c r="C54" s="73" t="s">
        <v>381</v>
      </c>
      <c r="D54" s="77" t="s">
        <v>382</v>
      </c>
      <c r="E54" s="77"/>
      <c r="F54" s="77"/>
    </row>
    <row r="56" spans="1:6" ht="15" customHeight="1" x14ac:dyDescent="0.2">
      <c r="A56" s="76" t="s">
        <v>383</v>
      </c>
      <c r="B56" s="76"/>
      <c r="C56" s="76"/>
      <c r="D56" s="76"/>
      <c r="E56" s="76"/>
      <c r="F56" s="76"/>
    </row>
    <row r="57" spans="1:6" ht="15" customHeight="1" x14ac:dyDescent="0.2">
      <c r="A57" s="44" t="s">
        <v>327</v>
      </c>
      <c r="B57" s="44" t="s">
        <v>328</v>
      </c>
      <c r="C57" s="44" t="s">
        <v>329</v>
      </c>
      <c r="D57" s="44" t="s">
        <v>330</v>
      </c>
    </row>
    <row r="58" spans="1:6" ht="18.75" customHeight="1" x14ac:dyDescent="0.2">
      <c r="A58" s="73" t="s">
        <v>348</v>
      </c>
      <c r="B58" s="73" t="s">
        <v>384</v>
      </c>
      <c r="C58" s="73" t="s">
        <v>385</v>
      </c>
      <c r="D58" s="77" t="s">
        <v>386</v>
      </c>
      <c r="E58" s="77"/>
      <c r="F58" s="77"/>
    </row>
  </sheetData>
  <mergeCells count="30">
    <mergeCell ref="D50:F50"/>
    <mergeCell ref="A52:F52"/>
    <mergeCell ref="D54:F54"/>
    <mergeCell ref="A56:F56"/>
    <mergeCell ref="D58:F58"/>
    <mergeCell ref="A40:F40"/>
    <mergeCell ref="D42:F42"/>
    <mergeCell ref="A44:F44"/>
    <mergeCell ref="D46:F46"/>
    <mergeCell ref="A48:F48"/>
    <mergeCell ref="D30:F30"/>
    <mergeCell ref="A32:F32"/>
    <mergeCell ref="D34:F34"/>
    <mergeCell ref="A36:F36"/>
    <mergeCell ref="D38:F38"/>
    <mergeCell ref="A20:F20"/>
    <mergeCell ref="D22:F22"/>
    <mergeCell ref="A24:F24"/>
    <mergeCell ref="D26:F26"/>
    <mergeCell ref="A28:F28"/>
    <mergeCell ref="D10:F10"/>
    <mergeCell ref="A12:F12"/>
    <mergeCell ref="D14:F14"/>
    <mergeCell ref="A16:F16"/>
    <mergeCell ref="D18:F18"/>
    <mergeCell ref="A1:F1"/>
    <mergeCell ref="A2:F2"/>
    <mergeCell ref="A4:F4"/>
    <mergeCell ref="D6:F6"/>
    <mergeCell ref="A8:F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Instructions</vt:lpstr>
      <vt:lpstr>Action Items</vt:lpstr>
      <vt:lpstr>Current Positions</vt:lpstr>
      <vt:lpstr>Monitor &amp; Recheck Triggers</vt:lpstr>
      <vt:lpstr>Price History</vt:lpstr>
      <vt:lpstr>Dashboard</vt:lpstr>
      <vt:lpstr>Scoring</vt:lpstr>
      <vt:lpstr>Entry Checklist</vt:lpstr>
      <vt:lpstr>Market Data</vt:lpstr>
      <vt:lpstr>Returns (Calc)</vt:lpstr>
      <vt:lpstr>Correlation Matrix</vt:lpstr>
      <vt:lpstr>Portfolio Drawdown Log</vt:lpstr>
      <vt:lpstr>Watch List Tracker</vt:lpstr>
      <vt:lpstr>Implied-Return Calculator</vt:lpstr>
      <vt:lpstr>Holding Monitor</vt:lpstr>
      <vt:lpstr>Performance Tracking</vt:lpstr>
      <vt:lpstr>Journal</vt:lpstr>
      <vt:lpstr>Schema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Alan Landry</cp:lastModifiedBy>
  <cp:revision>0</cp:revision>
  <dcterms:created xsi:type="dcterms:W3CDTF">2026-08-05T19:31:08Z</dcterms:created>
  <dcterms:modified xsi:type="dcterms:W3CDTF">2026-08-06T20:16:47Z</dcterms:modified>
  <dc:language>en-US</dc:language>
</cp:coreProperties>
</file>