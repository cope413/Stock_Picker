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l\GitHub\Stock_Picker\"/>
    </mc:Choice>
  </mc:AlternateContent>
  <xr:revisionPtr revIDLastSave="0" documentId="8_{33A30B0D-81A4-43BF-825C-3381433DCC93}" xr6:coauthVersionLast="47" xr6:coauthVersionMax="47" xr10:uidLastSave="{00000000-0000-0000-0000-000000000000}"/>
  <bookViews>
    <workbookView xWindow="1728" yWindow="0" windowWidth="21312" windowHeight="12960" xr2:uid="{57F4BC12-09CD-42EC-8438-3EDE31333A23}"/>
  </bookViews>
  <sheets>
    <sheet name="FIDELITY_Positions_Sep-04-2026" sheetId="1" r:id="rId1"/>
  </sheets>
  <calcPr calcId="0"/>
</workbook>
</file>

<file path=xl/calcChain.xml><?xml version="1.0" encoding="utf-8"?>
<calcChain xmlns="http://schemas.openxmlformats.org/spreadsheetml/2006/main">
  <c r="L26" i="1" l="1"/>
  <c r="N26" i="1"/>
  <c r="M26" i="1"/>
  <c r="K26" i="1"/>
  <c r="I26" i="1"/>
  <c r="H26" i="1"/>
  <c r="N14" i="1"/>
  <c r="M14" i="1"/>
  <c r="I14" i="1"/>
  <c r="K14" i="1"/>
  <c r="L14" i="1" s="1"/>
  <c r="H14" i="1"/>
</calcChain>
</file>

<file path=xl/sharedStrings.xml><?xml version="1.0" encoding="utf-8"?>
<sst xmlns="http://schemas.openxmlformats.org/spreadsheetml/2006/main" count="115" uniqueCount="60">
  <si>
    <t>Account number</t>
  </si>
  <si>
    <t>Account name</t>
  </si>
  <si>
    <t>Symbol</t>
  </si>
  <si>
    <t>Description</t>
  </si>
  <si>
    <t>Quantity</t>
  </si>
  <si>
    <t>Last price</t>
  </si>
  <si>
    <t>Last price change</t>
  </si>
  <si>
    <t>Current value</t>
  </si>
  <si>
    <t>Today's gain/loss dollar</t>
  </si>
  <si>
    <t>Total gain/loss dollar</t>
  </si>
  <si>
    <t>Total gain/loss percent</t>
  </si>
  <si>
    <t>Cost basis total</t>
  </si>
  <si>
    <t>Average cost basis</t>
  </si>
  <si>
    <t>Type</t>
  </si>
  <si>
    <t>X64063711</t>
  </si>
  <si>
    <t>JT ULTRA_3711</t>
  </si>
  <si>
    <t>HELD IN MONEY MARKET</t>
  </si>
  <si>
    <t>Cash</t>
  </si>
  <si>
    <t>FZDXX</t>
  </si>
  <si>
    <t>FIDELITY MMKT PREMIUM CLASS</t>
  </si>
  <si>
    <t>--</t>
  </si>
  <si>
    <t>ADBE</t>
  </si>
  <si>
    <t>ADOBE INC COM</t>
  </si>
  <si>
    <t>Margin</t>
  </si>
  <si>
    <t>VFLO</t>
  </si>
  <si>
    <t>VICTORY PORTFOLIOS II SHARES FREE CASH</t>
  </si>
  <si>
    <t>SCHD</t>
  </si>
  <si>
    <t>SCHWAB US DIVIDEND EQUITY ETF</t>
  </si>
  <si>
    <t>VYM</t>
  </si>
  <si>
    <t>VANGUARD WHITEHALL FDS HIGH DIV YLD</t>
  </si>
  <si>
    <t>DVY</t>
  </si>
  <si>
    <t>ISHARES SELECT DIVIDEND ETF</t>
  </si>
  <si>
    <t>MLPI</t>
  </si>
  <si>
    <t>NEOS ETF TRUST MLP EN IN HI ETF</t>
  </si>
  <si>
    <t>SPMO</t>
  </si>
  <si>
    <t>INVESCO EXCH TRADED FD TR II S&amp;P 500 MOMNTM</t>
  </si>
  <si>
    <t>PLTR</t>
  </si>
  <si>
    <t>PALANTIR TECHNOLOGIES INC CL A</t>
  </si>
  <si>
    <t>VRT</t>
  </si>
  <si>
    <t>VERTIV HOLDINGS CO COM CL A</t>
  </si>
  <si>
    <t>ASML</t>
  </si>
  <si>
    <t>ASML HOLDING NV EUR0.09 NY REGISTRY SHS 2012</t>
  </si>
  <si>
    <t>KLAC</t>
  </si>
  <si>
    <t>KLA CORP COM NEW</t>
  </si>
  <si>
    <t>MU</t>
  </si>
  <si>
    <t>MICRON TECHNOLOGY INC COM</t>
  </si>
  <si>
    <t>ANET</t>
  </si>
  <si>
    <t>ARISTA NETWORKS INC COM SHS</t>
  </si>
  <si>
    <t>NVDA</t>
  </si>
  <si>
    <t>NVIDIA CORPORATION COM</t>
  </si>
  <si>
    <t>CRWD</t>
  </si>
  <si>
    <t>CROWDSTRIKE HLDGS INC CL A</t>
  </si>
  <si>
    <t>TSM</t>
  </si>
  <si>
    <t>TAIWAN SEMICONDUCTOR MANUFACTURING SPON ADS EACH REP 5 ORD TWD10</t>
  </si>
  <si>
    <t>Date downloaded Sep-07-2026 1:29 p.m ET</t>
  </si>
  <si>
    <t>EQUITIES - ETFs</t>
  </si>
  <si>
    <t>CASH - CASH EQUIVALENTS</t>
  </si>
  <si>
    <t>% of account</t>
  </si>
  <si>
    <t>Today's gain/loss
%</t>
  </si>
  <si>
    <t>FZFXX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</si>
</sst>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20" x14ac:knownFonts="1">
    <font>
      <sz val="10"/>
      <color theme="1"/>
      <name val="Arial Narrow"/>
      <family val="2"/>
    </font>
    <font>
      <sz val="10"/>
      <color theme="1"/>
      <name val="Arial Narrow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 Narrow"/>
      <family val="2"/>
    </font>
    <font>
      <b/>
      <sz val="13"/>
      <color theme="3"/>
      <name val="Arial Narrow"/>
      <family val="2"/>
    </font>
    <font>
      <b/>
      <sz val="11"/>
      <color theme="3"/>
      <name val="Arial Narrow"/>
      <family val="2"/>
    </font>
    <font>
      <sz val="10"/>
      <color rgb="FF006100"/>
      <name val="Arial Narrow"/>
      <family val="2"/>
    </font>
    <font>
      <sz val="10"/>
      <color rgb="FF9C0006"/>
      <name val="Arial Narrow"/>
      <family val="2"/>
    </font>
    <font>
      <sz val="10"/>
      <color rgb="FF9C5700"/>
      <name val="Arial Narrow"/>
      <family val="2"/>
    </font>
    <font>
      <sz val="10"/>
      <color rgb="FF3F3F76"/>
      <name val="Arial Narrow"/>
      <family val="2"/>
    </font>
    <font>
      <b/>
      <sz val="10"/>
      <color rgb="FF3F3F3F"/>
      <name val="Arial Narrow"/>
      <family val="2"/>
    </font>
    <font>
      <b/>
      <sz val="10"/>
      <color rgb="FFFA7D00"/>
      <name val="Arial Narrow"/>
      <family val="2"/>
    </font>
    <font>
      <sz val="10"/>
      <color rgb="FFFA7D00"/>
      <name val="Arial Narrow"/>
      <family val="2"/>
    </font>
    <font>
      <b/>
      <sz val="10"/>
      <color theme="0"/>
      <name val="Arial Narrow"/>
      <family val="2"/>
    </font>
    <font>
      <sz val="10"/>
      <color rgb="FFFF0000"/>
      <name val="Arial Narrow"/>
      <family val="2"/>
    </font>
    <font>
      <i/>
      <sz val="10"/>
      <color rgb="FF7F7F7F"/>
      <name val="Arial Narrow"/>
      <family val="2"/>
    </font>
    <font>
      <b/>
      <sz val="10"/>
      <color theme="1"/>
      <name val="Arial Narrow"/>
      <family val="2"/>
    </font>
    <font>
      <sz val="10"/>
      <color theme="0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8" fontId="0" fillId="0" borderId="0" xfId="0" applyNumberFormat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6" fillId="0" borderId="0" xfId="0" applyFont="1"/>
    <xf numFmtId="4" fontId="0" fillId="0" borderId="0" xfId="0" applyNumberFormat="1" applyAlignment="1">
      <alignment horizontal="center"/>
    </xf>
    <xf numFmtId="0" fontId="18" fillId="33" borderId="10" xfId="0" applyFont="1" applyFill="1" applyBorder="1" applyAlignment="1">
      <alignment horizontal="center" wrapText="1"/>
    </xf>
    <xf numFmtId="0" fontId="16" fillId="33" borderId="10" xfId="0" applyFont="1" applyFill="1" applyBorder="1" applyAlignment="1">
      <alignment horizontal="center" wrapText="1"/>
    </xf>
    <xf numFmtId="4" fontId="16" fillId="33" borderId="10" xfId="0" applyNumberFormat="1" applyFont="1" applyFill="1" applyBorder="1" applyAlignment="1">
      <alignment horizontal="center" wrapText="1"/>
    </xf>
    <xf numFmtId="10" fontId="0" fillId="0" borderId="0" xfId="0" applyNumberFormat="1" applyAlignment="1">
      <alignment horizontal="center"/>
    </xf>
    <xf numFmtId="0" fontId="18" fillId="33" borderId="0" xfId="0" applyFont="1" applyFill="1" applyBorder="1" applyAlignment="1">
      <alignment horizontal="center" wrapText="1"/>
    </xf>
    <xf numFmtId="0" fontId="16" fillId="33" borderId="0" xfId="0" applyFont="1" applyFill="1" applyBorder="1" applyAlignment="1">
      <alignment horizontal="center" wrapText="1"/>
    </xf>
    <xf numFmtId="4" fontId="16" fillId="33" borderId="0" xfId="0" applyNumberFormat="1" applyFont="1" applyFill="1" applyBorder="1" applyAlignment="1">
      <alignment horizontal="center" wrapText="1"/>
    </xf>
    <xf numFmtId="0" fontId="16" fillId="33" borderId="0" xfId="0" applyFont="1" applyFill="1" applyBorder="1" applyAlignment="1">
      <alignment horizontal="left"/>
    </xf>
    <xf numFmtId="0" fontId="16" fillId="0" borderId="11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6" fillId="0" borderId="11" xfId="0" applyFont="1" applyBorder="1"/>
    <xf numFmtId="4" fontId="16" fillId="0" borderId="11" xfId="0" applyNumberFormat="1" applyFont="1" applyBorder="1" applyAlignment="1">
      <alignment horizontal="center"/>
    </xf>
    <xf numFmtId="8" fontId="16" fillId="0" borderId="11" xfId="0" applyNumberFormat="1" applyFont="1" applyBorder="1"/>
    <xf numFmtId="10" fontId="16" fillId="0" borderId="11" xfId="0" applyNumberFormat="1" applyFont="1" applyBorder="1" applyAlignment="1">
      <alignment horizontal="center"/>
    </xf>
    <xf numFmtId="6" fontId="16" fillId="0" borderId="11" xfId="0" applyNumberFormat="1" applyFont="1" applyBorder="1"/>
    <xf numFmtId="9" fontId="16" fillId="0" borderId="11" xfId="0" applyNumberFormat="1" applyFont="1" applyBorder="1" applyAlignment="1">
      <alignment horizontal="center"/>
    </xf>
    <xf numFmtId="0" fontId="19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2F302-F94D-472D-9D90-B23F26017202}">
  <dimension ref="A1:P32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M1" sqref="M1"/>
    </sheetView>
  </sheetViews>
  <sheetFormatPr defaultRowHeight="13.8" x14ac:dyDescent="0.3"/>
  <cols>
    <col min="1" max="1" width="9.25" style="4" customWidth="1"/>
    <col min="2" max="2" width="11" style="4" bestFit="1" customWidth="1"/>
    <col min="3" max="3" width="7.25" style="3" bestFit="1" customWidth="1"/>
    <col min="4" max="4" width="33.375" customWidth="1"/>
    <col min="5" max="5" width="9.875" style="6" bestFit="1" customWidth="1"/>
    <col min="6" max="6" width="9.5" bestFit="1" customWidth="1"/>
    <col min="7" max="7" width="9.75" customWidth="1"/>
    <col min="8" max="8" width="11.25" customWidth="1"/>
    <col min="9" max="9" width="10.125" bestFit="1" customWidth="1"/>
    <col min="10" max="10" width="8.75" style="2" bestFit="1" customWidth="1"/>
    <col min="11" max="11" width="10.625" customWidth="1"/>
    <col min="12" max="12" width="9.25" style="2" bestFit="1" customWidth="1"/>
    <col min="13" max="13" width="8.375" style="2" customWidth="1"/>
    <col min="14" max="14" width="11.5" bestFit="1" customWidth="1"/>
    <col min="15" max="15" width="10.125" customWidth="1"/>
    <col min="16" max="16" width="6.5" style="2" bestFit="1" customWidth="1"/>
  </cols>
  <sheetData>
    <row r="1" spans="1:16" ht="42" thickBot="1" x14ac:dyDescent="0.35">
      <c r="A1" s="7" t="s">
        <v>0</v>
      </c>
      <c r="B1" s="7" t="s">
        <v>1</v>
      </c>
      <c r="C1" s="8" t="s">
        <v>2</v>
      </c>
      <c r="D1" s="8" t="s">
        <v>3</v>
      </c>
      <c r="E1" s="9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58</v>
      </c>
      <c r="K1" s="8" t="s">
        <v>9</v>
      </c>
      <c r="L1" s="8" t="s">
        <v>10</v>
      </c>
      <c r="M1" s="8" t="s">
        <v>57</v>
      </c>
      <c r="N1" s="8" t="s">
        <v>11</v>
      </c>
      <c r="O1" s="8" t="s">
        <v>12</v>
      </c>
      <c r="P1" s="8" t="s">
        <v>13</v>
      </c>
    </row>
    <row r="2" spans="1:16" x14ac:dyDescent="0.3">
      <c r="A2" s="14" t="s">
        <v>55</v>
      </c>
      <c r="B2" s="11"/>
      <c r="C2" s="12"/>
      <c r="D2" s="12"/>
      <c r="E2" s="13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3" spans="1:16" x14ac:dyDescent="0.3">
      <c r="A3" s="4" t="s">
        <v>14</v>
      </c>
      <c r="B3" s="4" t="s">
        <v>15</v>
      </c>
      <c r="C3" s="3" t="s">
        <v>21</v>
      </c>
      <c r="D3" t="s">
        <v>22</v>
      </c>
      <c r="E3" s="6">
        <v>65</v>
      </c>
      <c r="F3" s="1">
        <v>266.51</v>
      </c>
      <c r="G3" s="1">
        <v>-19.239999999999998</v>
      </c>
      <c r="H3" s="1">
        <v>17323.150000000001</v>
      </c>
      <c r="I3" s="1">
        <v>-1250.5999999999999</v>
      </c>
      <c r="J3" s="10">
        <v>-6.7400000000000002E-2</v>
      </c>
      <c r="K3" s="1">
        <v>-1840.69</v>
      </c>
      <c r="L3" s="10">
        <v>-9.6100000000000005E-2</v>
      </c>
      <c r="M3" s="10">
        <v>3.85E-2</v>
      </c>
      <c r="N3" s="1">
        <v>19163.84</v>
      </c>
      <c r="O3" s="1">
        <v>294.83</v>
      </c>
      <c r="P3" s="2" t="s">
        <v>23</v>
      </c>
    </row>
    <row r="4" spans="1:16" x14ac:dyDescent="0.3">
      <c r="A4" s="4" t="s">
        <v>14</v>
      </c>
      <c r="B4" s="4" t="s">
        <v>15</v>
      </c>
      <c r="C4" s="3" t="s">
        <v>36</v>
      </c>
      <c r="D4" t="s">
        <v>37</v>
      </c>
      <c r="E4" s="6">
        <v>70</v>
      </c>
      <c r="F4" s="1">
        <v>174.33</v>
      </c>
      <c r="G4" s="1">
        <v>-8.1999999999999993</v>
      </c>
      <c r="H4" s="1">
        <v>12203.1</v>
      </c>
      <c r="I4" s="1">
        <v>-574</v>
      </c>
      <c r="J4" s="10">
        <v>-4.4999999999999998E-2</v>
      </c>
      <c r="K4" s="1">
        <v>590.79999999999995</v>
      </c>
      <c r="L4" s="10">
        <v>5.0799999999999998E-2</v>
      </c>
      <c r="M4" s="10">
        <v>2.7099999999999999E-2</v>
      </c>
      <c r="N4" s="1">
        <v>11612.3</v>
      </c>
      <c r="O4" s="1">
        <v>165.89</v>
      </c>
      <c r="P4" s="2" t="s">
        <v>23</v>
      </c>
    </row>
    <row r="5" spans="1:16" x14ac:dyDescent="0.3">
      <c r="A5" s="4" t="s">
        <v>14</v>
      </c>
      <c r="B5" s="4" t="s">
        <v>15</v>
      </c>
      <c r="C5" s="3" t="s">
        <v>38</v>
      </c>
      <c r="D5" t="s">
        <v>39</v>
      </c>
      <c r="E5" s="6">
        <v>30</v>
      </c>
      <c r="F5" s="1">
        <v>280.52999999999997</v>
      </c>
      <c r="G5" s="1">
        <v>11.7</v>
      </c>
      <c r="H5" s="1">
        <v>8415.9</v>
      </c>
      <c r="I5" s="1">
        <v>351</v>
      </c>
      <c r="J5" s="10">
        <v>4.3499999999999997E-2</v>
      </c>
      <c r="K5" s="1">
        <v>539.1</v>
      </c>
      <c r="L5" s="10">
        <v>6.8400000000000002E-2</v>
      </c>
      <c r="M5" s="10">
        <v>1.8700000000000001E-2</v>
      </c>
      <c r="N5" s="1">
        <v>7876.8</v>
      </c>
      <c r="O5" s="1">
        <v>262.56</v>
      </c>
      <c r="P5" s="2" t="s">
        <v>23</v>
      </c>
    </row>
    <row r="6" spans="1:16" x14ac:dyDescent="0.3">
      <c r="A6" s="4" t="s">
        <v>14</v>
      </c>
      <c r="B6" s="4" t="s">
        <v>15</v>
      </c>
      <c r="C6" s="3" t="s">
        <v>40</v>
      </c>
      <c r="D6" t="s">
        <v>41</v>
      </c>
      <c r="E6" s="6">
        <v>7</v>
      </c>
      <c r="F6" s="1">
        <v>1714.88</v>
      </c>
      <c r="G6" s="1">
        <v>68.69</v>
      </c>
      <c r="H6" s="1">
        <v>12004.16</v>
      </c>
      <c r="I6" s="1">
        <v>480.83</v>
      </c>
      <c r="J6" s="10">
        <v>4.1700000000000001E-2</v>
      </c>
      <c r="K6" s="1">
        <v>2014.28</v>
      </c>
      <c r="L6" s="10">
        <v>0.2016</v>
      </c>
      <c r="M6" s="10">
        <v>2.6700000000000002E-2</v>
      </c>
      <c r="N6" s="1">
        <v>9989.8799999999992</v>
      </c>
      <c r="O6" s="1">
        <v>1427.13</v>
      </c>
      <c r="P6" s="2" t="s">
        <v>23</v>
      </c>
    </row>
    <row r="7" spans="1:16" x14ac:dyDescent="0.3">
      <c r="A7" s="4" t="s">
        <v>14</v>
      </c>
      <c r="B7" s="4" t="s">
        <v>15</v>
      </c>
      <c r="C7" s="3" t="s">
        <v>42</v>
      </c>
      <c r="D7" t="s">
        <v>43</v>
      </c>
      <c r="E7" s="6">
        <v>100</v>
      </c>
      <c r="F7" s="1">
        <v>185.6</v>
      </c>
      <c r="G7" s="1">
        <v>12.66</v>
      </c>
      <c r="H7" s="1">
        <v>18560</v>
      </c>
      <c r="I7" s="1">
        <v>1266</v>
      </c>
      <c r="J7" s="10">
        <v>7.3200000000000001E-2</v>
      </c>
      <c r="K7" s="1">
        <v>3147.46</v>
      </c>
      <c r="L7" s="10">
        <v>0.20419999999999999</v>
      </c>
      <c r="M7" s="10">
        <v>4.1300000000000003E-2</v>
      </c>
      <c r="N7" s="1">
        <v>15412.54</v>
      </c>
      <c r="O7" s="1">
        <v>154.13</v>
      </c>
      <c r="P7" s="2" t="s">
        <v>23</v>
      </c>
    </row>
    <row r="8" spans="1:16" x14ac:dyDescent="0.3">
      <c r="A8" s="4" t="s">
        <v>14</v>
      </c>
      <c r="B8" s="4" t="s">
        <v>15</v>
      </c>
      <c r="C8" s="3" t="s">
        <v>44</v>
      </c>
      <c r="D8" t="s">
        <v>45</v>
      </c>
      <c r="E8" s="6">
        <v>7</v>
      </c>
      <c r="F8" s="1">
        <v>1016.59</v>
      </c>
      <c r="G8" s="1">
        <v>58.43</v>
      </c>
      <c r="H8" s="1">
        <v>7116.13</v>
      </c>
      <c r="I8" s="1">
        <v>409.01</v>
      </c>
      <c r="J8" s="10">
        <v>6.0900000000000003E-2</v>
      </c>
      <c r="K8" s="1">
        <v>1280.02</v>
      </c>
      <c r="L8" s="10">
        <v>0.21929999999999999</v>
      </c>
      <c r="M8" s="10">
        <v>1.5800000000000002E-2</v>
      </c>
      <c r="N8" s="1">
        <v>5836.11</v>
      </c>
      <c r="O8" s="1">
        <v>833.73</v>
      </c>
      <c r="P8" s="2" t="s">
        <v>23</v>
      </c>
    </row>
    <row r="9" spans="1:16" x14ac:dyDescent="0.3">
      <c r="A9" s="4" t="s">
        <v>14</v>
      </c>
      <c r="B9" s="4" t="s">
        <v>15</v>
      </c>
      <c r="C9" s="3" t="s">
        <v>46</v>
      </c>
      <c r="D9" t="s">
        <v>47</v>
      </c>
      <c r="E9" s="6">
        <v>70</v>
      </c>
      <c r="F9" s="1">
        <v>193.78</v>
      </c>
      <c r="G9" s="1">
        <v>2.34</v>
      </c>
      <c r="H9" s="1">
        <v>13564.6</v>
      </c>
      <c r="I9" s="1">
        <v>163.80000000000001</v>
      </c>
      <c r="J9" s="10">
        <v>1.2200000000000001E-2</v>
      </c>
      <c r="K9" s="1">
        <v>3382.4</v>
      </c>
      <c r="L9" s="10">
        <v>0.33210000000000001</v>
      </c>
      <c r="M9" s="10">
        <v>3.0200000000000001E-2</v>
      </c>
      <c r="N9" s="1">
        <v>10182.200000000001</v>
      </c>
      <c r="O9" s="1">
        <v>145.46</v>
      </c>
      <c r="P9" s="2" t="s">
        <v>23</v>
      </c>
    </row>
    <row r="10" spans="1:16" x14ac:dyDescent="0.3">
      <c r="A10" s="4" t="s">
        <v>14</v>
      </c>
      <c r="B10" s="4" t="s">
        <v>15</v>
      </c>
      <c r="C10" s="3" t="s">
        <v>48</v>
      </c>
      <c r="D10" t="s">
        <v>49</v>
      </c>
      <c r="E10" s="6">
        <v>155</v>
      </c>
      <c r="F10" s="1">
        <v>230.36</v>
      </c>
      <c r="G10" s="1">
        <v>1.91</v>
      </c>
      <c r="H10" s="1">
        <v>35705.800000000003</v>
      </c>
      <c r="I10" s="1">
        <v>296.05</v>
      </c>
      <c r="J10" s="10">
        <v>8.3000000000000001E-3</v>
      </c>
      <c r="K10" s="1">
        <v>9066.01</v>
      </c>
      <c r="L10" s="10">
        <v>0.34029999999999999</v>
      </c>
      <c r="M10" s="10">
        <v>7.9399999999999998E-2</v>
      </c>
      <c r="N10" s="1">
        <v>26639.79</v>
      </c>
      <c r="O10" s="1">
        <v>171.87</v>
      </c>
      <c r="P10" s="2" t="s">
        <v>23</v>
      </c>
    </row>
    <row r="11" spans="1:16" x14ac:dyDescent="0.3">
      <c r="A11" s="4" t="s">
        <v>14</v>
      </c>
      <c r="B11" s="4" t="s">
        <v>15</v>
      </c>
      <c r="C11" s="3" t="s">
        <v>50</v>
      </c>
      <c r="D11" t="s">
        <v>51</v>
      </c>
      <c r="E11" s="6">
        <v>40</v>
      </c>
      <c r="F11" s="1">
        <v>213.1</v>
      </c>
      <c r="G11" s="1">
        <v>-1.87</v>
      </c>
      <c r="H11" s="1">
        <v>8524</v>
      </c>
      <c r="I11" s="1">
        <v>-74.8</v>
      </c>
      <c r="J11" s="10">
        <v>-8.6999999999999994E-3</v>
      </c>
      <c r="K11" s="1">
        <v>3532.65</v>
      </c>
      <c r="L11" s="10">
        <v>0.7077</v>
      </c>
      <c r="M11" s="10">
        <v>1.9E-2</v>
      </c>
      <c r="N11" s="1">
        <v>4991.3500000000004</v>
      </c>
      <c r="O11" s="1">
        <v>124.78</v>
      </c>
      <c r="P11" s="2" t="s">
        <v>23</v>
      </c>
    </row>
    <row r="12" spans="1:16" x14ac:dyDescent="0.3">
      <c r="A12" s="4" t="s">
        <v>14</v>
      </c>
      <c r="B12" s="4" t="s">
        <v>15</v>
      </c>
      <c r="C12" s="3" t="s">
        <v>52</v>
      </c>
      <c r="D12" t="s">
        <v>53</v>
      </c>
      <c r="E12" s="6">
        <v>25</v>
      </c>
      <c r="F12" s="1">
        <v>428.91</v>
      </c>
      <c r="G12" s="1">
        <v>11.9</v>
      </c>
      <c r="H12" s="1">
        <v>10722.75</v>
      </c>
      <c r="I12" s="1">
        <v>297.5</v>
      </c>
      <c r="J12" s="10">
        <v>2.8500000000000001E-2</v>
      </c>
      <c r="K12" s="1">
        <v>4653.1099999999997</v>
      </c>
      <c r="L12" s="10">
        <v>0.76659999999999995</v>
      </c>
      <c r="M12" s="10">
        <v>2.3800000000000002E-2</v>
      </c>
      <c r="N12" s="1">
        <v>6069.64</v>
      </c>
      <c r="O12" s="1">
        <v>242.79</v>
      </c>
      <c r="P12" s="2" t="s">
        <v>23</v>
      </c>
    </row>
    <row r="13" spans="1:16" ht="14.4" thickBot="1" x14ac:dyDescent="0.35">
      <c r="F13" s="1"/>
      <c r="G13" s="1"/>
      <c r="H13" s="1"/>
      <c r="I13" s="1"/>
      <c r="J13" s="10"/>
      <c r="K13" s="1"/>
      <c r="L13" s="10"/>
      <c r="M13" s="10"/>
      <c r="N13" s="1"/>
      <c r="O13" s="1"/>
    </row>
    <row r="14" spans="1:16" s="5" customFormat="1" x14ac:dyDescent="0.3">
      <c r="A14" s="16"/>
      <c r="B14" s="16"/>
      <c r="C14" s="15"/>
      <c r="D14" s="17"/>
      <c r="E14" s="18"/>
      <c r="F14" s="19"/>
      <c r="G14" s="19"/>
      <c r="H14" s="21">
        <f>SUM(H3:H13)</f>
        <v>144139.59000000003</v>
      </c>
      <c r="I14" s="21">
        <f t="shared" ref="I14:K14" si="0">SUM(I3:I13)</f>
        <v>1364.79</v>
      </c>
      <c r="J14" s="21"/>
      <c r="K14" s="21">
        <f t="shared" si="0"/>
        <v>26365.14</v>
      </c>
      <c r="L14" s="20">
        <f>K14/H14</f>
        <v>0.18291393780154358</v>
      </c>
      <c r="M14" s="22">
        <f>SUM(M3:M13)</f>
        <v>0.32050000000000001</v>
      </c>
      <c r="N14" s="21">
        <f>SUM(N3:N13)</f>
        <v>117774.45</v>
      </c>
      <c r="O14" s="19"/>
      <c r="P14" s="15"/>
    </row>
    <row r="15" spans="1:16" x14ac:dyDescent="0.3">
      <c r="F15" s="1"/>
      <c r="G15" s="1"/>
      <c r="H15" s="1"/>
      <c r="I15" s="1"/>
      <c r="J15" s="10"/>
      <c r="K15" s="1"/>
      <c r="L15" s="10"/>
      <c r="M15" s="10"/>
      <c r="N15" s="1"/>
      <c r="O15" s="1"/>
    </row>
    <row r="16" spans="1:16" x14ac:dyDescent="0.3">
      <c r="A16" s="14" t="s">
        <v>56</v>
      </c>
      <c r="B16" s="11"/>
      <c r="C16" s="12"/>
      <c r="D16" s="12"/>
      <c r="E16" s="13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</row>
    <row r="17" spans="1:16" x14ac:dyDescent="0.3">
      <c r="A17" s="4" t="s">
        <v>14</v>
      </c>
      <c r="B17" s="4" t="s">
        <v>15</v>
      </c>
      <c r="C17" s="3" t="s">
        <v>59</v>
      </c>
      <c r="D17" t="s">
        <v>16</v>
      </c>
      <c r="H17" s="1">
        <v>23</v>
      </c>
      <c r="M17" s="10">
        <v>1E-4</v>
      </c>
      <c r="P17" s="2" t="s">
        <v>17</v>
      </c>
    </row>
    <row r="18" spans="1:16" x14ac:dyDescent="0.3">
      <c r="A18" s="4" t="s">
        <v>14</v>
      </c>
      <c r="B18" s="4" t="s">
        <v>15</v>
      </c>
      <c r="C18" s="3" t="s">
        <v>18</v>
      </c>
      <c r="D18" t="s">
        <v>19</v>
      </c>
      <c r="E18" s="6">
        <v>137296.09</v>
      </c>
      <c r="F18" s="1">
        <v>1</v>
      </c>
      <c r="G18" s="1">
        <v>0</v>
      </c>
      <c r="H18" s="1">
        <v>137296.09</v>
      </c>
      <c r="I18" t="s">
        <v>20</v>
      </c>
      <c r="J18" s="2" t="s">
        <v>20</v>
      </c>
      <c r="K18" t="s">
        <v>20</v>
      </c>
      <c r="L18" s="2" t="s">
        <v>20</v>
      </c>
      <c r="M18" s="10">
        <v>0.30530000000000002</v>
      </c>
      <c r="N18" t="s">
        <v>20</v>
      </c>
      <c r="O18" t="s">
        <v>20</v>
      </c>
      <c r="P18" s="2" t="s">
        <v>17</v>
      </c>
    </row>
    <row r="19" spans="1:16" x14ac:dyDescent="0.3">
      <c r="A19" s="4" t="s">
        <v>14</v>
      </c>
      <c r="B19" s="4" t="s">
        <v>15</v>
      </c>
      <c r="C19" s="3" t="s">
        <v>30</v>
      </c>
      <c r="D19" t="s">
        <v>31</v>
      </c>
      <c r="E19" s="6">
        <v>150</v>
      </c>
      <c r="F19" s="1">
        <v>164.25</v>
      </c>
      <c r="G19" s="1">
        <v>-0.72</v>
      </c>
      <c r="H19" s="1">
        <v>24637.5</v>
      </c>
      <c r="I19" s="1">
        <v>-108</v>
      </c>
      <c r="J19" s="10">
        <v>-4.4000000000000003E-3</v>
      </c>
      <c r="K19" s="1">
        <v>119.25</v>
      </c>
      <c r="L19" s="10">
        <v>4.7999999999999996E-3</v>
      </c>
      <c r="M19" s="10">
        <v>5.4800000000000001E-2</v>
      </c>
      <c r="N19" s="1">
        <v>24518.25</v>
      </c>
      <c r="O19" s="1">
        <v>163.46</v>
      </c>
      <c r="P19" s="2" t="s">
        <v>17</v>
      </c>
    </row>
    <row r="20" spans="1:16" x14ac:dyDescent="0.3">
      <c r="A20" s="4" t="s">
        <v>14</v>
      </c>
      <c r="B20" s="4" t="s">
        <v>15</v>
      </c>
      <c r="C20" s="3" t="s">
        <v>24</v>
      </c>
      <c r="D20" t="s">
        <v>25</v>
      </c>
      <c r="E20" s="6">
        <v>451.30399999999997</v>
      </c>
      <c r="F20" s="1">
        <v>55.29</v>
      </c>
      <c r="G20" s="1">
        <v>-0.78</v>
      </c>
      <c r="H20" s="1">
        <v>24952.59</v>
      </c>
      <c r="I20" s="1">
        <v>-352.02</v>
      </c>
      <c r="J20" s="10">
        <v>-1.4E-2</v>
      </c>
      <c r="K20" s="1">
        <v>-47.4</v>
      </c>
      <c r="L20" s="10">
        <v>-1.9E-3</v>
      </c>
      <c r="M20" s="10">
        <v>5.5500000000000001E-2</v>
      </c>
      <c r="N20" s="1">
        <v>24999.99</v>
      </c>
      <c r="O20" s="1">
        <v>55.4</v>
      </c>
      <c r="P20" s="2" t="s">
        <v>17</v>
      </c>
    </row>
    <row r="21" spans="1:16" x14ac:dyDescent="0.3">
      <c r="A21" s="4" t="s">
        <v>14</v>
      </c>
      <c r="B21" s="4" t="s">
        <v>15</v>
      </c>
      <c r="C21" s="3" t="s">
        <v>26</v>
      </c>
      <c r="D21" t="s">
        <v>27</v>
      </c>
      <c r="E21" s="6">
        <v>700</v>
      </c>
      <c r="F21" s="1">
        <v>34.799999999999997</v>
      </c>
      <c r="G21" s="1">
        <v>-0.28000000000000003</v>
      </c>
      <c r="H21" s="1">
        <v>24360</v>
      </c>
      <c r="I21" s="1">
        <v>-196</v>
      </c>
      <c r="J21" s="10">
        <v>-8.0000000000000002E-3</v>
      </c>
      <c r="K21" s="1">
        <v>-17.5</v>
      </c>
      <c r="L21" s="10">
        <v>-8.0000000000000004E-4</v>
      </c>
      <c r="M21" s="10">
        <v>5.4199999999999998E-2</v>
      </c>
      <c r="N21" s="1">
        <v>24377.5</v>
      </c>
      <c r="O21" s="1">
        <v>34.83</v>
      </c>
      <c r="P21" s="2" t="s">
        <v>17</v>
      </c>
    </row>
    <row r="22" spans="1:16" x14ac:dyDescent="0.3">
      <c r="A22" s="4" t="s">
        <v>14</v>
      </c>
      <c r="B22" s="4" t="s">
        <v>15</v>
      </c>
      <c r="C22" s="3" t="s">
        <v>28</v>
      </c>
      <c r="D22" t="s">
        <v>29</v>
      </c>
      <c r="E22" s="6">
        <v>150</v>
      </c>
      <c r="F22" s="1">
        <v>164.23</v>
      </c>
      <c r="G22" s="1">
        <v>-0.66</v>
      </c>
      <c r="H22" s="1">
        <v>24634.5</v>
      </c>
      <c r="I22" s="1">
        <v>-99</v>
      </c>
      <c r="J22" s="10">
        <v>-4.1000000000000003E-3</v>
      </c>
      <c r="K22" s="1">
        <v>36</v>
      </c>
      <c r="L22" s="10">
        <v>1.4E-3</v>
      </c>
      <c r="M22" s="10">
        <v>5.4800000000000001E-2</v>
      </c>
      <c r="N22" s="1">
        <v>24598.5</v>
      </c>
      <c r="O22" s="1">
        <v>163.99</v>
      </c>
      <c r="P22" s="2" t="s">
        <v>17</v>
      </c>
    </row>
    <row r="23" spans="1:16" x14ac:dyDescent="0.3">
      <c r="A23" s="4" t="s">
        <v>14</v>
      </c>
      <c r="B23" s="4" t="s">
        <v>15</v>
      </c>
      <c r="C23" s="3" t="s">
        <v>32</v>
      </c>
      <c r="D23" t="s">
        <v>33</v>
      </c>
      <c r="E23" s="6">
        <v>1000</v>
      </c>
      <c r="F23" s="1">
        <v>54.63</v>
      </c>
      <c r="G23" s="1">
        <v>0</v>
      </c>
      <c r="H23" s="1">
        <v>54630</v>
      </c>
      <c r="I23" s="1">
        <v>0</v>
      </c>
      <c r="J23" s="10">
        <v>0</v>
      </c>
      <c r="K23" s="1">
        <v>921</v>
      </c>
      <c r="L23" s="10">
        <v>1.7100000000000001E-2</v>
      </c>
      <c r="M23" s="10">
        <v>0.1215</v>
      </c>
      <c r="N23" s="1">
        <v>53709</v>
      </c>
      <c r="O23" s="1">
        <v>53.71</v>
      </c>
      <c r="P23" s="2" t="s">
        <v>17</v>
      </c>
    </row>
    <row r="24" spans="1:16" x14ac:dyDescent="0.3">
      <c r="A24" s="4" t="s">
        <v>14</v>
      </c>
      <c r="B24" s="4" t="s">
        <v>15</v>
      </c>
      <c r="C24" s="3" t="s">
        <v>34</v>
      </c>
      <c r="D24" t="s">
        <v>35</v>
      </c>
      <c r="E24" s="6">
        <v>100</v>
      </c>
      <c r="F24" s="1">
        <v>149.72</v>
      </c>
      <c r="G24" s="1">
        <v>2.31</v>
      </c>
      <c r="H24" s="1">
        <v>14972</v>
      </c>
      <c r="I24" s="1">
        <v>231</v>
      </c>
      <c r="J24" s="10">
        <v>1.5599999999999999E-2</v>
      </c>
      <c r="K24" s="1">
        <v>275.01</v>
      </c>
      <c r="L24" s="10">
        <v>1.8700000000000001E-2</v>
      </c>
      <c r="M24" s="10">
        <v>3.3300000000000003E-2</v>
      </c>
      <c r="N24" s="1">
        <v>14696.99</v>
      </c>
      <c r="O24" s="1">
        <v>146.97</v>
      </c>
      <c r="P24" s="2" t="s">
        <v>17</v>
      </c>
    </row>
    <row r="25" spans="1:16" ht="14.4" thickBot="1" x14ac:dyDescent="0.35">
      <c r="F25" s="1"/>
      <c r="G25" s="1"/>
      <c r="H25" s="1"/>
      <c r="I25" s="1"/>
      <c r="J25" s="10"/>
      <c r="K25" s="1"/>
      <c r="L25" s="10"/>
      <c r="M25" s="10"/>
      <c r="N25" s="1"/>
      <c r="O25" s="1"/>
    </row>
    <row r="26" spans="1:16" s="5" customFormat="1" x14ac:dyDescent="0.3">
      <c r="A26" s="16"/>
      <c r="B26" s="16"/>
      <c r="C26" s="15"/>
      <c r="D26" s="17"/>
      <c r="E26" s="18"/>
      <c r="F26" s="19"/>
      <c r="G26" s="19"/>
      <c r="H26" s="21">
        <f>SUM(H17:H25)</f>
        <v>305505.68</v>
      </c>
      <c r="I26" s="21">
        <f>SUM(I17:I25)</f>
        <v>-524.02</v>
      </c>
      <c r="J26" s="21"/>
      <c r="K26" s="21">
        <f>SUM(K17:K25)</f>
        <v>1286.3600000000001</v>
      </c>
      <c r="L26" s="20">
        <f>K26/H26</f>
        <v>4.2105927457715357E-3</v>
      </c>
      <c r="M26" s="22">
        <f>SUM(M17:M25)</f>
        <v>0.67949999999999988</v>
      </c>
      <c r="N26" s="21">
        <f>SUM(N17:N25)</f>
        <v>166900.22999999998</v>
      </c>
      <c r="O26" s="19"/>
      <c r="P26" s="15"/>
    </row>
    <row r="27" spans="1:16" x14ac:dyDescent="0.3">
      <c r="F27" s="1"/>
      <c r="G27" s="1"/>
      <c r="H27" s="1"/>
      <c r="I27" s="1"/>
      <c r="J27" s="10"/>
      <c r="K27" s="1"/>
      <c r="L27" s="10"/>
      <c r="M27" s="10"/>
      <c r="N27" s="1"/>
      <c r="O27" s="1"/>
    </row>
    <row r="28" spans="1:16" x14ac:dyDescent="0.3">
      <c r="A28" s="23"/>
    </row>
    <row r="29" spans="1:16" x14ac:dyDescent="0.3">
      <c r="A29" s="23"/>
    </row>
    <row r="30" spans="1:16" x14ac:dyDescent="0.3">
      <c r="A30" s="23"/>
    </row>
    <row r="31" spans="1:16" x14ac:dyDescent="0.3">
      <c r="A31" s="23"/>
    </row>
    <row r="32" spans="1:16" x14ac:dyDescent="0.3">
      <c r="A32" s="23" t="s">
        <v>54</v>
      </c>
    </row>
  </sheetData>
  <conditionalFormatting sqref="J1:J13 J27:J1048576 J15:J25 L1:L1048576">
    <cfRule type="cellIs" dxfId="0" priority="2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FIDELITY_Positions_Sep-04-2026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Landry</dc:creator>
  <cp:lastModifiedBy>Alan Landry</cp:lastModifiedBy>
  <dcterms:created xsi:type="dcterms:W3CDTF">2026-09-07T17:49:28Z</dcterms:created>
  <dcterms:modified xsi:type="dcterms:W3CDTF">2026-09-07T19:17:59Z</dcterms:modified>
</cp:coreProperties>
</file>