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creen_Candidates" sheetId="1" state="visible" r:id="rId1"/>
    <sheet xmlns:r="http://schemas.openxmlformats.org/officeDocument/2006/relationships" name="Darryl_List_Candidates" sheetId="2" state="visible" r:id="rId2"/>
  </sheets>
  <definedNames>
    <definedName name="_xlnm._FilterDatabase" localSheetId="0" hidden="1">'Screen_Candidates'!$A$1:$K$66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%;[RED]\-0.0%"/>
    <numFmt numFmtId="166" formatCode="mm/dd/yyyy"/>
  </numFmts>
  <fonts count="16">
    <font>
      <name val="Aptos Narrow"/>
      <charset val="1"/>
      <family val="2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 Narrow"/>
      <charset val="1"/>
      <family val="0"/>
      <b val="1"/>
      <color rgb="FFFFFFFF"/>
      <sz val="11"/>
    </font>
    <font>
      <name val="Arial Narrow"/>
      <charset val="1"/>
      <family val="0"/>
      <i val="1"/>
      <sz val="9"/>
    </font>
    <font>
      <name val="Arial Narrow"/>
      <charset val="1"/>
      <family val="0"/>
      <b val="1"/>
      <sz val="12"/>
    </font>
    <font>
      <name val="Arial Narrow"/>
      <charset val="1"/>
      <family val="0"/>
      <sz val="12"/>
    </font>
    <font>
      <name val="Arial"/>
      <family val="2"/>
      <sz val="10"/>
    </font>
    <font>
      <name val="Arial Narrow"/>
      <charset val="1"/>
      <family val="2"/>
      <color theme="1"/>
      <sz val="12"/>
    </font>
    <font>
      <name val="Arial Narrow"/>
      <charset val="1"/>
      <family val="2"/>
      <b val="1"/>
      <color theme="1"/>
      <sz val="12"/>
    </font>
    <font>
      <name val="Arial Narrow"/>
      <charset val="1"/>
      <family val="2"/>
      <b val="1"/>
      <color theme="1"/>
      <sz val="11"/>
    </font>
    <font>
      <name val="Aptos"/>
      <charset val="1"/>
      <family val="0"/>
      <b val="1"/>
      <color rgb="FFFFFFFF"/>
      <sz val="11"/>
    </font>
    <font>
      <name val="Aptos"/>
      <charset val="1"/>
      <family val="0"/>
      <color theme="1"/>
      <sz val="11"/>
    </font>
    <font>
      <name val="Arial Narrow"/>
      <charset val="1"/>
      <family val="2"/>
      <color rgb="FF0432FF"/>
      <sz val="12"/>
    </font>
    <font>
      <name val="Arial Narrow"/>
      <charset val="1"/>
      <family val="2"/>
      <b val="1"/>
      <color rgb="FF0432FF"/>
      <sz val="12"/>
    </font>
  </fonts>
  <fills count="8">
    <fill>
      <patternFill/>
    </fill>
    <fill>
      <patternFill patternType="gray125"/>
    </fill>
    <fill>
      <patternFill patternType="solid">
        <fgColor rgb="FF1F3864"/>
        <bgColor rgb="FF1F4E78"/>
      </patternFill>
    </fill>
    <fill>
      <patternFill patternType="solid">
        <fgColor theme="7" tint="0.7998"/>
        <bgColor rgb="FFC6EFCE"/>
      </patternFill>
    </fill>
    <fill>
      <patternFill patternType="solid">
        <fgColor theme="0"/>
        <bgColor rgb="FFFFFFCC"/>
      </patternFill>
    </fill>
    <fill>
      <patternFill patternType="solid">
        <fgColor rgb="FF1F4E78"/>
        <bgColor rgb="FF1F3864"/>
      </patternFill>
    </fill>
    <fill>
      <patternFill patternType="solid">
        <fgColor theme="9" tint="0.7998"/>
        <bgColor rgb="FFC6EFCE"/>
      </patternFill>
    </fill>
    <fill>
      <patternFill patternType="solid">
        <fgColor rgb="FFFFFF00"/>
        <bgColor rgb="FFFFFF00"/>
      </patternFill>
    </fill>
  </fills>
  <borders count="2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/>
      <right/>
      <top style="thin"/>
      <bottom style="medium"/>
      <diagonal/>
    </border>
    <border>
      <left style="medium"/>
      <right style="thin"/>
      <top/>
      <bottom style="thin"/>
      <diagonal/>
    </border>
    <border>
      <left/>
      <right style="medium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thin"/>
      <bottom style="thin"/>
      <diagonal/>
    </border>
    <border>
      <left/>
      <right style="medium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/>
      <diagonal/>
    </border>
    <border>
      <left/>
      <right style="medium"/>
      <top style="thin"/>
      <bottom/>
      <diagonal/>
    </border>
    <border>
      <left style="medium"/>
      <right style="medium"/>
      <top style="thin"/>
      <bottom style="medium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/>
      <right style="medium"/>
      <top style="thin"/>
      <bottom style="medium"/>
      <diagonal/>
    </border>
    <border>
      <left style="thin"/>
      <right style="medium"/>
      <top style="thin"/>
      <bottom style="medium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/>
      <right/>
      <top/>
      <bottom style="double"/>
      <diagonal/>
    </border>
    <border>
      <left/>
      <right/>
      <top style="medium"/>
      <bottom style="double"/>
      <diagonal/>
    </border>
    <border>
      <left style="medium"/>
      <right/>
      <top/>
      <bottom/>
      <diagonal/>
    </border>
    <border>
      <left style="medium"/>
      <right style="thin"/>
      <top/>
      <bottom/>
      <diagonal/>
    </border>
    <border>
      <left style="medium"/>
      <right style="thin"/>
      <top/>
      <bottom style="medium"/>
      <diagonal/>
    </border>
    <border>
      <left style="thin"/>
      <right/>
      <top/>
      <bottom/>
      <diagonal/>
    </border>
    <border>
      <left style="thin"/>
      <right style="medium"/>
      <top/>
      <bottom/>
      <diagonal/>
    </border>
    <border>
      <left style="thin"/>
      <right style="medium"/>
      <top/>
      <bottom style="medium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/>
    </xf>
    <xf numFmtId="164" fontId="7" fillId="0" borderId="1" applyAlignment="1" pivotButton="0" quotePrefix="0" xfId="0">
      <alignment horizontal="general" vertical="center"/>
    </xf>
    <xf numFmtId="165" fontId="7" fillId="0" borderId="1" applyAlignment="1" pivotButton="0" quotePrefix="0" xfId="0">
      <alignment horizontal="general" vertical="center"/>
    </xf>
    <xf numFmtId="166" fontId="7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1" fillId="3" borderId="2" applyAlignment="1" pivotButton="0" quotePrefix="0" xfId="0">
      <alignment horizontal="center" vertical="center" wrapText="1"/>
    </xf>
    <xf numFmtId="0" fontId="11" fillId="3" borderId="3" applyAlignment="1" pivotButton="0" quotePrefix="0" xfId="0">
      <alignment horizontal="center" vertical="bottom" wrapText="1"/>
    </xf>
    <xf numFmtId="0" fontId="11" fillId="0" borderId="2" applyAlignment="1" pivotButton="0" quotePrefix="0" xfId="0">
      <alignment horizontal="center" vertical="center" wrapText="1"/>
    </xf>
    <xf numFmtId="0" fontId="11" fillId="4" borderId="3" applyAlignment="1" pivotButton="0" quotePrefix="0" xfId="0">
      <alignment horizontal="center" vertical="bottom" wrapText="1"/>
    </xf>
    <xf numFmtId="0" fontId="10" fillId="0" borderId="4" applyAlignment="1" pivotButton="0" quotePrefix="0" xfId="0">
      <alignment horizontal="center" vertical="bottom" wrapText="1"/>
    </xf>
    <xf numFmtId="0" fontId="9" fillId="0" borderId="0" applyAlignment="1" pivotButton="0" quotePrefix="0" xfId="0">
      <alignment horizontal="center" vertical="bottom" wrapText="1"/>
    </xf>
    <xf numFmtId="0" fontId="12" fillId="5" borderId="0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bottom"/>
    </xf>
    <xf numFmtId="9" fontId="9" fillId="0" borderId="5" applyAlignment="1" pivotButton="0" quotePrefix="0" xfId="0">
      <alignment horizontal="left" vertical="bottom" wrapText="1"/>
    </xf>
    <xf numFmtId="0" fontId="13" fillId="0" borderId="0" applyAlignment="1" pivotButton="0" quotePrefix="0" xfId="0">
      <alignment horizontal="left" vertical="center"/>
    </xf>
    <xf numFmtId="1" fontId="13" fillId="0" borderId="0" applyAlignment="1" pivotButton="0" quotePrefix="0" xfId="0">
      <alignment horizontal="center" vertical="center"/>
    </xf>
    <xf numFmtId="0" fontId="9" fillId="3" borderId="6" applyAlignment="1" pivotButton="0" quotePrefix="0" xfId="0">
      <alignment horizontal="center" vertical="center" wrapText="1"/>
    </xf>
    <xf numFmtId="0" fontId="14" fillId="3" borderId="7" applyAlignment="1" pivotButton="0" quotePrefix="0" xfId="0">
      <alignment horizontal="center" vertical="center" wrapText="1"/>
    </xf>
    <xf numFmtId="0" fontId="9" fillId="0" borderId="6" applyAlignment="1" pivotButton="0" quotePrefix="0" xfId="0">
      <alignment horizontal="center" vertical="center" wrapText="1"/>
    </xf>
    <xf numFmtId="0" fontId="14" fillId="4" borderId="8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bottom" wrapText="1"/>
    </xf>
    <xf numFmtId="0" fontId="10" fillId="3" borderId="4" applyAlignment="1" pivotButton="0" quotePrefix="0" xfId="0">
      <alignment horizontal="right" vertical="center" indent="2"/>
    </xf>
    <xf numFmtId="0" fontId="10" fillId="0" borderId="0" applyAlignment="1" pivotButton="0" quotePrefix="0" xfId="0">
      <alignment horizontal="center" vertical="bottom" wrapText="1"/>
    </xf>
    <xf numFmtId="0" fontId="9" fillId="3" borderId="9" applyAlignment="1" pivotButton="0" quotePrefix="0" xfId="0">
      <alignment horizontal="center" vertical="bottom"/>
    </xf>
    <xf numFmtId="0" fontId="14" fillId="3" borderId="10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14" fillId="4" borderId="11" applyAlignment="1" pivotButton="0" quotePrefix="0" xfId="0">
      <alignment horizontal="center" vertical="bottom"/>
    </xf>
    <xf numFmtId="0" fontId="10" fillId="6" borderId="9" applyAlignment="1" pivotButton="0" quotePrefix="0" xfId="0">
      <alignment horizontal="center" vertical="bottom"/>
    </xf>
    <xf numFmtId="0" fontId="15" fillId="6" borderId="10" applyAlignment="1" pivotButton="0" quotePrefix="0" xfId="0">
      <alignment horizontal="center" vertical="bottom"/>
    </xf>
    <xf numFmtId="0" fontId="15" fillId="6" borderId="11" applyAlignment="1" pivotButton="0" quotePrefix="0" xfId="0">
      <alignment horizontal="center" vertical="bottom"/>
    </xf>
    <xf numFmtId="0" fontId="10" fillId="6" borderId="12" applyAlignment="1" pivotButton="0" quotePrefix="0" xfId="0">
      <alignment horizontal="center" vertical="bottom"/>
    </xf>
    <xf numFmtId="0" fontId="15" fillId="6" borderId="13" applyAlignment="1" pivotButton="0" quotePrefix="0" xfId="0">
      <alignment horizontal="center" vertical="bottom"/>
    </xf>
    <xf numFmtId="0" fontId="9" fillId="3" borderId="14" applyAlignment="1" pivotButton="0" quotePrefix="0" xfId="0">
      <alignment horizontal="center" vertical="bottom"/>
    </xf>
    <xf numFmtId="0" fontId="10" fillId="3" borderId="14" applyAlignment="1" pivotButton="0" quotePrefix="0" xfId="0">
      <alignment horizontal="right" vertical="center" indent="2"/>
    </xf>
    <xf numFmtId="0" fontId="9" fillId="3" borderId="6" applyAlignment="1" pivotButton="0" quotePrefix="0" xfId="0">
      <alignment horizontal="center" vertical="bottom"/>
    </xf>
    <xf numFmtId="0" fontId="14" fillId="3" borderId="7" applyAlignment="1" pivotButton="0" quotePrefix="0" xfId="0">
      <alignment horizontal="center" vertical="bottom"/>
    </xf>
    <xf numFmtId="0" fontId="10" fillId="3" borderId="15" applyAlignment="1" pivotButton="0" quotePrefix="0" xfId="0">
      <alignment horizontal="right" vertical="center"/>
    </xf>
    <xf numFmtId="0" fontId="13" fillId="7" borderId="0" applyAlignment="1" pivotButton="0" quotePrefix="0" xfId="0">
      <alignment horizontal="left" vertical="center"/>
    </xf>
    <xf numFmtId="1" fontId="13" fillId="7" borderId="0" applyAlignment="1" pivotButton="0" quotePrefix="0" xfId="0">
      <alignment horizontal="center" vertical="center"/>
    </xf>
    <xf numFmtId="0" fontId="9" fillId="3" borderId="16" applyAlignment="1" pivotButton="0" quotePrefix="0" xfId="0">
      <alignment horizontal="center" vertical="bottom"/>
    </xf>
    <xf numFmtId="0" fontId="14" fillId="3" borderId="17" applyAlignment="1" pivotButton="0" quotePrefix="0" xfId="0">
      <alignment horizontal="center" vertical="bottom"/>
    </xf>
    <xf numFmtId="0" fontId="9" fillId="0" borderId="16" applyAlignment="1" pivotButton="0" quotePrefix="0" xfId="0">
      <alignment horizontal="center" vertical="bottom"/>
    </xf>
    <xf numFmtId="0" fontId="14" fillId="4" borderId="18" applyAlignment="1" pivotButton="0" quotePrefix="0" xfId="0">
      <alignment horizontal="center" vertical="bottom"/>
    </xf>
    <xf numFmtId="0" fontId="10" fillId="6" borderId="16" applyAlignment="1" pivotButton="0" quotePrefix="0" xfId="0">
      <alignment horizontal="center" vertical="bottom"/>
    </xf>
    <xf numFmtId="0" fontId="15" fillId="6" borderId="17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9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right" vertical="bottom"/>
    </xf>
    <xf numFmtId="1" fontId="10" fillId="0" borderId="19" applyAlignment="1" pivotButton="0" quotePrefix="0" xfId="0">
      <alignment horizontal="center" vertical="bottom" wrapText="1"/>
    </xf>
    <xf numFmtId="9" fontId="9" fillId="0" borderId="20" applyAlignment="1" pivotButton="0" quotePrefix="0" xfId="0">
      <alignment horizontal="left" vertical="bottom"/>
    </xf>
    <xf numFmtId="1" fontId="10" fillId="0" borderId="5" applyAlignment="1" pivotButton="0" quotePrefix="0" xfId="0">
      <alignment horizontal="center" vertical="bottom" wrapText="1"/>
    </xf>
    <xf numFmtId="9" fontId="9" fillId="0" borderId="5" applyAlignment="1" pivotButton="0" quotePrefix="0" xfId="0">
      <alignment horizontal="left" vertical="bottom"/>
    </xf>
    <xf numFmtId="1" fontId="10" fillId="0" borderId="21" applyAlignment="1" pivotButton="0" quotePrefix="0" xfId="0">
      <alignment horizontal="center" vertical="bottom"/>
    </xf>
    <xf numFmtId="9" fontId="9" fillId="0" borderId="22" applyAlignment="1" pivotButton="0" quotePrefix="0" xfId="0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/>
    </xf>
    <xf numFmtId="164" fontId="7" fillId="0" borderId="1" applyAlignment="1" pivotButton="0" quotePrefix="0" xfId="0">
      <alignment horizontal="general" vertical="center"/>
    </xf>
    <xf numFmtId="165" fontId="7" fillId="0" borderId="1" applyAlignment="1" pivotButton="0" quotePrefix="0" xfId="0">
      <alignment horizontal="general" vertical="center"/>
    </xf>
    <xf numFmtId="166" fontId="7" fillId="0" borderId="1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bottom" wrapText="1"/>
    </xf>
    <xf numFmtId="0" fontId="11" fillId="3" borderId="2" applyAlignment="1" pivotButton="0" quotePrefix="0" xfId="0">
      <alignment horizontal="center" vertical="center" wrapText="1"/>
    </xf>
    <xf numFmtId="0" fontId="11" fillId="3" borderId="3" applyAlignment="1" pivotButton="0" quotePrefix="0" xfId="0">
      <alignment horizontal="center" vertical="bottom" wrapText="1"/>
    </xf>
    <xf numFmtId="0" fontId="11" fillId="0" borderId="2" applyAlignment="1" pivotButton="0" quotePrefix="0" xfId="0">
      <alignment horizontal="center" vertical="center" wrapText="1"/>
    </xf>
    <xf numFmtId="0" fontId="11" fillId="4" borderId="3" applyAlignment="1" pivotButton="0" quotePrefix="0" xfId="0">
      <alignment horizontal="center" vertical="bottom" wrapText="1"/>
    </xf>
    <xf numFmtId="0" fontId="10" fillId="0" borderId="4" applyAlignment="1" pivotButton="0" quotePrefix="0" xfId="0">
      <alignment horizontal="center" vertical="bottom" wrapText="1"/>
    </xf>
    <xf numFmtId="0" fontId="12" fillId="5" borderId="0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8" pivotButton="0" quotePrefix="0" xfId="0"/>
    <xf numFmtId="0" fontId="10" fillId="0" borderId="5" applyAlignment="1" pivotButton="0" quotePrefix="0" xfId="0">
      <alignment horizontal="center" vertical="bottom"/>
    </xf>
    <xf numFmtId="9" fontId="9" fillId="0" borderId="5" applyAlignment="1" pivotButton="0" quotePrefix="0" xfId="0">
      <alignment horizontal="left" vertical="bottom" wrapText="1"/>
    </xf>
    <xf numFmtId="0" fontId="13" fillId="0" borderId="0" applyAlignment="1" pivotButton="0" quotePrefix="0" xfId="0">
      <alignment horizontal="left" vertical="center"/>
    </xf>
    <xf numFmtId="1" fontId="13" fillId="0" borderId="0" applyAlignment="1" pivotButton="0" quotePrefix="0" xfId="0">
      <alignment horizontal="center" vertical="center"/>
    </xf>
    <xf numFmtId="0" fontId="9" fillId="3" borderId="6" applyAlignment="1" pivotButton="0" quotePrefix="0" xfId="0">
      <alignment horizontal="center" vertical="center" wrapText="1"/>
    </xf>
    <xf numFmtId="0" fontId="14" fillId="3" borderId="7" applyAlignment="1" pivotButton="0" quotePrefix="0" xfId="0">
      <alignment horizontal="center" vertical="center" wrapText="1"/>
    </xf>
    <xf numFmtId="0" fontId="9" fillId="0" borderId="6" applyAlignment="1" pivotButton="0" quotePrefix="0" xfId="0">
      <alignment horizontal="center" vertical="center" wrapText="1"/>
    </xf>
    <xf numFmtId="0" fontId="14" fillId="4" borderId="8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bottom" wrapText="1"/>
    </xf>
    <xf numFmtId="0" fontId="10" fillId="3" borderId="4" applyAlignment="1" pivotButton="0" quotePrefix="0" xfId="0">
      <alignment horizontal="right" vertical="center" indent="2"/>
    </xf>
    <xf numFmtId="0" fontId="10" fillId="0" borderId="0" applyAlignment="1" pivotButton="0" quotePrefix="0" xfId="0">
      <alignment horizontal="center" vertical="bottom" wrapText="1"/>
    </xf>
    <xf numFmtId="0" fontId="9" fillId="3" borderId="9" applyAlignment="1" pivotButton="0" quotePrefix="0" xfId="0">
      <alignment horizontal="center" vertical="bottom"/>
    </xf>
    <xf numFmtId="0" fontId="14" fillId="3" borderId="10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14" fillId="4" borderId="11" applyAlignment="1" pivotButton="0" quotePrefix="0" xfId="0">
      <alignment horizontal="center" vertical="bottom"/>
    </xf>
    <xf numFmtId="0" fontId="10" fillId="6" borderId="9" applyAlignment="1" pivotButton="0" quotePrefix="0" xfId="0">
      <alignment horizontal="center" vertical="bottom"/>
    </xf>
    <xf numFmtId="0" fontId="15" fillId="6" borderId="10" applyAlignment="1" pivotButton="0" quotePrefix="0" xfId="0">
      <alignment horizontal="center" vertical="bottom"/>
    </xf>
    <xf numFmtId="0" fontId="15" fillId="6" borderId="11" applyAlignment="1" pivotButton="0" quotePrefix="0" xfId="0">
      <alignment horizontal="center" vertical="bottom"/>
    </xf>
    <xf numFmtId="0" fontId="10" fillId="6" borderId="12" applyAlignment="1" pivotButton="0" quotePrefix="0" xfId="0">
      <alignment horizontal="center" vertical="bottom"/>
    </xf>
    <xf numFmtId="0" fontId="15" fillId="6" borderId="13" applyAlignment="1" pivotButton="0" quotePrefix="0" xfId="0">
      <alignment horizontal="center" vertical="bottom"/>
    </xf>
    <xf numFmtId="0" fontId="9" fillId="3" borderId="14" applyAlignment="1" pivotButton="0" quotePrefix="0" xfId="0">
      <alignment horizontal="center" vertical="bottom"/>
    </xf>
    <xf numFmtId="0" fontId="10" fillId="3" borderId="14" applyAlignment="1" pivotButton="0" quotePrefix="0" xfId="0">
      <alignment horizontal="right" vertical="center" indent="2"/>
    </xf>
    <xf numFmtId="0" fontId="9" fillId="3" borderId="6" applyAlignment="1" pivotButton="0" quotePrefix="0" xfId="0">
      <alignment horizontal="center" vertical="bottom"/>
    </xf>
    <xf numFmtId="0" fontId="14" fillId="3" borderId="7" applyAlignment="1" pivotButton="0" quotePrefix="0" xfId="0">
      <alignment horizontal="center" vertical="bottom"/>
    </xf>
    <xf numFmtId="0" fontId="10" fillId="3" borderId="15" applyAlignment="1" pivotButton="0" quotePrefix="0" xfId="0">
      <alignment horizontal="right" vertical="center"/>
    </xf>
    <xf numFmtId="0" fontId="13" fillId="7" borderId="0" applyAlignment="1" pivotButton="0" quotePrefix="0" xfId="0">
      <alignment horizontal="left" vertical="center"/>
    </xf>
    <xf numFmtId="1" fontId="13" fillId="7" borderId="0" applyAlignment="1" pivotButton="0" quotePrefix="0" xfId="0">
      <alignment horizontal="center" vertical="center"/>
    </xf>
    <xf numFmtId="0" fontId="9" fillId="3" borderId="16" applyAlignment="1" pivotButton="0" quotePrefix="0" xfId="0">
      <alignment horizontal="center" vertical="bottom"/>
    </xf>
    <xf numFmtId="0" fontId="14" fillId="3" borderId="17" applyAlignment="1" pivotButton="0" quotePrefix="0" xfId="0">
      <alignment horizontal="center" vertical="bottom"/>
    </xf>
    <xf numFmtId="0" fontId="9" fillId="0" borderId="16" applyAlignment="1" pivotButton="0" quotePrefix="0" xfId="0">
      <alignment horizontal="center" vertical="bottom"/>
    </xf>
    <xf numFmtId="0" fontId="14" fillId="4" borderId="18" applyAlignment="1" pivotButton="0" quotePrefix="0" xfId="0">
      <alignment horizontal="center" vertical="bottom"/>
    </xf>
    <xf numFmtId="0" fontId="10" fillId="6" borderId="16" applyAlignment="1" pivotButton="0" quotePrefix="0" xfId="0">
      <alignment horizontal="center" vertical="bottom"/>
    </xf>
    <xf numFmtId="0" fontId="15" fillId="6" borderId="17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9" fontId="15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right" vertical="bottom"/>
    </xf>
    <xf numFmtId="1" fontId="10" fillId="0" borderId="19" applyAlignment="1" pivotButton="0" quotePrefix="0" xfId="0">
      <alignment horizontal="center" vertical="bottom" wrapText="1"/>
    </xf>
    <xf numFmtId="9" fontId="9" fillId="0" borderId="20" applyAlignment="1" pivotButton="0" quotePrefix="0" xfId="0">
      <alignment horizontal="left" vertical="bottom"/>
    </xf>
    <xf numFmtId="1" fontId="10" fillId="0" borderId="5" applyAlignment="1" pivotButton="0" quotePrefix="0" xfId="0">
      <alignment horizontal="center" vertical="bottom" wrapText="1"/>
    </xf>
    <xf numFmtId="9" fontId="9" fillId="0" borderId="5" applyAlignment="1" pivotButton="0" quotePrefix="0" xfId="0">
      <alignment horizontal="left" vertical="bottom"/>
    </xf>
    <xf numFmtId="1" fontId="10" fillId="0" borderId="21" applyAlignment="1" pivotButton="0" quotePrefix="0" xfId="0">
      <alignment horizontal="center" vertical="bottom"/>
    </xf>
    <xf numFmtId="9" fontId="9" fillId="0" borderId="22" applyAlignment="1" pivotButton="0" quotePrefix="0" xfId="0">
      <alignment horizontal="lef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432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FCC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FCE"/>
      <rgbColor rgb="FFD9F2D0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Claude</author>
  </authors>
  <commentList>
    <comment ref="E1" authorId="0" shapeId="0">
      <text>
        <t>Room left under Part 5's Hard Rule ("No single sector shall exceed 25% of portfolio") before adding a position in this sector would breach the cap. Negative = sector is already over cap.
Pulled from the Sector Exposure reference table (cols N:O) -- refresh that table at each tranche review from Current Positions.</t>
      </text>
    </comment>
    <comment ref="F1" authorId="0" shapeId="0">
      <text>
        <t>YoY growth in Free Cash Flow (Operating Cash Flow - CapEx), most recent fiscal year vs. prior fiscal year, per yfinance's annual cash flow statement as of 8/30/26.
This is a different window than Alan's 8/30/26 momentum research (which used TTM figures for some names and 3-year CAGR for others) -- treat this as the workbook's own consistent, comparable metric across all candidates, not a reproduction of any single external screen.
Extreme values usually mean a small or negative prior-year base -- see Notes for flagged cases.</t>
      </text>
    </comment>
    <comment ref="H1" authorId="0" shapeId="0">
      <text>
        <t>Alan/Darryl's original quick PASS/Avoid screen -- an informal heuristic, not the System's formal Tier 1 (the 5-indicator weighted score in the Scoring tab). Blank = not yet screened.</t>
      </text>
    </comment>
    <comment ref="I1" authorId="0" shapeId="0">
      <text>
        <t>Needs Initial Screen = not yet run through Initial Screen.
Ready for Tier 1 = passed Initial Screen, queued for the System's real Tier 1 scoring in the Scoring tab.
Rejected = failed Initial Screen.</t>
      </text>
    </comment>
  </commentList>
</comments>
</file>

<file path=xl/tables/table1.xml><?xml version="1.0" encoding="utf-8"?>
<table xmlns="http://schemas.openxmlformats.org/spreadsheetml/2006/main" id="1" name="SectorTickerExtract34" displayName="SectorTickerExtract34" ref="Z1:AB13" headerRowCount="1" totalsRowCount="0" totalsRowShown="0">
  <autoFilter ref="Z1:AB13"/>
  <tableColumns count="3">
    <tableColumn id="1" name="Sector"/>
    <tableColumn id="2" name="Ticker Count"/>
    <tableColumn id="3" name="Ticker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9140625" defaultRowHeight="15" customHeight="0" zeroHeight="0" outlineLevelRow="0"/>
  <cols>
    <col width="10" customWidth="1" style="67" min="1" max="1"/>
    <col width="42" customWidth="1" style="67" min="2" max="2"/>
    <col width="20" customWidth="1" style="67" min="3" max="3"/>
    <col width="32" customWidth="1" style="67" min="4" max="4"/>
    <col width="12" customWidth="1" style="67" min="5" max="6"/>
    <col width="22" customWidth="1" style="67" min="7" max="7"/>
    <col width="15" customWidth="1" style="67" min="8" max="8"/>
    <col width="20" customWidth="1" style="67" min="9" max="9"/>
    <col width="12" customWidth="1" style="67" min="10" max="10"/>
    <col width="60" customWidth="1" style="67" min="11" max="11"/>
    <col width="24" customWidth="1" style="67" min="14" max="14"/>
    <col width="11" customWidth="1" style="67" min="15" max="15"/>
  </cols>
  <sheetData>
    <row r="1" ht="39.55" customHeight="1" s="68">
      <c r="A1" s="69" t="inlineStr">
        <is>
          <t>Ticker</t>
        </is>
      </c>
      <c r="B1" s="69" t="inlineStr">
        <is>
          <t>Company</t>
        </is>
      </c>
      <c r="C1" s="69" t="inlineStr">
        <is>
          <t>Sector</t>
        </is>
      </c>
      <c r="D1" s="69" t="inlineStr">
        <is>
          <t>Industry</t>
        </is>
      </c>
      <c r="E1" s="69" t="inlineStr">
        <is>
          <t>Sector Cap
Headroom</t>
        </is>
      </c>
      <c r="F1" s="69" t="inlineStr">
        <is>
          <t>FCF Growth
(YoY)</t>
        </is>
      </c>
      <c r="G1" s="69" t="inlineStr">
        <is>
          <t>Source</t>
        </is>
      </c>
      <c r="H1" s="69" t="inlineStr">
        <is>
          <t>Initial Screen</t>
        </is>
      </c>
      <c r="I1" s="69" t="inlineStr">
        <is>
          <t>Status</t>
        </is>
      </c>
      <c r="J1" s="69" t="inlineStr">
        <is>
          <t>Date Added</t>
        </is>
      </c>
      <c r="K1" s="69" t="inlineStr">
        <is>
          <t>Notes</t>
        </is>
      </c>
      <c r="N1" s="70" t="inlineStr">
        <is>
          <t>Sector Exposure Reference (% of Combined Portfolio, as of 08/30/2026 -- refresh at each tranche review)</t>
        </is>
      </c>
    </row>
    <row r="2" ht="41.75" customHeight="1" s="68">
      <c r="A2" s="71" t="inlineStr">
        <is>
          <t>AGI</t>
        </is>
      </c>
      <c r="B2" s="72" t="inlineStr">
        <is>
          <t>Alamos Gold Inc.</t>
        </is>
      </c>
      <c r="C2" s="72" t="inlineStr">
        <is>
          <t>Basic Materials</t>
        </is>
      </c>
      <c r="D2" s="72" t="inlineStr">
        <is>
          <t>Gold</t>
        </is>
      </c>
      <c r="E2" s="73">
        <f>IFERROR(0.25-INDEX($O$3:$O$13,MATCH(C2,$N$3:$N$13,0)),0.25)</f>
        <v/>
      </c>
      <c r="F2" s="74" t="n">
        <v>0.149703138252757</v>
      </c>
      <c r="G2" s="72" t="inlineStr">
        <is>
          <t>Momentum/FCF screen 8-30-26</t>
        </is>
      </c>
      <c r="H2" s="72" t="n"/>
      <c r="I2" s="72" t="inlineStr">
        <is>
          <t>Needs Initial Screen</t>
        </is>
      </c>
      <c r="J2" s="75" t="n">
        <v>46264</v>
      </c>
      <c r="K2" s="76" t="inlineStr">
        <is>
          <t>FCF growth ~84% (Alamos Gold). Strong gold-price momentum and expanding mine-level cash generation. Diversification fit -- zero current Basic Materials exposure. (Momentum/FCF screen, 8/30/26)</t>
        </is>
      </c>
      <c r="N2" s="77" t="inlineStr">
        <is>
          <t>Sector</t>
        </is>
      </c>
      <c r="O2" s="77" t="inlineStr">
        <is>
          <t>Current %</t>
        </is>
      </c>
    </row>
    <row r="3" ht="55.2" customHeight="1" s="68">
      <c r="A3" s="71" t="inlineStr">
        <is>
          <t>APP</t>
        </is>
      </c>
      <c r="B3" s="72" t="inlineStr">
        <is>
          <t>AppLovin Corporation</t>
        </is>
      </c>
      <c r="C3" s="72" t="inlineStr">
        <is>
          <t>Communication Services</t>
        </is>
      </c>
      <c r="D3" s="72" t="inlineStr">
        <is>
          <t>Advertising Agencies</t>
        </is>
      </c>
      <c r="E3" s="73">
        <f>IFERROR(0.25-INDEX($O$3:$O$13,MATCH(C3,$N$3:$N$13,0)),0.25)</f>
        <v/>
      </c>
      <c r="F3" s="74" t="n">
        <v>0.901546112822155</v>
      </c>
      <c r="G3" s="72" t="inlineStr">
        <is>
          <t>Momentum/FCF screen 8-30-26</t>
        </is>
      </c>
      <c r="H3" s="72" t="n"/>
      <c r="I3" s="72" t="inlineStr">
        <is>
          <t>Needs Initial Screen</t>
        </is>
      </c>
      <c r="J3" s="75" t="n">
        <v>46264</v>
      </c>
      <c r="K3" s="76" t="inlineStr">
        <is>
          <t>FCF growth ~72%, margin &gt;70% (AppLovin). One of the strongest combos of price momentum, FCF growth and margin. Diversification fit -- zero current Communication Services exposure. (Momentum/FCF screen, 8/30/26)</t>
        </is>
      </c>
      <c r="N3" s="78" t="inlineStr">
        <is>
          <t>Basic Materials</t>
        </is>
      </c>
      <c r="O3" s="79" t="n">
        <v>0</v>
      </c>
    </row>
    <row r="4" ht="15" customHeight="1" s="68">
      <c r="A4" s="71" t="inlineStr">
        <is>
          <t>SPOT</t>
        </is>
      </c>
      <c r="B4" s="72" t="inlineStr">
        <is>
          <t>Spotify Technology S.A.</t>
        </is>
      </c>
      <c r="C4" s="72" t="inlineStr">
        <is>
          <t>Communication Services</t>
        </is>
      </c>
      <c r="D4" s="72" t="inlineStr">
        <is>
          <t>Internet Content &amp; Information</t>
        </is>
      </c>
      <c r="E4" s="73">
        <f>IFERROR(0.25-INDEX($O$3:$O$13,MATCH(C4,$N$3:$N$13,0)),0.25)</f>
        <v/>
      </c>
      <c r="F4" s="74" t="n">
        <v>0.257443082311734</v>
      </c>
      <c r="G4" s="72" t="inlineStr">
        <is>
          <t>Darryl</t>
        </is>
      </c>
      <c r="H4" s="72" t="n"/>
      <c r="I4" s="72" t="inlineStr">
        <is>
          <t>Needs Initial Screen</t>
        </is>
      </c>
      <c r="J4" s="75" t="n">
        <v>46244</v>
      </c>
      <c r="K4" s="76" t="n"/>
      <c r="N4" s="78" t="inlineStr">
        <is>
          <t>Communication Services</t>
        </is>
      </c>
      <c r="O4" s="79" t="n">
        <v>0</v>
      </c>
    </row>
    <row r="5" ht="68.65000000000001" customHeight="1" s="68">
      <c r="A5" s="71" t="inlineStr">
        <is>
          <t>KGS</t>
        </is>
      </c>
      <c r="B5" s="72" t="inlineStr">
        <is>
          <t>Kodiak Gas Services, Inc.</t>
        </is>
      </c>
      <c r="C5" s="72" t="inlineStr">
        <is>
          <t>Energy</t>
        </is>
      </c>
      <c r="D5" s="72" t="inlineStr">
        <is>
          <t>Oil &amp; Gas Equipment &amp; Services</t>
        </is>
      </c>
      <c r="E5" s="73">
        <f>IFERROR(0.25-INDEX($O$3:$O$13,MATCH(C5,$N$3:$N$13,0)),0.25)</f>
        <v/>
      </c>
      <c r="F5" s="74" t="n">
        <v>32.6945032891069</v>
      </c>
      <c r="G5" s="72" t="inlineStr">
        <is>
          <t>Momentum/FCF screen 8-30-26</t>
        </is>
      </c>
      <c r="H5" s="72" t="n"/>
      <c r="I5" s="72" t="inlineStr">
        <is>
          <t>Ready for Tier 1</t>
        </is>
      </c>
      <c r="J5" s="75" t="n">
        <v>46264</v>
      </c>
      <c r="K5" s="76" t="inlineStr">
        <is>
          <t>Fresh Tier 1 quant screen 9/11/26: FCF Yield=4, Rev Growth=4, FCF Margin=4 (Tier1 Wtd Avg=4.0 on known indicators). Moat/Rev Visibility not yet assessed (Part 12, qualitative). Added to Scoring (row 48) and Monitor &amp; Recheck Triggers as Watch List.</t>
        </is>
      </c>
      <c r="N5" s="78" t="inlineStr">
        <is>
          <t>Consumer Cyclical</t>
        </is>
      </c>
      <c r="O5" s="79" t="n">
        <v>0</v>
      </c>
    </row>
    <row r="6" ht="15" customHeight="1" s="68">
      <c r="A6" s="71" t="inlineStr">
        <is>
          <t>OKE</t>
        </is>
      </c>
      <c r="B6" s="72" t="inlineStr">
        <is>
          <t>ONEOK, Inc.</t>
        </is>
      </c>
      <c r="C6" s="72" t="inlineStr">
        <is>
          <t>Energy</t>
        </is>
      </c>
      <c r="D6" s="72" t="inlineStr">
        <is>
          <t>Oil &amp; Gas Midstream</t>
        </is>
      </c>
      <c r="E6" s="73">
        <f>IFERROR(0.25-INDEX($O$3:$O$13,MATCH(C6,$N$3:$N$13,0)),0.25)</f>
        <v/>
      </c>
      <c r="F6" s="74" t="n">
        <v>-0.146494593651901</v>
      </c>
      <c r="G6" s="72" t="inlineStr">
        <is>
          <t>Darryl</t>
        </is>
      </c>
      <c r="H6" s="72" t="n"/>
      <c r="I6" s="72" t="inlineStr">
        <is>
          <t>Needs Initial Screen</t>
        </is>
      </c>
      <c r="J6" s="75" t="n">
        <v>46244</v>
      </c>
      <c r="K6" s="76" t="n"/>
      <c r="N6" s="78" t="inlineStr">
        <is>
          <t>Consumer Defensive</t>
        </is>
      </c>
      <c r="O6" s="79" t="n">
        <v>0</v>
      </c>
    </row>
    <row r="7" ht="15" customHeight="1" s="68">
      <c r="A7" s="71" t="inlineStr">
        <is>
          <t>SLB</t>
        </is>
      </c>
      <c r="B7" s="72" t="inlineStr">
        <is>
          <t>SLB N.V.</t>
        </is>
      </c>
      <c r="C7" s="72" t="inlineStr">
        <is>
          <t>Energy</t>
        </is>
      </c>
      <c r="D7" s="72" t="inlineStr">
        <is>
          <t>Oil &amp; Gas Equipment &amp; Services</t>
        </is>
      </c>
      <c r="E7" s="73">
        <f>IFERROR(0.25-INDEX($O$3:$O$13,MATCH(C7,$N$3:$N$13,0)),0.25)</f>
        <v/>
      </c>
      <c r="F7" s="74" t="n">
        <v>0.0156494522691706</v>
      </c>
      <c r="G7" s="72" t="inlineStr">
        <is>
          <t>Darryl</t>
        </is>
      </c>
      <c r="H7" s="72" t="n"/>
      <c r="I7" s="72" t="inlineStr">
        <is>
          <t>Needs Initial Screen</t>
        </is>
      </c>
      <c r="J7" s="75" t="n">
        <v>46244</v>
      </c>
      <c r="K7" s="76" t="n"/>
      <c r="N7" s="78" t="inlineStr">
        <is>
          <t>Energy</t>
        </is>
      </c>
      <c r="O7" s="79" t="n">
        <v>0</v>
      </c>
    </row>
    <row r="8" ht="15" customHeight="1" s="68">
      <c r="A8" s="71" t="inlineStr">
        <is>
          <t>PYPL</t>
        </is>
      </c>
      <c r="B8" s="72" t="inlineStr">
        <is>
          <t>PayPal Holdings, Inc.</t>
        </is>
      </c>
      <c r="C8" s="72" t="inlineStr">
        <is>
          <t>Financial Services</t>
        </is>
      </c>
      <c r="D8" s="72" t="inlineStr">
        <is>
          <t>Credit Services</t>
        </is>
      </c>
      <c r="E8" s="73">
        <f>IFERROR(0.25-INDEX($O$3:$O$13,MATCH(C8,$N$3:$N$13,0)),0.25)</f>
        <v/>
      </c>
      <c r="F8" s="74" t="n">
        <v>-0.177774493867297</v>
      </c>
      <c r="G8" s="72" t="inlineStr">
        <is>
          <t>Darryl</t>
        </is>
      </c>
      <c r="H8" s="72" t="n"/>
      <c r="I8" s="72" t="inlineStr">
        <is>
          <t>Needs Initial Screen</t>
        </is>
      </c>
      <c r="J8" s="75" t="n">
        <v>46244</v>
      </c>
      <c r="K8" s="76" t="n"/>
      <c r="N8" s="78" t="inlineStr">
        <is>
          <t>Financial Services</t>
        </is>
      </c>
      <c r="O8" s="79" t="n">
        <v>0</v>
      </c>
    </row>
    <row r="9" ht="15" customHeight="1" s="68">
      <c r="A9" s="71" t="inlineStr">
        <is>
          <t>ABT</t>
        </is>
      </c>
      <c r="B9" s="72" t="inlineStr">
        <is>
          <t>Abbott Laboratories</t>
        </is>
      </c>
      <c r="C9" s="72" t="inlineStr">
        <is>
          <t>Healthcare</t>
        </is>
      </c>
      <c r="D9" s="72" t="inlineStr">
        <is>
          <t>Medical Devices</t>
        </is>
      </c>
      <c r="E9" s="73">
        <f>IFERROR(0.25-INDEX($O$3:$O$13,MATCH(C9,$N$3:$N$13,0)),0.25)</f>
        <v/>
      </c>
      <c r="F9" s="74" t="n">
        <v>0.164383561643836</v>
      </c>
      <c r="G9" s="72" t="inlineStr">
        <is>
          <t>Darryl</t>
        </is>
      </c>
      <c r="H9" s="72" t="n"/>
      <c r="I9" s="72" t="inlineStr">
        <is>
          <t>Needs Initial Screen</t>
        </is>
      </c>
      <c r="J9" s="75" t="n">
        <v>46244</v>
      </c>
      <c r="K9" s="76" t="n"/>
      <c r="N9" s="78" t="inlineStr">
        <is>
          <t>Healthcare</t>
        </is>
      </c>
      <c r="O9" s="79" t="n">
        <v>0.0342</v>
      </c>
    </row>
    <row r="10" ht="15" customHeight="1" s="68">
      <c r="A10" s="71" t="inlineStr">
        <is>
          <t>AZN</t>
        </is>
      </c>
      <c r="B10" s="72" t="inlineStr">
        <is>
          <t>AstraZeneca PLC</t>
        </is>
      </c>
      <c r="C10" s="72" t="inlineStr">
        <is>
          <t>Healthcare</t>
        </is>
      </c>
      <c r="D10" s="72" t="inlineStr">
        <is>
          <t>Drug Manufacturers - General</t>
        </is>
      </c>
      <c r="E10" s="73">
        <f>IFERROR(0.25-INDEX($O$3:$O$13,MATCH(C10,$N$3:$N$13,0)),0.25)</f>
        <v/>
      </c>
      <c r="F10" s="74" t="n">
        <v>0.191752577319588</v>
      </c>
      <c r="G10" s="72" t="inlineStr">
        <is>
          <t>Darryl</t>
        </is>
      </c>
      <c r="H10" s="72" t="n"/>
      <c r="I10" s="72" t="inlineStr">
        <is>
          <t>Needs Initial Screen</t>
        </is>
      </c>
      <c r="J10" s="75" t="n">
        <v>46244</v>
      </c>
      <c r="K10" s="76" t="n"/>
      <c r="N10" s="78" t="inlineStr">
        <is>
          <t>Industrials</t>
        </is>
      </c>
      <c r="O10" s="79" t="n">
        <v>0.0119</v>
      </c>
    </row>
    <row r="11" ht="15" customHeight="1" s="68">
      <c r="A11" s="71" t="inlineStr">
        <is>
          <t>BAX</t>
        </is>
      </c>
      <c r="B11" s="72" t="inlineStr">
        <is>
          <t>Baxter International Inc.</t>
        </is>
      </c>
      <c r="C11" s="72" t="inlineStr">
        <is>
          <t>Healthcare</t>
        </is>
      </c>
      <c r="D11" s="72" t="inlineStr">
        <is>
          <t>Medical Instruments &amp; Supplies</t>
        </is>
      </c>
      <c r="E11" s="73">
        <f>IFERROR(0.25-INDEX($O$3:$O$13,MATCH(C11,$N$3:$N$13,0)),0.25)</f>
        <v/>
      </c>
      <c r="F11" s="74" t="n">
        <v>-0.422182468694097</v>
      </c>
      <c r="G11" s="72" t="inlineStr">
        <is>
          <t>Darryl</t>
        </is>
      </c>
      <c r="H11" s="72" t="n"/>
      <c r="I11" s="72" t="inlineStr">
        <is>
          <t>Needs Initial Screen</t>
        </is>
      </c>
      <c r="J11" s="75" t="n">
        <v>46244</v>
      </c>
      <c r="K11" s="76" t="n"/>
      <c r="N11" s="78" t="inlineStr">
        <is>
          <t>Real Estate</t>
        </is>
      </c>
      <c r="O11" s="79" t="n">
        <v>0.0249</v>
      </c>
    </row>
    <row r="12" ht="15" customHeight="1" s="68">
      <c r="A12" s="71" t="inlineStr">
        <is>
          <t>BSX</t>
        </is>
      </c>
      <c r="B12" s="72" t="inlineStr">
        <is>
          <t>Boston Scientific Corporation</t>
        </is>
      </c>
      <c r="C12" s="72" t="inlineStr">
        <is>
          <t>Healthcare</t>
        </is>
      </c>
      <c r="D12" s="72" t="inlineStr">
        <is>
          <t>Medical Devices</t>
        </is>
      </c>
      <c r="E12" s="73">
        <f>IFERROR(0.25-INDEX($O$3:$O$13,MATCH(C12,$N$3:$N$13,0)),0.25)</f>
        <v/>
      </c>
      <c r="F12" s="74" t="n">
        <v>0.439323467230444</v>
      </c>
      <c r="G12" s="72" t="inlineStr">
        <is>
          <t>Darryl</t>
        </is>
      </c>
      <c r="H12" s="72" t="n"/>
      <c r="I12" s="72" t="inlineStr">
        <is>
          <t>Needs Initial Screen</t>
        </is>
      </c>
      <c r="J12" s="75" t="n">
        <v>46244</v>
      </c>
      <c r="K12" s="76" t="n"/>
      <c r="N12" s="78" t="inlineStr">
        <is>
          <t>Technology</t>
        </is>
      </c>
      <c r="O12" s="79" t="n">
        <v>0.2586</v>
      </c>
    </row>
    <row r="13" ht="15" customHeight="1" s="68">
      <c r="A13" s="71" t="inlineStr">
        <is>
          <t>ICLR</t>
        </is>
      </c>
      <c r="B13" s="72" t="inlineStr">
        <is>
          <t>ICON Public Limited Company</t>
        </is>
      </c>
      <c r="C13" s="72" t="inlineStr">
        <is>
          <t>Healthcare</t>
        </is>
      </c>
      <c r="D13" s="72" t="inlineStr">
        <is>
          <t>Diagnostics &amp; Research</t>
        </is>
      </c>
      <c r="E13" s="73">
        <f>IFERROR(0.25-INDEX($O$3:$O$13,MATCH(C13,$N$3:$N$13,0)),0.25)</f>
        <v/>
      </c>
      <c r="F13" s="74" t="n">
        <v>-0.229396419784872</v>
      </c>
      <c r="G13" s="72" t="inlineStr">
        <is>
          <t>Darryl</t>
        </is>
      </c>
      <c r="H13" s="72" t="n"/>
      <c r="I13" s="72" t="inlineStr">
        <is>
          <t>Needs Initial Screen</t>
        </is>
      </c>
      <c r="J13" s="75" t="n">
        <v>46244</v>
      </c>
      <c r="K13" s="76" t="n"/>
      <c r="N13" s="78" t="inlineStr">
        <is>
          <t>Utilities</t>
        </is>
      </c>
      <c r="O13" s="79" t="n">
        <v>0</v>
      </c>
    </row>
    <row r="14" ht="41.75" customHeight="1" s="68">
      <c r="A14" s="71" t="inlineStr">
        <is>
          <t>NBIX</t>
        </is>
      </c>
      <c r="B14" s="72" t="inlineStr">
        <is>
          <t>Neurocrine Biosciences, Inc.</t>
        </is>
      </c>
      <c r="C14" s="72" t="inlineStr">
        <is>
          <t>Healthcare</t>
        </is>
      </c>
      <c r="D14" s="72" t="inlineStr">
        <is>
          <t>Drug Manufacturers - Specialty &amp; Generic</t>
        </is>
      </c>
      <c r="E14" s="73">
        <f>IFERROR(0.25-INDEX($O$3:$O$13,MATCH(C14,$N$3:$N$13,0)),0.25)</f>
        <v/>
      </c>
      <c r="F14" s="74" t="n">
        <v>0.343682699210337</v>
      </c>
      <c r="G14" s="72" t="inlineStr">
        <is>
          <t>Momentum/FCF screen 8-30-26</t>
        </is>
      </c>
      <c r="H14" s="72" t="n"/>
      <c r="I14" s="72" t="inlineStr">
        <is>
          <t>Needs Initial Screen</t>
        </is>
      </c>
      <c r="J14" s="75" t="n">
        <v>46264</v>
      </c>
      <c r="K14" s="76" t="inlineStr">
        <is>
          <t>FCF growth ~69% (Neurocrine Biosciences). Multiple years of double-digit revenue and FCF growth; less crowded than AI names. Healthcare has ample headroom. (Momentum/FCF screen, 8/30/26)</t>
        </is>
      </c>
    </row>
    <row r="15" ht="15" customHeight="1" s="68">
      <c r="A15" s="71" t="inlineStr">
        <is>
          <t>NTRA</t>
        </is>
      </c>
      <c r="B15" s="72" t="inlineStr">
        <is>
          <t>Natera, Inc.</t>
        </is>
      </c>
      <c r="C15" s="72" t="inlineStr">
        <is>
          <t>Healthcare</t>
        </is>
      </c>
      <c r="D15" s="72" t="inlineStr">
        <is>
          <t>Diagnostics &amp; Research</t>
        </is>
      </c>
      <c r="E15" s="73">
        <f>IFERROR(0.25-INDEX($O$3:$O$13,MATCH(C15,$N$3:$N$13,0)),0.25)</f>
        <v/>
      </c>
      <c r="F15" s="74" t="n">
        <v>0.295628638545603</v>
      </c>
      <c r="G15" s="72" t="inlineStr">
        <is>
          <t>Darryl</t>
        </is>
      </c>
      <c r="H15" s="72" t="n"/>
      <c r="I15" s="72" t="inlineStr">
        <is>
          <t>Needs Initial Screen</t>
        </is>
      </c>
      <c r="J15" s="75" t="n">
        <v>46244</v>
      </c>
      <c r="K15" s="76" t="n"/>
    </row>
    <row r="16" ht="15" customHeight="1" s="68">
      <c r="A16" s="71" t="inlineStr">
        <is>
          <t>PFE</t>
        </is>
      </c>
      <c r="B16" s="72" t="inlineStr">
        <is>
          <t>Pfizer Inc.</t>
        </is>
      </c>
      <c r="C16" s="72" t="inlineStr">
        <is>
          <t>Healthcare</t>
        </is>
      </c>
      <c r="D16" s="72" t="inlineStr">
        <is>
          <t>Drug Manufacturers - General</t>
        </is>
      </c>
      <c r="E16" s="73">
        <f>IFERROR(0.25-INDEX($O$3:$O$13,MATCH(C16,$N$3:$N$13,0)),0.25)</f>
        <v/>
      </c>
      <c r="F16" s="74" t="n">
        <v>-0.0772750381291307</v>
      </c>
      <c r="G16" s="72" t="inlineStr">
        <is>
          <t>Darryl</t>
        </is>
      </c>
      <c r="H16" s="72" t="n"/>
      <c r="I16" s="72" t="inlineStr">
        <is>
          <t>Needs Initial Screen</t>
        </is>
      </c>
      <c r="J16" s="75" t="n">
        <v>46244</v>
      </c>
      <c r="K16" s="76" t="n"/>
    </row>
    <row r="17" ht="15" customHeight="1" s="68">
      <c r="A17" s="71" t="inlineStr">
        <is>
          <t>UNH</t>
        </is>
      </c>
      <c r="B17" s="72" t="inlineStr">
        <is>
          <t>UnitedHealth Group Incorporated</t>
        </is>
      </c>
      <c r="C17" s="72" t="inlineStr">
        <is>
          <t>Healthcare</t>
        </is>
      </c>
      <c r="D17" s="72" t="inlineStr">
        <is>
          <t>Healthcare Plans</t>
        </is>
      </c>
      <c r="E17" s="73">
        <f>IFERROR(0.25-INDEX($O$3:$O$13,MATCH(C17,$N$3:$N$13,0)),0.25)</f>
        <v/>
      </c>
      <c r="F17" s="74" t="n">
        <v>-0.22361748369959</v>
      </c>
      <c r="G17" s="72" t="inlineStr">
        <is>
          <t>Darryl</t>
        </is>
      </c>
      <c r="H17" s="72" t="n"/>
      <c r="I17" s="72" t="inlineStr">
        <is>
          <t>Needs Initial Screen</t>
        </is>
      </c>
      <c r="J17" s="75" t="n">
        <v>46244</v>
      </c>
      <c r="K17" s="76" t="n"/>
    </row>
    <row r="18" ht="15" customHeight="1" s="68">
      <c r="A18" s="71" t="inlineStr">
        <is>
          <t>VEEV</t>
        </is>
      </c>
      <c r="B18" s="72" t="inlineStr">
        <is>
          <t>Veeva Systems Inc.</t>
        </is>
      </c>
      <c r="C18" s="72" t="inlineStr">
        <is>
          <t>Healthcare</t>
        </is>
      </c>
      <c r="D18" s="72" t="inlineStr">
        <is>
          <t>Health Information Services</t>
        </is>
      </c>
      <c r="E18" s="73">
        <f>IFERROR(0.25-INDEX($O$3:$O$13,MATCH(C18,$N$3:$N$13,0)),0.25)</f>
        <v/>
      </c>
      <c r="F18" s="74" t="n">
        <v>0.29831081298031</v>
      </c>
      <c r="G18" s="72" t="inlineStr">
        <is>
          <t>Darryl</t>
        </is>
      </c>
      <c r="H18" s="72" t="n"/>
      <c r="I18" s="72" t="inlineStr">
        <is>
          <t>Needs Initial Screen</t>
        </is>
      </c>
      <c r="J18" s="75" t="n">
        <v>46244</v>
      </c>
      <c r="K18" s="76" t="n"/>
    </row>
    <row r="19" ht="15" customHeight="1" s="68">
      <c r="A19" s="71" t="inlineStr">
        <is>
          <t>XRAY</t>
        </is>
      </c>
      <c r="B19" s="72" t="inlineStr">
        <is>
          <t>DENTSPLY SIRONA Inc.</t>
        </is>
      </c>
      <c r="C19" s="72" t="inlineStr">
        <is>
          <t>Healthcare</t>
        </is>
      </c>
      <c r="D19" s="72" t="inlineStr">
        <is>
          <t>Medical Instruments &amp; Supplies</t>
        </is>
      </c>
      <c r="E19" s="73">
        <f>IFERROR(0.25-INDEX($O$3:$O$13,MATCH(C19,$N$3:$N$13,0)),0.25)</f>
        <v/>
      </c>
      <c r="F19" s="74" t="n">
        <v>-0.629893238434164</v>
      </c>
      <c r="G19" s="72" t="inlineStr">
        <is>
          <t>Darryl</t>
        </is>
      </c>
      <c r="H19" s="72" t="n"/>
      <c r="I19" s="72" t="inlineStr">
        <is>
          <t>Needs Initial Screen</t>
        </is>
      </c>
      <c r="J19" s="75" t="n">
        <v>46244</v>
      </c>
      <c r="K19" s="76" t="n"/>
    </row>
    <row r="20" ht="15" customHeight="1" s="68">
      <c r="A20" s="71" t="inlineStr">
        <is>
          <t>BE</t>
        </is>
      </c>
      <c r="B20" s="72" t="inlineStr">
        <is>
          <t>Bloom Energy Corporation</t>
        </is>
      </c>
      <c r="C20" s="72" t="inlineStr">
        <is>
          <t>Industrials</t>
        </is>
      </c>
      <c r="D20" s="72" t="inlineStr">
        <is>
          <t>Electrical Equipment &amp; Parts</t>
        </is>
      </c>
      <c r="E20" s="73">
        <f>IFERROR(0.25-INDEX($O$3:$O$13,MATCH(C20,$N$3:$N$13,0)),0.25)</f>
        <v/>
      </c>
      <c r="F20" s="74" t="n">
        <v>0.725396729620467</v>
      </c>
      <c r="G20" s="72" t="inlineStr">
        <is>
          <t>Darryl</t>
        </is>
      </c>
      <c r="H20" s="72" t="n"/>
      <c r="I20" s="72" t="inlineStr">
        <is>
          <t>Needs Initial Screen</t>
        </is>
      </c>
      <c r="J20" s="75" t="n">
        <v>46244</v>
      </c>
      <c r="K20" s="76" t="n"/>
    </row>
    <row r="21" ht="82.05" customHeight="1" s="68">
      <c r="A21" s="71" t="inlineStr">
        <is>
          <t>GEV</t>
        </is>
      </c>
      <c r="B21" s="72" t="inlineStr">
        <is>
          <t>GE Vernova Inc.</t>
        </is>
      </c>
      <c r="C21" s="72" t="inlineStr">
        <is>
          <t>Industrials</t>
        </is>
      </c>
      <c r="D21" s="72" t="inlineStr">
        <is>
          <t>Specialty Industrial Machinery</t>
        </is>
      </c>
      <c r="E21" s="73">
        <f>IFERROR(0.25-INDEX($O$3:$O$13,MATCH(C21,$N$3:$N$13,0)),0.25)</f>
        <v/>
      </c>
      <c r="F21" s="74" t="n">
        <v>1.18235294117647</v>
      </c>
      <c r="G21" s="72" t="inlineStr">
        <is>
          <t>Momentum/FCF screen 8-30-26</t>
        </is>
      </c>
      <c r="H21" s="72" t="n"/>
      <c r="I21" s="72" t="inlineStr">
        <is>
          <t>Needs Initial Screen</t>
        </is>
      </c>
      <c r="J21" s="75" t="n">
        <v>46264</v>
      </c>
      <c r="K21" s="76" t="inlineStr">
        <is>
          <t>3-yr FCF growth &gt;26% (GE Vernova). Powerful electrification/order-cycle momentum and improving cash conversion. Diversification fit -- Industrials has ample headroom. (Momentum/FCF screen, 8/30/26) Genuine large-dollar FCF increase, not a small-base artifact -- still worth confirming it isn't boosted by one-time items (M&amp;A, litigation proceeds, etc.) before treating as a repeatable trend.</t>
        </is>
      </c>
    </row>
    <row r="22" ht="15" customHeight="1" s="68">
      <c r="A22" s="71" t="inlineStr">
        <is>
          <t>GXO</t>
        </is>
      </c>
      <c r="B22" s="72" t="inlineStr">
        <is>
          <t>GXO Logistics, Inc.</t>
        </is>
      </c>
      <c r="C22" s="72" t="inlineStr">
        <is>
          <t>Industrials</t>
        </is>
      </c>
      <c r="D22" s="72" t="inlineStr">
        <is>
          <t>Integrated Freight &amp; Logistics</t>
        </is>
      </c>
      <c r="E22" s="73">
        <f>IFERROR(0.25-INDEX($O$3:$O$13,MATCH(C22,$N$3:$N$13,0)),0.25)</f>
        <v/>
      </c>
      <c r="F22" s="74" t="n">
        <v>-0.421052631578947</v>
      </c>
      <c r="G22" s="72" t="inlineStr">
        <is>
          <t>Darryl</t>
        </is>
      </c>
      <c r="H22" s="72" t="n"/>
      <c r="I22" s="72" t="inlineStr">
        <is>
          <t>Needs Initial Screen</t>
        </is>
      </c>
      <c r="J22" s="75" t="n">
        <v>46244</v>
      </c>
      <c r="K22" s="76" t="n"/>
    </row>
    <row r="23" ht="55.2" customHeight="1" s="68">
      <c r="A23" s="71" t="inlineStr">
        <is>
          <t>HWM</t>
        </is>
      </c>
      <c r="B23" s="72" t="inlineStr">
        <is>
          <t>Howmet Aerospace Inc.</t>
        </is>
      </c>
      <c r="C23" s="72" t="inlineStr">
        <is>
          <t>Industrials</t>
        </is>
      </c>
      <c r="D23" s="72" t="inlineStr">
        <is>
          <t>Aerospace &amp; Defense</t>
        </is>
      </c>
      <c r="E23" s="73">
        <f>IFERROR(0.25-INDEX($O$3:$O$13,MATCH(C23,$N$3:$N$13,0)),0.25)</f>
        <v/>
      </c>
      <c r="F23" s="74" t="n">
        <v>0.464687819856704</v>
      </c>
      <c r="G23" s="72" t="inlineStr">
        <is>
          <t>Momentum/FCF screen 8-30-26</t>
        </is>
      </c>
      <c r="H23" s="72" t="n"/>
      <c r="I23" s="72" t="inlineStr">
        <is>
          <t>Needs Initial Screen</t>
        </is>
      </c>
      <c r="J23" s="75" t="n">
        <v>46264</v>
      </c>
      <c r="K23" s="76" t="inlineStr">
        <is>
          <t>3-yr FCF growth &gt;26% (Howmet Aerospace). Aerospace pricing, volume and margin expansion support an improving FCF trend. Diversification fit -- Industrials has ample headroom. (Momentum/FCF screen, 8/30/26)</t>
        </is>
      </c>
    </row>
    <row r="24" ht="41.75" customHeight="1" s="68">
      <c r="A24" s="71" t="inlineStr">
        <is>
          <t>MIR</t>
        </is>
      </c>
      <c r="B24" s="72" t="inlineStr">
        <is>
          <t>Mirion Technologies, Inc.</t>
        </is>
      </c>
      <c r="C24" s="72" t="inlineStr">
        <is>
          <t>Industrials</t>
        </is>
      </c>
      <c r="D24" s="72" t="inlineStr">
        <is>
          <t>Specialty Industrial Machinery</t>
        </is>
      </c>
      <c r="E24" s="73">
        <f>IFERROR(0.25-INDEX($O$3:$O$13,MATCH(C24,$N$3:$N$13,0)),0.25)</f>
        <v/>
      </c>
      <c r="F24" s="74" t="n">
        <v>1.12524850894632</v>
      </c>
      <c r="G24" s="72" t="inlineStr">
        <is>
          <t>Darryl</t>
        </is>
      </c>
      <c r="H24" s="72" t="n"/>
      <c r="I24" s="72" t="inlineStr">
        <is>
          <t>Needs Initial Screen</t>
        </is>
      </c>
      <c r="J24" s="75" t="n">
        <v>46244</v>
      </c>
      <c r="K24" s="76" t="inlineStr">
        <is>
          <t>Prior-year FCF base is very small in dollar terms -- the % growth figure isn't a meaningful growth rate on its own; look at the dollar trend instead.</t>
        </is>
      </c>
    </row>
    <row r="25" ht="41.75" customHeight="1" s="68">
      <c r="A25" s="71" t="inlineStr">
        <is>
          <t>QXO</t>
        </is>
      </c>
      <c r="B25" s="72" t="inlineStr">
        <is>
          <t>QXO, Inc.</t>
        </is>
      </c>
      <c r="C25" s="72" t="inlineStr">
        <is>
          <t>Industrials</t>
        </is>
      </c>
      <c r="D25" s="72" t="inlineStr">
        <is>
          <t>Industrial Distribution</t>
        </is>
      </c>
      <c r="E25" s="73">
        <f>IFERROR(0.25-INDEX($O$3:$O$13,MATCH(C25,$N$3:$N$13,0)),0.25)</f>
        <v/>
      </c>
      <c r="F25" s="74" t="n">
        <v>1.1629279811098</v>
      </c>
      <c r="G25" s="72" t="inlineStr">
        <is>
          <t>Darryl</t>
        </is>
      </c>
      <c r="H25" s="72" t="n"/>
      <c r="I25" s="72" t="inlineStr">
        <is>
          <t>Needs Initial Screen</t>
        </is>
      </c>
      <c r="J25" s="75" t="n">
        <v>46244</v>
      </c>
      <c r="K25" s="76" t="inlineStr">
        <is>
          <t>Prior-year FCF base is very small in dollar terms -- the % growth figure isn't a meaningful growth rate on its own; look at the dollar trend instead.</t>
        </is>
      </c>
    </row>
    <row r="26" ht="28.35" customHeight="1" s="68">
      <c r="A26" s="71" t="inlineStr">
        <is>
          <t>SMR</t>
        </is>
      </c>
      <c r="B26" s="72" t="inlineStr">
        <is>
          <t>NuScale Power Corporation</t>
        </is>
      </c>
      <c r="C26" s="72" t="inlineStr">
        <is>
          <t>Industrials</t>
        </is>
      </c>
      <c r="D26" s="72" t="inlineStr">
        <is>
          <t>Specialty Industrial Machinery</t>
        </is>
      </c>
      <c r="E26" s="73">
        <f>IFERROR(0.25-INDEX($O$3:$O$13,MATCH(C26,$N$3:$N$13,0)),0.25)</f>
        <v/>
      </c>
      <c r="F26" s="74" t="n">
        <v>-3.23252690644835</v>
      </c>
      <c r="G26" s="72" t="inlineStr">
        <is>
          <t>Darryl</t>
        </is>
      </c>
      <c r="H26" s="72" t="n"/>
      <c r="I26" s="72" t="inlineStr">
        <is>
          <t>Needs Initial Screen</t>
        </is>
      </c>
      <c r="J26" s="75" t="n">
        <v>46244</v>
      </c>
      <c r="K26" s="76" t="inlineStr">
        <is>
          <t>FCF losses deepened substantially year over year in real dollar terms -- genuine deterioration, not a data artifact.</t>
        </is>
      </c>
    </row>
    <row r="27" ht="15" customHeight="1" s="68">
      <c r="A27" s="71" t="inlineStr">
        <is>
          <t>SUNB</t>
        </is>
      </c>
      <c r="B27" s="72" t="inlineStr">
        <is>
          <t>Sunbelt Rentals Holdings, Inc.</t>
        </is>
      </c>
      <c r="C27" s="72" t="inlineStr">
        <is>
          <t>Industrials</t>
        </is>
      </c>
      <c r="D27" s="72" t="inlineStr">
        <is>
          <t>Rental &amp; Leasing Services</t>
        </is>
      </c>
      <c r="E27" s="73">
        <f>IFERROR(0.25-INDEX($O$3:$O$13,MATCH(C27,$N$3:$N$13,0)),0.25)</f>
        <v/>
      </c>
      <c r="F27" s="74" t="n">
        <v>0.393139841688654</v>
      </c>
      <c r="G27" s="72" t="inlineStr">
        <is>
          <t>Darryl</t>
        </is>
      </c>
      <c r="H27" s="72" t="n"/>
      <c r="I27" s="72" t="inlineStr">
        <is>
          <t>Needs Initial Screen</t>
        </is>
      </c>
      <c r="J27" s="75" t="n">
        <v>46244</v>
      </c>
      <c r="K27" s="76" t="n"/>
    </row>
    <row r="28" ht="15" customHeight="1" s="68">
      <c r="A28" s="71" t="inlineStr">
        <is>
          <t>SWK</t>
        </is>
      </c>
      <c r="B28" s="72" t="inlineStr">
        <is>
          <t>Stanley Black &amp; Decker, Inc.</t>
        </is>
      </c>
      <c r="C28" s="72" t="inlineStr">
        <is>
          <t>Industrials</t>
        </is>
      </c>
      <c r="D28" s="72" t="inlineStr">
        <is>
          <t>Tools &amp; Accessories</t>
        </is>
      </c>
      <c r="E28" s="73">
        <f>IFERROR(0.25-INDEX($O$3:$O$13,MATCH(C28,$N$3:$N$13,0)),0.25)</f>
        <v/>
      </c>
      <c r="F28" s="74" t="n">
        <v>-0.0864541832669323</v>
      </c>
      <c r="G28" s="72" t="inlineStr">
        <is>
          <t>Darryl</t>
        </is>
      </c>
      <c r="H28" s="72" t="n"/>
      <c r="I28" s="72" t="inlineStr">
        <is>
          <t>Needs Initial Screen</t>
        </is>
      </c>
      <c r="J28" s="75" t="n">
        <v>46244</v>
      </c>
      <c r="K28" s="76" t="n"/>
    </row>
    <row r="29" ht="15" customHeight="1" s="68">
      <c r="A29" s="71" t="inlineStr">
        <is>
          <t>UPS</t>
        </is>
      </c>
      <c r="B29" s="72" t="inlineStr">
        <is>
          <t>United Parcel Service, Inc.</t>
        </is>
      </c>
      <c r="C29" s="72" t="inlineStr">
        <is>
          <t>Industrials</t>
        </is>
      </c>
      <c r="D29" s="72" t="inlineStr">
        <is>
          <t>Integrated Freight &amp; Logistics</t>
        </is>
      </c>
      <c r="E29" s="73">
        <f>IFERROR(0.25-INDEX($O$3:$O$13,MATCH(C29,$N$3:$N$13,0)),0.25)</f>
        <v/>
      </c>
      <c r="F29" s="74" t="n">
        <v>-0.233059713503943</v>
      </c>
      <c r="G29" s="72" t="inlineStr">
        <is>
          <t>Darryl</t>
        </is>
      </c>
      <c r="H29" s="72" t="n"/>
      <c r="I29" s="72" t="inlineStr">
        <is>
          <t>Needs Initial Screen</t>
        </is>
      </c>
      <c r="J29" s="75" t="n">
        <v>46244</v>
      </c>
      <c r="K29" s="76" t="n"/>
    </row>
    <row r="30" ht="15" customHeight="1" s="68">
      <c r="A30" s="71" t="inlineStr">
        <is>
          <t>CCI</t>
        </is>
      </c>
      <c r="B30" s="72" t="inlineStr">
        <is>
          <t>Crown Castle Inc.</t>
        </is>
      </c>
      <c r="C30" s="72" t="inlineStr">
        <is>
          <t>Real Estate</t>
        </is>
      </c>
      <c r="D30" s="72" t="inlineStr">
        <is>
          <t>REIT - Specialty</t>
        </is>
      </c>
      <c r="E30" s="73">
        <f>IFERROR(0.25-INDEX($O$3:$O$13,MATCH(C30,$N$3:$N$13,0)),0.25)</f>
        <v/>
      </c>
      <c r="F30" s="74" t="n">
        <v>0.0390314419949404</v>
      </c>
      <c r="G30" s="72" t="inlineStr">
        <is>
          <t>Darryl</t>
        </is>
      </c>
      <c r="H30" s="72" t="n"/>
      <c r="I30" s="72" t="inlineStr">
        <is>
          <t>Needs Initial Screen</t>
        </is>
      </c>
      <c r="J30" s="75" t="n">
        <v>46244</v>
      </c>
      <c r="K30" s="76" t="n"/>
    </row>
    <row r="31" ht="28.35" customHeight="1" s="68">
      <c r="A31" s="71" t="inlineStr">
        <is>
          <t>COLD</t>
        </is>
      </c>
      <c r="B31" s="72" t="inlineStr">
        <is>
          <t>Americold Realty Trust, Inc.</t>
        </is>
      </c>
      <c r="C31" s="72" t="inlineStr">
        <is>
          <t>Real Estate</t>
        </is>
      </c>
      <c r="D31" s="72" t="inlineStr">
        <is>
          <t>REIT - Industrial</t>
        </is>
      </c>
      <c r="E31" s="73">
        <f>IFERROR(0.25-INDEX($O$3:$O$13,MATCH(C31,$N$3:$N$13,0)),0.25)</f>
        <v/>
      </c>
      <c r="F31" s="74" t="n">
        <v>-3.12073931594724</v>
      </c>
      <c r="G31" s="72" t="inlineStr">
        <is>
          <t>Darryl</t>
        </is>
      </c>
      <c r="H31" s="72" t="n"/>
      <c r="I31" s="72" t="inlineStr">
        <is>
          <t>Needs Initial Screen</t>
        </is>
      </c>
      <c r="J31" s="75" t="n">
        <v>46244</v>
      </c>
      <c r="K31" s="76" t="inlineStr">
        <is>
          <t>FCF turned negative vs. prior FY -- % growth figure reflects a swing off a positive base.</t>
        </is>
      </c>
    </row>
    <row r="32" ht="15" customHeight="1" s="68">
      <c r="A32" s="71" t="inlineStr">
        <is>
          <t>ACN</t>
        </is>
      </c>
      <c r="B32" s="72" t="inlineStr">
        <is>
          <t>Accenture plc</t>
        </is>
      </c>
      <c r="C32" s="72" t="inlineStr">
        <is>
          <t>Technology</t>
        </is>
      </c>
      <c r="D32" s="72" t="inlineStr">
        <is>
          <t>Information Technology Services</t>
        </is>
      </c>
      <c r="E32" s="73">
        <f>IFERROR(0.25-INDEX($O$3:$O$13,MATCH(C32,$N$3:$N$13,0)),0.25)</f>
        <v/>
      </c>
      <c r="F32" s="74" t="n">
        <v>0.26232947682041</v>
      </c>
      <c r="G32" s="72" t="inlineStr">
        <is>
          <t>Darryl</t>
        </is>
      </c>
      <c r="H32" s="72" t="n"/>
      <c r="I32" s="72" t="inlineStr">
        <is>
          <t>Needs Initial Screen</t>
        </is>
      </c>
      <c r="J32" s="75" t="n">
        <v>46244</v>
      </c>
      <c r="K32" s="76" t="n"/>
    </row>
    <row r="33" ht="68.65000000000001" customHeight="1" s="68">
      <c r="A33" s="71" t="inlineStr">
        <is>
          <t>ALAB</t>
        </is>
      </c>
      <c r="B33" s="72" t="inlineStr">
        <is>
          <t>Astera Labs, Inc.</t>
        </is>
      </c>
      <c r="C33" s="72" t="inlineStr">
        <is>
          <t>Technology</t>
        </is>
      </c>
      <c r="D33" s="72" t="inlineStr">
        <is>
          <t>Semiconductors</t>
        </is>
      </c>
      <c r="E33" s="73">
        <f>IFERROR(0.25-INDEX($O$3:$O$13,MATCH(C33,$N$3:$N$13,0)),0.25)</f>
        <v/>
      </c>
      <c r="F33" s="74" t="n">
        <v>1.75074928488446</v>
      </c>
      <c r="G33" s="72" t="inlineStr">
        <is>
          <t>Momentum/FCF screen 8-30-26</t>
        </is>
      </c>
      <c r="H33" s="72" t="n"/>
      <c r="I33" s="72" t="inlineStr">
        <is>
          <t>Needs Initial Screen</t>
        </is>
      </c>
      <c r="J33" s="75" t="n">
        <v>46264</v>
      </c>
      <c r="K33" s="76" t="inlineStr">
        <is>
          <t>3-yr FCF growth &gt;26% (Astera Labs). Very high growth and favorable cash trajectory, but shortest operating history and highest valuation risk. Alan flagged as highest-risk/highest-beta. CAUTION: Technology sector already over cap -- lower priority this tranche. (Momentum/FCF screen, 8/30/26)</t>
        </is>
      </c>
    </row>
    <row r="34" ht="95.5" customHeight="1" s="68">
      <c r="A34" s="71" t="inlineStr">
        <is>
          <t>APH</t>
        </is>
      </c>
      <c r="B34" s="72" t="inlineStr">
        <is>
          <t>Amphenol Corporation</t>
        </is>
      </c>
      <c r="C34" s="72" t="inlineStr">
        <is>
          <t>Technology</t>
        </is>
      </c>
      <c r="D34" s="72" t="inlineStr">
        <is>
          <t>Electronic Components</t>
        </is>
      </c>
      <c r="E34" s="73">
        <f>IFERROR(0.25-INDEX($O$3:$O$13,MATCH(C34,$N$3:$N$13,0)),0.25)</f>
        <v/>
      </c>
      <c r="F34" s="74" t="n">
        <v>1.03698878704695</v>
      </c>
      <c r="G34" s="72" t="inlineStr">
        <is>
          <t>Momentum/FCF screen 8-30-26</t>
        </is>
      </c>
      <c r="H34" s="72" t="n"/>
      <c r="I34" s="72" t="inlineStr">
        <is>
          <t>Needs Initial Screen</t>
        </is>
      </c>
      <c r="J34" s="75" t="n">
        <v>46264</v>
      </c>
      <c r="K34" s="76" t="inlineStr">
        <is>
          <t>3-yr FCF growth &gt;26% (Amphenol). Broad AI, aerospace and connectivity exposure with consistent cash generation. CAUTION: Technology sector is already over the 25% cap -- lower priority this tranche. (Momentum/FCF screen, 8/30/26) Genuine large-dollar FCF increase, not a small-base artifact -- still worth confirming it isn't boosted by one-time items (M&amp;A, litigation proceeds, etc.) before treating as a repeatable trend.</t>
        </is>
      </c>
    </row>
    <row r="35" ht="28.35" customHeight="1" s="68">
      <c r="A35" s="71" t="inlineStr">
        <is>
          <t>CBRS</t>
        </is>
      </c>
      <c r="B35" s="72" t="inlineStr">
        <is>
          <t>Cerebras Systems Inc.</t>
        </is>
      </c>
      <c r="C35" s="72" t="inlineStr">
        <is>
          <t>Technology</t>
        </is>
      </c>
      <c r="D35" s="72" t="inlineStr">
        <is>
          <t>Semiconductors</t>
        </is>
      </c>
      <c r="E35" s="73">
        <f>IFERROR(0.25-INDEX($O$3:$O$13,MATCH(C35,$N$3:$N$13,0)),0.25)</f>
        <v/>
      </c>
      <c r="F35" s="74" t="n">
        <v>-1.91656846570823</v>
      </c>
      <c r="G35" s="72" t="inlineStr">
        <is>
          <t>Darryl</t>
        </is>
      </c>
      <c r="H35" s="72" t="n"/>
      <c r="I35" s="72" t="inlineStr">
        <is>
          <t>Needs Initial Screen</t>
        </is>
      </c>
      <c r="J35" s="75" t="n">
        <v>46244</v>
      </c>
      <c r="K35" s="76" t="inlineStr">
        <is>
          <t>FCF turned negative vs. prior FY -- % growth figure reflects a swing off a positive base.</t>
        </is>
      </c>
    </row>
    <row r="36" ht="55.2" customHeight="1" s="68">
      <c r="A36" s="71" t="inlineStr">
        <is>
          <t>CLS</t>
        </is>
      </c>
      <c r="B36" s="72" t="inlineStr">
        <is>
          <t>Celestica Inc.</t>
        </is>
      </c>
      <c r="C36" s="72" t="inlineStr">
        <is>
          <t>Technology</t>
        </is>
      </c>
      <c r="D36" s="72" t="inlineStr">
        <is>
          <t>Electronic Components</t>
        </is>
      </c>
      <c r="E36" s="73">
        <f>IFERROR(0.25-INDEX($O$3:$O$13,MATCH(C36,$N$3:$N$13,0)),0.25)</f>
        <v/>
      </c>
      <c r="F36" s="74" t="n">
        <v>0.512541254125413</v>
      </c>
      <c r="G36" s="72" t="inlineStr">
        <is>
          <t>Momentum/FCF screen 8-30-26</t>
        </is>
      </c>
      <c r="H36" s="72" t="n"/>
      <c r="I36" s="72" t="inlineStr">
        <is>
          <t>Needs Initial Screen</t>
        </is>
      </c>
      <c r="J36" s="75" t="n">
        <v>46264</v>
      </c>
      <c r="K36" s="76" t="inlineStr">
        <is>
          <t>FCF growth ~49% (Celestica). AI-server and networking demand translating into accelerating cash flow. CAUTION: Technology sector is already over the 25% cap -- lower priority this tranche. (Momentum/FCF screen, 8/30/26)</t>
        </is>
      </c>
    </row>
    <row r="37" ht="15" customHeight="1" s="68">
      <c r="A37" s="71" t="inlineStr">
        <is>
          <t>INTU</t>
        </is>
      </c>
      <c r="B37" s="72" t="inlineStr">
        <is>
          <t>Intuit Inc.</t>
        </is>
      </c>
      <c r="C37" s="72" t="inlineStr">
        <is>
          <t>Technology</t>
        </is>
      </c>
      <c r="D37" s="72" t="inlineStr">
        <is>
          <t>Software - Application</t>
        </is>
      </c>
      <c r="E37" s="73">
        <f>IFERROR(0.25-INDEX($O$3:$O$13,MATCH(C37,$N$3:$N$13,0)),0.25)</f>
        <v/>
      </c>
      <c r="F37" s="74" t="n">
        <v>0.312688821752266</v>
      </c>
      <c r="G37" s="72" t="inlineStr">
        <is>
          <t>Darryl</t>
        </is>
      </c>
      <c r="H37" s="72" t="n"/>
      <c r="I37" s="72" t="inlineStr">
        <is>
          <t>Needs Initial Screen</t>
        </is>
      </c>
      <c r="J37" s="75" t="n">
        <v>46244</v>
      </c>
      <c r="K37" s="76" t="n"/>
    </row>
    <row r="38" ht="68.65000000000001" customHeight="1" s="68">
      <c r="A38" s="71" t="inlineStr">
        <is>
          <t>MRVL</t>
        </is>
      </c>
      <c r="B38" s="72" t="inlineStr">
        <is>
          <t>Marvell Technology, Inc.</t>
        </is>
      </c>
      <c r="C38" s="72" t="inlineStr">
        <is>
          <t>Technology</t>
        </is>
      </c>
      <c r="D38" s="72" t="inlineStr">
        <is>
          <t>Semiconductors</t>
        </is>
      </c>
      <c r="E38" s="73">
        <f>IFERROR(0.25-INDEX($O$3:$O$13,MATCH(C38,$N$3:$N$13,0)),0.25)</f>
        <v/>
      </c>
      <c r="F38" s="74" t="n">
        <v>0.00165515256188831</v>
      </c>
      <c r="G38" s="72" t="inlineStr">
        <is>
          <t>Momentum/FCF screen 8-30-26</t>
        </is>
      </c>
      <c r="H38" s="72" t="n"/>
      <c r="I38" s="72" t="inlineStr">
        <is>
          <t>Needs Initial Screen</t>
        </is>
      </c>
      <c r="J38" s="75" t="n">
        <v>46264</v>
      </c>
      <c r="K38" s="76" t="inlineStr">
        <is>
          <t>3-yr FCF growth &gt;26% (Marvell Technology). AI networking/custom silicon momentum; cash conversion improving but more volatile. Alan flagged as highest-risk/highest-beta. CAUTION: Technology sector already over cap -- lower priority this tranche. (Momentum/FCF screen, 8/30/26)</t>
        </is>
      </c>
    </row>
    <row r="39" ht="15" customHeight="1" s="68">
      <c r="A39" s="71" t="inlineStr">
        <is>
          <t>UBER</t>
        </is>
      </c>
      <c r="B39" s="72" t="inlineStr">
        <is>
          <t>Uber Technologies, Inc.</t>
        </is>
      </c>
      <c r="C39" s="72" t="inlineStr">
        <is>
          <t>Technology</t>
        </is>
      </c>
      <c r="D39" s="72" t="inlineStr">
        <is>
          <t>Software - Application</t>
        </is>
      </c>
      <c r="E39" s="73">
        <f>IFERROR(0.25-INDEX($O$3:$O$13,MATCH(C39,$N$3:$N$13,0)),0.25)</f>
        <v/>
      </c>
      <c r="F39" s="74" t="n">
        <v>0.415953589557651</v>
      </c>
      <c r="G39" s="72" t="inlineStr">
        <is>
          <t>Darryl</t>
        </is>
      </c>
      <c r="H39" s="72" t="n"/>
      <c r="I39" s="72" t="inlineStr">
        <is>
          <t>Needs Initial Screen</t>
        </is>
      </c>
      <c r="J39" s="75" t="n">
        <v>46244</v>
      </c>
      <c r="K39" s="76" t="n"/>
    </row>
    <row r="40" ht="15" customHeight="1" s="68">
      <c r="A40" s="71" t="inlineStr">
        <is>
          <t>LIN</t>
        </is>
      </c>
      <c r="B40" s="72" t="inlineStr">
        <is>
          <t>Linde plc</t>
        </is>
      </c>
      <c r="C40" s="72" t="inlineStr">
        <is>
          <t>Basic Materials</t>
        </is>
      </c>
      <c r="D40" s="72" t="inlineStr">
        <is>
          <t>Specialty Chemicals</t>
        </is>
      </c>
      <c r="E40" s="73">
        <f>IFERROR(0.25-INDEX($O$3:$O$13,MATCH(C40,$N$3:$N$13,0)),0.25)</f>
        <v/>
      </c>
      <c r="F40" s="74" t="n">
        <v>0.0330897279740154</v>
      </c>
      <c r="G40" s="72" t="inlineStr">
        <is>
          <t>Darryl</t>
        </is>
      </c>
      <c r="H40" s="72" t="inlineStr">
        <is>
          <t>PASS</t>
        </is>
      </c>
      <c r="I40" s="72" t="inlineStr">
        <is>
          <t>Ready for Tier 1</t>
        </is>
      </c>
      <c r="J40" s="75" t="n">
        <v>46244</v>
      </c>
      <c r="K40" s="76" t="n"/>
    </row>
    <row r="41" ht="15" customHeight="1" s="68">
      <c r="A41" s="71" t="inlineStr">
        <is>
          <t>NFLX</t>
        </is>
      </c>
      <c r="B41" s="72" t="inlineStr">
        <is>
          <t>Netflix, Inc.</t>
        </is>
      </c>
      <c r="C41" s="72" t="inlineStr">
        <is>
          <t>Communication Services</t>
        </is>
      </c>
      <c r="D41" s="72" t="inlineStr">
        <is>
          <t>Entertainment</t>
        </is>
      </c>
      <c r="E41" s="73">
        <f>IFERROR(0.25-INDEX($O$3:$O$13,MATCH(C41,$N$3:$N$13,0)),0.25)</f>
        <v/>
      </c>
      <c r="F41" s="74" t="n">
        <v>0.366843517880975</v>
      </c>
      <c r="G41" s="72" t="inlineStr">
        <is>
          <t>Darryl</t>
        </is>
      </c>
      <c r="H41" s="72" t="inlineStr">
        <is>
          <t>PASS</t>
        </is>
      </c>
      <c r="I41" s="72" t="inlineStr">
        <is>
          <t>Ready for Tier 1</t>
        </is>
      </c>
      <c r="J41" s="75" t="n">
        <v>46244</v>
      </c>
      <c r="K41" s="76" t="n"/>
    </row>
    <row r="42" ht="15" customHeight="1" s="68">
      <c r="A42" s="71" t="inlineStr">
        <is>
          <t>CMG</t>
        </is>
      </c>
      <c r="B42" s="72" t="inlineStr">
        <is>
          <t>Chipotle Mexican Grill, Inc.</t>
        </is>
      </c>
      <c r="C42" s="72" t="inlineStr">
        <is>
          <t>Consumer Cyclical</t>
        </is>
      </c>
      <c r="D42" s="72" t="inlineStr">
        <is>
          <t>Restaurants</t>
        </is>
      </c>
      <c r="E42" s="73">
        <f>IFERROR(0.25-INDEX($O$3:$O$13,MATCH(C42,$N$3:$N$13,0)),0.25)</f>
        <v/>
      </c>
      <c r="F42" s="74" t="n">
        <v>-0.0422653927658648</v>
      </c>
      <c r="G42" s="72" t="inlineStr">
        <is>
          <t>Darryl</t>
        </is>
      </c>
      <c r="H42" s="72" t="inlineStr">
        <is>
          <t>PASS</t>
        </is>
      </c>
      <c r="I42" s="72" t="inlineStr">
        <is>
          <t>Ready for Tier 1</t>
        </is>
      </c>
      <c r="J42" s="75" t="n">
        <v>46244</v>
      </c>
      <c r="K42" s="76" t="n"/>
    </row>
    <row r="43" ht="15" customHeight="1" s="68">
      <c r="A43" s="71" t="inlineStr">
        <is>
          <t>DPZ</t>
        </is>
      </c>
      <c r="B43" s="72" t="inlineStr">
        <is>
          <t>Domino's Pizza, Inc.</t>
        </is>
      </c>
      <c r="C43" s="72" t="inlineStr">
        <is>
          <t>Consumer Cyclical</t>
        </is>
      </c>
      <c r="D43" s="72" t="inlineStr">
        <is>
          <t>Restaurants</t>
        </is>
      </c>
      <c r="E43" s="73">
        <f>IFERROR(0.25-INDEX($O$3:$O$13,MATCH(C43,$N$3:$N$13,0)),0.25)</f>
        <v/>
      </c>
      <c r="F43" s="74" t="n">
        <v>0.311500511706757</v>
      </c>
      <c r="G43" s="72" t="inlineStr">
        <is>
          <t>Darryl</t>
        </is>
      </c>
      <c r="H43" s="72" t="inlineStr">
        <is>
          <t>PASS</t>
        </is>
      </c>
      <c r="I43" s="72" t="inlineStr">
        <is>
          <t>Ready for Tier 1</t>
        </is>
      </c>
      <c r="J43" s="75" t="n">
        <v>46244</v>
      </c>
      <c r="K43" s="76" t="n"/>
    </row>
    <row r="44" ht="15" customHeight="1" s="68">
      <c r="A44" s="71" t="inlineStr">
        <is>
          <t>ETSY</t>
        </is>
      </c>
      <c r="B44" s="72" t="inlineStr">
        <is>
          <t>Etsy, Inc.</t>
        </is>
      </c>
      <c r="C44" s="72" t="inlineStr">
        <is>
          <t>Consumer Cyclical</t>
        </is>
      </c>
      <c r="D44" s="72" t="inlineStr">
        <is>
          <t>Internet Retail</t>
        </is>
      </c>
      <c r="E44" s="73">
        <f>IFERROR(0.25-INDEX($O$3:$O$13,MATCH(C44,$N$3:$N$13,0)),0.25)</f>
        <v/>
      </c>
      <c r="F44" s="74" t="n">
        <v>-0.09904636437879689</v>
      </c>
      <c r="G44" s="72" t="inlineStr">
        <is>
          <t>Darryl</t>
        </is>
      </c>
      <c r="H44" s="72" t="inlineStr">
        <is>
          <t>PASS</t>
        </is>
      </c>
      <c r="I44" s="72" t="inlineStr">
        <is>
          <t>Ready for Tier 1</t>
        </is>
      </c>
      <c r="J44" s="75" t="n">
        <v>46244</v>
      </c>
      <c r="K44" s="76" t="n"/>
    </row>
    <row r="45" ht="15" customHeight="1" s="68">
      <c r="A45" s="71" t="inlineStr">
        <is>
          <t>YUM</t>
        </is>
      </c>
      <c r="B45" s="72" t="inlineStr">
        <is>
          <t>Yum! Brands, Inc.</t>
        </is>
      </c>
      <c r="C45" s="72" t="inlineStr">
        <is>
          <t>Consumer Cyclical</t>
        </is>
      </c>
      <c r="D45" s="72" t="inlineStr">
        <is>
          <t>Restaurants</t>
        </is>
      </c>
      <c r="E45" s="73">
        <f>IFERROR(0.25-INDEX($O$3:$O$13,MATCH(C45,$N$3:$N$13,0)),0.25)</f>
        <v/>
      </c>
      <c r="F45" s="74" t="n">
        <v>0.144553072625698</v>
      </c>
      <c r="G45" s="72" t="inlineStr">
        <is>
          <t>Darryl</t>
        </is>
      </c>
      <c r="H45" s="72" t="inlineStr">
        <is>
          <t>PASS</t>
        </is>
      </c>
      <c r="I45" s="72" t="inlineStr">
        <is>
          <t>Ready for Tier 1</t>
        </is>
      </c>
      <c r="J45" s="75" t="n">
        <v>46244</v>
      </c>
      <c r="K45" s="76" t="n"/>
    </row>
    <row r="46" ht="15" customHeight="1" s="68">
      <c r="A46" s="71" t="inlineStr">
        <is>
          <t>PG</t>
        </is>
      </c>
      <c r="B46" s="72" t="inlineStr">
        <is>
          <t>The Procter &amp; Gamble Company</t>
        </is>
      </c>
      <c r="C46" s="72" t="inlineStr">
        <is>
          <t>Consumer Defensive</t>
        </is>
      </c>
      <c r="D46" s="72" t="inlineStr">
        <is>
          <t>Household &amp; Personal Products</t>
        </is>
      </c>
      <c r="E46" s="73">
        <f>IFERROR(0.25-INDEX($O$3:$O$13,MATCH(C46,$N$3:$N$13,0)),0.25)</f>
        <v/>
      </c>
      <c r="F46" s="74" t="n">
        <v>0.078538877812589</v>
      </c>
      <c r="G46" s="72" t="inlineStr">
        <is>
          <t>Darryl</t>
        </is>
      </c>
      <c r="H46" s="72" t="inlineStr">
        <is>
          <t>PASS</t>
        </is>
      </c>
      <c r="I46" s="72" t="inlineStr">
        <is>
          <t>Ready for Tier 1</t>
        </is>
      </c>
      <c r="J46" s="75" t="n">
        <v>46244</v>
      </c>
      <c r="K46" s="76" t="n"/>
    </row>
    <row r="47" ht="15" customHeight="1" s="68">
      <c r="A47" s="71" t="inlineStr">
        <is>
          <t>ET</t>
        </is>
      </c>
      <c r="B47" s="72" t="inlineStr">
        <is>
          <t>Energy Transfer LP</t>
        </is>
      </c>
      <c r="C47" s="72" t="inlineStr">
        <is>
          <t>Energy</t>
        </is>
      </c>
      <c r="D47" s="72" t="inlineStr">
        <is>
          <t>Oil &amp; Gas Midstream</t>
        </is>
      </c>
      <c r="E47" s="73">
        <f>IFERROR(0.25-INDEX($O$3:$O$13,MATCH(C47,$N$3:$N$13,0)),0.25)</f>
        <v/>
      </c>
      <c r="F47" s="74" t="n">
        <v>-0.476164532824843</v>
      </c>
      <c r="G47" s="72" t="inlineStr">
        <is>
          <t>Darryl</t>
        </is>
      </c>
      <c r="H47" s="72" t="inlineStr">
        <is>
          <t>PASS</t>
        </is>
      </c>
      <c r="I47" s="72" t="inlineStr">
        <is>
          <t>Ready for Tier 1</t>
        </is>
      </c>
      <c r="J47" s="75" t="n">
        <v>46244</v>
      </c>
      <c r="K47" s="76" t="n"/>
    </row>
    <row r="48" ht="15" customHeight="1" s="68">
      <c r="A48" s="71" t="inlineStr">
        <is>
          <t>V</t>
        </is>
      </c>
      <c r="B48" s="72" t="inlineStr">
        <is>
          <t>Visa Inc.</t>
        </is>
      </c>
      <c r="C48" s="72" t="inlineStr">
        <is>
          <t>Financial Services</t>
        </is>
      </c>
      <c r="D48" s="72" t="inlineStr">
        <is>
          <t>Credit Services</t>
        </is>
      </c>
      <c r="E48" s="73">
        <f>IFERROR(0.25-INDEX($O$3:$O$13,MATCH(C48,$N$3:$N$13,0)),0.25)</f>
        <v/>
      </c>
      <c r="F48" s="74" t="n">
        <v>0.154282351682448</v>
      </c>
      <c r="G48" s="72" t="inlineStr">
        <is>
          <t>Darryl</t>
        </is>
      </c>
      <c r="H48" s="72" t="inlineStr">
        <is>
          <t>PASS</t>
        </is>
      </c>
      <c r="I48" s="72" t="inlineStr">
        <is>
          <t>Ready for Tier 1</t>
        </is>
      </c>
      <c r="J48" s="75" t="n">
        <v>46244</v>
      </c>
      <c r="K48" s="76" t="n"/>
    </row>
    <row r="49" ht="15" customHeight="1" s="68">
      <c r="A49" s="71" t="inlineStr">
        <is>
          <t>NOW</t>
        </is>
      </c>
      <c r="B49" s="72" t="inlineStr">
        <is>
          <t>ServiceNow, Inc.</t>
        </is>
      </c>
      <c r="C49" s="72" t="inlineStr">
        <is>
          <t>Technology</t>
        </is>
      </c>
      <c r="D49" s="72" t="inlineStr">
        <is>
          <t>Software - Application</t>
        </is>
      </c>
      <c r="E49" s="73">
        <f>IFERROR(0.25-INDEX($O$3:$O$13,MATCH(C49,$N$3:$N$13,0)),0.25)</f>
        <v/>
      </c>
      <c r="F49" s="74" t="n">
        <v>0.343111111111111</v>
      </c>
      <c r="G49" s="72" t="inlineStr">
        <is>
          <t>Darryl</t>
        </is>
      </c>
      <c r="H49" s="72" t="inlineStr">
        <is>
          <t>PASS</t>
        </is>
      </c>
      <c r="I49" s="72" t="inlineStr">
        <is>
          <t>Ready for Tier 1</t>
        </is>
      </c>
      <c r="J49" s="75" t="n">
        <v>46244</v>
      </c>
      <c r="K49" s="76" t="n"/>
    </row>
    <row r="50" ht="15" customHeight="1" s="68">
      <c r="A50" s="71" t="inlineStr">
        <is>
          <t>VST</t>
        </is>
      </c>
      <c r="B50" s="72" t="inlineStr">
        <is>
          <t>Vistra Corp.</t>
        </is>
      </c>
      <c r="C50" s="72" t="inlineStr">
        <is>
          <t>Utilities</t>
        </is>
      </c>
      <c r="D50" s="72" t="inlineStr">
        <is>
          <t>Utilities - Independent Power Producers</t>
        </is>
      </c>
      <c r="E50" s="73">
        <f>IFERROR(0.25-INDEX($O$3:$O$13,MATCH(C50,$N$3:$N$13,0)),0.25)</f>
        <v/>
      </c>
      <c r="F50" s="74" t="n">
        <v>-0.469617706237425</v>
      </c>
      <c r="G50" s="72" t="inlineStr">
        <is>
          <t>Darryl</t>
        </is>
      </c>
      <c r="H50" s="72" t="inlineStr">
        <is>
          <t>PASS</t>
        </is>
      </c>
      <c r="I50" s="72" t="inlineStr">
        <is>
          <t>Ready for Tier 1</t>
        </is>
      </c>
      <c r="J50" s="75" t="n">
        <v>46244</v>
      </c>
      <c r="K50" s="76" t="n"/>
    </row>
    <row r="51" ht="15" customHeight="1" s="68">
      <c r="A51" s="71" t="inlineStr">
        <is>
          <t>CE</t>
        </is>
      </c>
      <c r="B51" s="72" t="inlineStr">
        <is>
          <t>Celanese Corporation</t>
        </is>
      </c>
      <c r="C51" s="72" t="inlineStr">
        <is>
          <t>Basic Materials</t>
        </is>
      </c>
      <c r="D51" s="72" t="inlineStr">
        <is>
          <t>Chemicals</t>
        </is>
      </c>
      <c r="E51" s="73">
        <f>IFERROR(0.25-INDEX($O$3:$O$13,MATCH(C51,$N$3:$N$13,0)),0.25)</f>
        <v/>
      </c>
      <c r="F51" s="74" t="n">
        <v>0.512241054613936</v>
      </c>
      <c r="G51" s="72" t="inlineStr">
        <is>
          <t>Darryl</t>
        </is>
      </c>
      <c r="H51" s="72" t="inlineStr">
        <is>
          <t>Avoid</t>
        </is>
      </c>
      <c r="I51" s="72" t="inlineStr">
        <is>
          <t>Rejected</t>
        </is>
      </c>
      <c r="J51" s="75" t="n">
        <v>46244</v>
      </c>
      <c r="K51" s="76" t="n"/>
    </row>
    <row r="52" ht="15" customHeight="1" s="68">
      <c r="A52" s="71" t="inlineStr">
        <is>
          <t>CLF</t>
        </is>
      </c>
      <c r="B52" s="72" t="inlineStr">
        <is>
          <t>Cleveland-Cliffs Inc.</t>
        </is>
      </c>
      <c r="C52" s="72" t="inlineStr">
        <is>
          <t>Basic Materials</t>
        </is>
      </c>
      <c r="D52" s="72" t="inlineStr">
        <is>
          <t>Steel</t>
        </is>
      </c>
      <c r="E52" s="73">
        <f>IFERROR(0.25-INDEX($O$3:$O$13,MATCH(C52,$N$3:$N$13,0)),0.25)</f>
        <v/>
      </c>
      <c r="F52" s="74" t="n">
        <v>-0.733898305084746</v>
      </c>
      <c r="G52" s="72" t="inlineStr">
        <is>
          <t>Darryl</t>
        </is>
      </c>
      <c r="H52" s="72" t="inlineStr">
        <is>
          <t>Avoid</t>
        </is>
      </c>
      <c r="I52" s="72" t="inlineStr">
        <is>
          <t>Rejected</t>
        </is>
      </c>
      <c r="J52" s="75" t="n">
        <v>46244</v>
      </c>
      <c r="K52" s="76" t="n"/>
    </row>
    <row r="53" ht="15" customHeight="1" s="68">
      <c r="A53" s="71" t="inlineStr">
        <is>
          <t>DIS</t>
        </is>
      </c>
      <c r="B53" s="72" t="inlineStr">
        <is>
          <t>The Walt Disney Company</t>
        </is>
      </c>
      <c r="C53" s="72" t="inlineStr">
        <is>
          <t>Communication Services</t>
        </is>
      </c>
      <c r="D53" s="72" t="inlineStr">
        <is>
          <t>Entertainment</t>
        </is>
      </c>
      <c r="E53" s="73">
        <f>IFERROR(0.25-INDEX($O$3:$O$13,MATCH(C53,$N$3:$N$13,0)),0.25)</f>
        <v/>
      </c>
      <c r="F53" s="74" t="n">
        <v>0.177357167893446</v>
      </c>
      <c r="G53" s="72" t="inlineStr">
        <is>
          <t>Darryl</t>
        </is>
      </c>
      <c r="H53" s="72" t="inlineStr">
        <is>
          <t>Avoid</t>
        </is>
      </c>
      <c r="I53" s="72" t="inlineStr">
        <is>
          <t>Rejected</t>
        </is>
      </c>
      <c r="J53" s="75" t="n">
        <v>46244</v>
      </c>
      <c r="K53" s="76" t="n"/>
    </row>
    <row r="54" ht="28.35" customHeight="1" s="68">
      <c r="A54" s="71" t="inlineStr">
        <is>
          <t>AAP</t>
        </is>
      </c>
      <c r="B54" s="72" t="inlineStr">
        <is>
          <t>Advance Auto Parts, Inc.</t>
        </is>
      </c>
      <c r="C54" s="72" t="inlineStr">
        <is>
          <t>Consumer Cyclical</t>
        </is>
      </c>
      <c r="D54" s="72" t="inlineStr">
        <is>
          <t>Auto Parts</t>
        </is>
      </c>
      <c r="E54" s="73">
        <f>IFERROR(0.25-INDEX($O$3:$O$13,MATCH(C54,$N$3:$N$13,0)),0.25)</f>
        <v/>
      </c>
      <c r="F54" s="74" t="n">
        <v>-2.10416666666667</v>
      </c>
      <c r="G54" s="72" t="inlineStr">
        <is>
          <t>Darryl</t>
        </is>
      </c>
      <c r="H54" s="72" t="inlineStr">
        <is>
          <t>Avoid</t>
        </is>
      </c>
      <c r="I54" s="72" t="inlineStr">
        <is>
          <t>Rejected</t>
        </is>
      </c>
      <c r="J54" s="75" t="n">
        <v>46244</v>
      </c>
      <c r="K54" s="76" t="inlineStr">
        <is>
          <t>FCF losses deepened substantially year over year in real dollar terms -- genuine deterioration, not a data artifact.</t>
        </is>
      </c>
    </row>
    <row r="55" ht="28.35" customHeight="1" s="68">
      <c r="A55" s="71" t="inlineStr">
        <is>
          <t>BABA</t>
        </is>
      </c>
      <c r="B55" s="72" t="inlineStr">
        <is>
          <t>Alibaba Group Holding Limited</t>
        </is>
      </c>
      <c r="C55" s="72" t="inlineStr">
        <is>
          <t>Consumer Cyclical</t>
        </is>
      </c>
      <c r="D55" s="72" t="inlineStr">
        <is>
          <t>Internet Retail</t>
        </is>
      </c>
      <c r="E55" s="73">
        <f>IFERROR(0.25-INDEX($O$3:$O$13,MATCH(C55,$N$3:$N$13,0)),0.25)</f>
        <v/>
      </c>
      <c r="F55" s="74" t="n">
        <v>-1.65419090240788</v>
      </c>
      <c r="G55" s="72" t="inlineStr">
        <is>
          <t>Darryl</t>
        </is>
      </c>
      <c r="H55" s="72" t="inlineStr">
        <is>
          <t>Avoid</t>
        </is>
      </c>
      <c r="I55" s="72" t="inlineStr">
        <is>
          <t>Rejected</t>
        </is>
      </c>
      <c r="J55" s="75" t="n">
        <v>46244</v>
      </c>
      <c r="K55" s="76" t="inlineStr">
        <is>
          <t>FCF turned negative vs. prior FY -- % growth figure reflects a swing off a positive base.</t>
        </is>
      </c>
    </row>
    <row r="56" ht="15" customHeight="1" s="68">
      <c r="A56" s="71" t="inlineStr">
        <is>
          <t>GOOS</t>
        </is>
      </c>
      <c r="B56" s="72" t="inlineStr">
        <is>
          <t>Canada Goose Holdings Inc.</t>
        </is>
      </c>
      <c r="C56" s="72" t="inlineStr">
        <is>
          <t>Consumer Cyclical</t>
        </is>
      </c>
      <c r="D56" s="72" t="inlineStr">
        <is>
          <t>Apparel Manufacturing</t>
        </is>
      </c>
      <c r="E56" s="73">
        <f>IFERROR(0.25-INDEX($O$3:$O$13,MATCH(C56,$N$3:$N$13,0)),0.25)</f>
        <v/>
      </c>
      <c r="F56" s="74" t="n">
        <v>-0.483941605839416</v>
      </c>
      <c r="G56" s="72" t="inlineStr">
        <is>
          <t>Darryl</t>
        </is>
      </c>
      <c r="H56" s="72" t="inlineStr">
        <is>
          <t>Avoid</t>
        </is>
      </c>
      <c r="I56" s="72" t="inlineStr">
        <is>
          <t>Rejected</t>
        </is>
      </c>
      <c r="J56" s="75" t="n">
        <v>46244</v>
      </c>
      <c r="K56" s="76" t="n"/>
    </row>
    <row r="57" ht="15" customHeight="1" s="68">
      <c r="A57" s="71" t="inlineStr">
        <is>
          <t>NKE</t>
        </is>
      </c>
      <c r="B57" s="72" t="inlineStr">
        <is>
          <t>NIKE, Inc.</t>
        </is>
      </c>
      <c r="C57" s="72" t="inlineStr">
        <is>
          <t>Consumer Cyclical</t>
        </is>
      </c>
      <c r="D57" s="72" t="inlineStr">
        <is>
          <t>Footwear &amp; Accessories</t>
        </is>
      </c>
      <c r="E57" s="73">
        <f>IFERROR(0.25-INDEX($O$3:$O$13,MATCH(C57,$N$3:$N$13,0)),0.25)</f>
        <v/>
      </c>
      <c r="F57" s="74" t="n">
        <v>-0.331701346389229</v>
      </c>
      <c r="G57" s="72" t="inlineStr">
        <is>
          <t>Darryl</t>
        </is>
      </c>
      <c r="H57" s="72" t="inlineStr">
        <is>
          <t>Avoid</t>
        </is>
      </c>
      <c r="I57" s="72" t="inlineStr">
        <is>
          <t>Rejected</t>
        </is>
      </c>
      <c r="J57" s="75" t="n">
        <v>46244</v>
      </c>
      <c r="K57" s="76" t="n"/>
    </row>
    <row r="58" ht="15" customHeight="1" s="68">
      <c r="A58" s="71" t="inlineStr">
        <is>
          <t>PZZA</t>
        </is>
      </c>
      <c r="B58" s="72" t="inlineStr">
        <is>
          <t>Papa John's International, Inc.</t>
        </is>
      </c>
      <c r="C58" s="72" t="inlineStr">
        <is>
          <t>Consumer Cyclical</t>
        </is>
      </c>
      <c r="D58" s="72" t="inlineStr">
        <is>
          <t>Restaurants</t>
        </is>
      </c>
      <c r="E58" s="73">
        <f>IFERROR(0.25-INDEX($O$3:$O$13,MATCH(C58,$N$3:$N$13,0)),0.25)</f>
        <v/>
      </c>
      <c r="F58" s="74" t="n">
        <v>0.5100445121236969</v>
      </c>
      <c r="G58" s="72" t="inlineStr">
        <is>
          <t>Darryl</t>
        </is>
      </c>
      <c r="H58" s="72" t="inlineStr">
        <is>
          <t>Avoid</t>
        </is>
      </c>
      <c r="I58" s="72" t="inlineStr">
        <is>
          <t>Rejected</t>
        </is>
      </c>
      <c r="J58" s="75" t="n">
        <v>46244</v>
      </c>
      <c r="K58" s="76" t="n"/>
    </row>
    <row r="59" ht="15" customHeight="1" s="68">
      <c r="A59" s="71" t="inlineStr">
        <is>
          <t>VFC</t>
        </is>
      </c>
      <c r="B59" s="72" t="inlineStr">
        <is>
          <t>V.F. Corporation</t>
        </is>
      </c>
      <c r="C59" s="72" t="inlineStr">
        <is>
          <t>Consumer Cyclical</t>
        </is>
      </c>
      <c r="D59" s="72" t="inlineStr">
        <is>
          <t>Apparel Manufacturing</t>
        </is>
      </c>
      <c r="E59" s="73">
        <f>IFERROR(0.25-INDEX($O$3:$O$13,MATCH(C59,$N$3:$N$13,0)),0.25)</f>
        <v/>
      </c>
      <c r="F59" s="74" t="n">
        <v>0.490119777249103</v>
      </c>
      <c r="G59" s="72" t="inlineStr">
        <is>
          <t>Darryl</t>
        </is>
      </c>
      <c r="H59" s="72" t="inlineStr">
        <is>
          <t>Avoid</t>
        </is>
      </c>
      <c r="I59" s="72" t="inlineStr">
        <is>
          <t>Rejected</t>
        </is>
      </c>
      <c r="J59" s="75" t="n">
        <v>46244</v>
      </c>
      <c r="K59" s="76" t="inlineStr">
        <is>
          <t>Close call per initial screen -- flagged by Alan for recheck.</t>
        </is>
      </c>
    </row>
    <row r="60" ht="15" customHeight="1" s="68">
      <c r="A60" s="71" t="inlineStr">
        <is>
          <t>DEO</t>
        </is>
      </c>
      <c r="B60" s="72" t="inlineStr">
        <is>
          <t>Diageo plc</t>
        </is>
      </c>
      <c r="C60" s="72" t="inlineStr">
        <is>
          <t>Consumer Defensive</t>
        </is>
      </c>
      <c r="D60" s="72" t="inlineStr">
        <is>
          <t>Beverages - Wineries &amp; Distilleries</t>
        </is>
      </c>
      <c r="E60" s="73">
        <f>IFERROR(0.25-INDEX($O$3:$O$13,MATCH(C60,$N$3:$N$13,0)),0.25)</f>
        <v/>
      </c>
      <c r="F60" s="74" t="n">
        <v>0.189944134078212</v>
      </c>
      <c r="G60" s="72" t="inlineStr">
        <is>
          <t>Darryl</t>
        </is>
      </c>
      <c r="H60" s="72" t="inlineStr">
        <is>
          <t>Avoid</t>
        </is>
      </c>
      <c r="I60" s="72" t="inlineStr">
        <is>
          <t>Rejected</t>
        </is>
      </c>
      <c r="J60" s="75" t="n">
        <v>46244</v>
      </c>
      <c r="K60" s="76" t="n"/>
    </row>
    <row r="61" ht="15" customHeight="1" s="68">
      <c r="A61" s="71" t="inlineStr">
        <is>
          <t>EL</t>
        </is>
      </c>
      <c r="B61" s="72" t="inlineStr">
        <is>
          <t>The Estée Lauder Companies Inc.</t>
        </is>
      </c>
      <c r="C61" s="72" t="inlineStr">
        <is>
          <t>Consumer Defensive</t>
        </is>
      </c>
      <c r="D61" s="72" t="inlineStr">
        <is>
          <t>Household &amp; Personal Products</t>
        </is>
      </c>
      <c r="E61" s="73">
        <f>IFERROR(0.25-INDEX($O$3:$O$13,MATCH(C61,$N$3:$N$13,0)),0.25)</f>
        <v/>
      </c>
      <c r="F61" s="74" t="n">
        <v>0.964179104477612</v>
      </c>
      <c r="G61" s="72" t="inlineStr">
        <is>
          <t>Darryl</t>
        </is>
      </c>
      <c r="H61" s="72" t="inlineStr">
        <is>
          <t>Avoid</t>
        </is>
      </c>
      <c r="I61" s="72" t="inlineStr">
        <is>
          <t>Rejected</t>
        </is>
      </c>
      <c r="J61" s="75" t="n">
        <v>46244</v>
      </c>
      <c r="K61" s="76" t="n"/>
    </row>
    <row r="62" ht="15" customHeight="1" s="68">
      <c r="A62" s="71" t="inlineStr">
        <is>
          <t>HRL</t>
        </is>
      </c>
      <c r="B62" s="72" t="inlineStr">
        <is>
          <t>Hormel Foods Corporation</t>
        </is>
      </c>
      <c r="C62" s="72" t="inlineStr">
        <is>
          <t>Consumer Defensive</t>
        </is>
      </c>
      <c r="D62" s="72" t="inlineStr">
        <is>
          <t>Packaged Foods</t>
        </is>
      </c>
      <c r="E62" s="73">
        <f>IFERROR(0.25-INDEX($O$3:$O$13,MATCH(C62,$N$3:$N$13,0)),0.25)</f>
        <v/>
      </c>
      <c r="F62" s="74" t="n">
        <v>-0.471097113027159</v>
      </c>
      <c r="G62" s="72" t="inlineStr">
        <is>
          <t>Darryl</t>
        </is>
      </c>
      <c r="H62" s="72" t="inlineStr">
        <is>
          <t>Avoid</t>
        </is>
      </c>
      <c r="I62" s="72" t="inlineStr">
        <is>
          <t>Rejected</t>
        </is>
      </c>
      <c r="J62" s="75" t="n">
        <v>46244</v>
      </c>
      <c r="K62" s="76" t="n"/>
    </row>
    <row r="63" ht="15" customHeight="1" s="68">
      <c r="A63" s="71" t="inlineStr">
        <is>
          <t>CRK</t>
        </is>
      </c>
      <c r="B63" s="72" t="inlineStr">
        <is>
          <t>Comstock Resources, Inc.</t>
        </is>
      </c>
      <c r="C63" s="72" t="inlineStr">
        <is>
          <t>Energy</t>
        </is>
      </c>
      <c r="D63" s="72" t="inlineStr">
        <is>
          <t>Oil &amp; Gas E&amp;P</t>
        </is>
      </c>
      <c r="E63" s="73">
        <f>IFERROR(0.25-INDEX($O$3:$O$13,MATCH(C63,$N$3:$N$13,0)),0.25)</f>
        <v/>
      </c>
      <c r="F63" s="74" t="n">
        <v>0.0575678887372915</v>
      </c>
      <c r="G63" s="72" t="inlineStr">
        <is>
          <t>Darryl</t>
        </is>
      </c>
      <c r="H63" s="72" t="inlineStr">
        <is>
          <t>Avoid</t>
        </is>
      </c>
      <c r="I63" s="72" t="inlineStr">
        <is>
          <t>Rejected</t>
        </is>
      </c>
      <c r="J63" s="75" t="n">
        <v>46244</v>
      </c>
      <c r="K63" s="76" t="n"/>
    </row>
    <row r="64" ht="15" customHeight="1" s="68">
      <c r="A64" s="71" t="inlineStr">
        <is>
          <t>LBRT</t>
        </is>
      </c>
      <c r="B64" s="72" t="inlineStr">
        <is>
          <t>Liberty Energy Inc.</t>
        </is>
      </c>
      <c r="C64" s="72" t="inlineStr">
        <is>
          <t>Energy</t>
        </is>
      </c>
      <c r="D64" s="72" t="inlineStr">
        <is>
          <t>Oil &amp; Gas Equipment &amp; Services</t>
        </is>
      </c>
      <c r="E64" s="73">
        <f>IFERROR(0.25-INDEX($O$3:$O$13,MATCH(C64,$N$3:$N$13,0)),0.25)</f>
        <v/>
      </c>
      <c r="F64" s="74" t="n">
        <v>-0.920909498710329</v>
      </c>
      <c r="G64" s="72" t="inlineStr">
        <is>
          <t>Darryl</t>
        </is>
      </c>
      <c r="H64" s="72" t="inlineStr">
        <is>
          <t>Avoid</t>
        </is>
      </c>
      <c r="I64" s="72" t="inlineStr">
        <is>
          <t>Rejected</t>
        </is>
      </c>
      <c r="J64" s="75" t="n">
        <v>46244</v>
      </c>
      <c r="K64" s="76" t="n"/>
    </row>
    <row r="65" ht="15" customHeight="1" s="68">
      <c r="A65" s="71" t="inlineStr">
        <is>
          <t>NOV</t>
        </is>
      </c>
      <c r="B65" s="72" t="inlineStr">
        <is>
          <t>NOV Inc.</t>
        </is>
      </c>
      <c r="C65" s="72" t="inlineStr">
        <is>
          <t>Energy</t>
        </is>
      </c>
      <c r="D65" s="72" t="inlineStr">
        <is>
          <t>Oil &amp; Gas Equipment &amp; Services</t>
        </is>
      </c>
      <c r="E65" s="73">
        <f>IFERROR(0.25-INDEX($O$3:$O$13,MATCH(C65,$N$3:$N$13,0)),0.25)</f>
        <v/>
      </c>
      <c r="F65" s="74" t="n">
        <v>-0.08079748163693599</v>
      </c>
      <c r="G65" s="72" t="inlineStr">
        <is>
          <t>Darryl</t>
        </is>
      </c>
      <c r="H65" s="72" t="inlineStr">
        <is>
          <t>Avoid</t>
        </is>
      </c>
      <c r="I65" s="72" t="inlineStr">
        <is>
          <t>Rejected</t>
        </is>
      </c>
      <c r="J65" s="75" t="n">
        <v>46244</v>
      </c>
      <c r="K65" s="76" t="n"/>
    </row>
    <row r="66" ht="15" customHeight="1" s="68">
      <c r="A66" s="71" t="inlineStr">
        <is>
          <t>NRG</t>
        </is>
      </c>
      <c r="B66" s="72" t="inlineStr">
        <is>
          <t>NRG Energy, Inc.</t>
        </is>
      </c>
      <c r="C66" s="72" t="inlineStr">
        <is>
          <t>Utilities</t>
        </is>
      </c>
      <c r="D66" s="72" t="inlineStr">
        <is>
          <t>Utilities - Independent Power Producers</t>
        </is>
      </c>
      <c r="E66" s="73">
        <f>IFERROR(0.25-INDEX($O$3:$O$13,MATCH(C66,$N$3:$N$13,0)),0.25)</f>
        <v/>
      </c>
      <c r="F66" s="74" t="n">
        <v>-0.578744493392071</v>
      </c>
      <c r="G66" s="72" t="inlineStr">
        <is>
          <t>Darryl</t>
        </is>
      </c>
      <c r="H66" s="72" t="inlineStr">
        <is>
          <t>Avoid</t>
        </is>
      </c>
      <c r="I66" s="72" t="inlineStr">
        <is>
          <t>Rejected</t>
        </is>
      </c>
      <c r="J66" s="75" t="n">
        <v>46244</v>
      </c>
      <c r="K66" s="76" t="n"/>
    </row>
  </sheetData>
  <autoFilter ref="A1:K66"/>
  <conditionalFormatting sqref="I2:I66">
    <cfRule type="cellIs" rank="0" priority="2" equalAverage="0" operator="equal" aboveAverage="0" dxfId="9" text="" percent="0" bottom="0">
      <formula>"Ready for Tier 1"</formula>
    </cfRule>
    <cfRule type="cellIs" rank="0" priority="3" equalAverage="0" operator="equal" aboveAverage="0" dxfId="10" text="" percent="0" bottom="0">
      <formula>"Needs Initial Screen"</formula>
    </cfRule>
    <cfRule type="cellIs" rank="0" priority="4" equalAverage="0" operator="equal" aboveAverage="0" dxfId="11" text="" percent="0" bottom="0">
      <formula>"Rejected"</formula>
    </cfRule>
  </conditionalFormatting>
  <conditionalFormatting sqref="E2:E66">
    <cfRule type="cellIs" rank="0" priority="5" equalAverage="0" operator="lessThan" aboveAverage="0" dxfId="11" text="" percent="0" bottom="0">
      <formula>0</formula>
    </cfRule>
    <cfRule type="cellIs" rank="0" priority="6" equalAverage="0" operator="between" aboveAverage="0" dxfId="10" text="" percent="0" bottom="0">
      <formula>0</formula>
      <formula>0.05</formula>
    </cfRule>
    <cfRule type="cellIs" rank="0" priority="7" equalAverage="0" operator="greaterThan" aboveAverage="0" dxfId="9" text="" percent="0" bottom="0">
      <formula>0.05</formula>
    </cfRule>
  </conditionalFormatting>
  <conditionalFormatting sqref="F2:F66">
    <cfRule type="cellIs" rank="0" priority="8" equalAverage="0" operator="lessThan" aboveAverage="0" dxfId="11" text="" percent="0" bottom="0">
      <formula>0</formula>
    </cfRule>
    <cfRule type="cellIs" rank="0" priority="9" equalAverage="0" operator="between" aboveAverage="0" dxfId="10" text="" percent="0" bottom="0">
      <formula>0</formula>
      <formula>0.2</formula>
    </cfRule>
    <cfRule type="cellIs" rank="0" priority="10" equalAverage="0" operator="greaterThan" aboveAverage="0" dxfId="9" text="" percent="0" bottom="0">
      <formula>0.2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22"/>
  <sheetViews>
    <sheetView showFormulas="0" showGridLines="1" showRowColHeaders="1" showZeros="1" rightToLeft="0" tabSelected="0" showOutlineSymbols="1" defaultGridColor="1" view="normal" topLeftCell="D1" colorId="64" zoomScale="100" zoomScaleNormal="100" zoomScalePageLayoutView="100" workbookViewId="0">
      <selection pane="topLeft" activeCell="P23" activeCellId="0" sqref="P23"/>
    </sheetView>
  </sheetViews>
  <sheetFormatPr baseColWidth="8" defaultColWidth="10.8203125" defaultRowHeight="15.75" customHeight="0" zeroHeight="0" outlineLevelRow="0"/>
  <cols>
    <col width="8.66" customWidth="1" style="80" min="1" max="1"/>
    <col width="6.33" customWidth="1" style="80" min="2" max="2"/>
    <col width="14.16" customWidth="1" style="80" min="3" max="3"/>
    <col width="6.33" customWidth="1" style="80" min="4" max="4"/>
    <col width="14" customWidth="1" style="80" min="5" max="5"/>
    <col width="6.33" customWidth="1" style="80" min="6" max="6"/>
    <col width="10.82" customWidth="1" style="80" min="7" max="7"/>
    <col width="6.33" customWidth="1" style="80" min="8" max="8"/>
    <col width="6.51" customWidth="1" style="80" min="9" max="9"/>
    <col width="6.33" customWidth="1" style="80" min="10" max="10"/>
    <col width="8.66" customWidth="1" style="80" min="11" max="11"/>
    <col width="6.33" customWidth="1" style="80" min="12" max="12"/>
    <col width="10.33" customWidth="1" style="80" min="13" max="13"/>
    <col width="6.33" customWidth="1" style="80" min="14" max="14"/>
    <col width="9.66" customWidth="1" style="80" min="15" max="15"/>
    <col width="6.33" customWidth="1" style="80" min="16" max="16"/>
    <col width="8" customWidth="1" style="80" min="17" max="17"/>
    <col width="6.33" customWidth="1" style="80" min="18" max="18"/>
    <col width="10.16" customWidth="1" style="80" min="19" max="19"/>
    <col width="6.33" customWidth="1" style="80" min="20" max="20"/>
    <col width="7.52" customWidth="1" style="80" min="21" max="21"/>
    <col width="6.33" customWidth="1" style="80" min="22" max="22"/>
    <col width="5" customWidth="1" style="81" min="23" max="23"/>
    <col width="5.15" customWidth="1" style="82" min="24" max="24"/>
    <col width="10.82" customWidth="1" style="82" min="25" max="25"/>
    <col width="28.66" customWidth="1" style="67" min="26" max="26"/>
    <col width="8.66" customWidth="1" style="67" min="27" max="27"/>
    <col width="47.85" customWidth="1" style="67" min="28" max="28"/>
    <col width="10.82" customWidth="1" style="82" min="29" max="16384"/>
  </cols>
  <sheetData>
    <row r="1" ht="16.5" customFormat="1" customHeight="1" s="83">
      <c r="A1" s="84" t="inlineStr">
        <is>
          <t>Basic Materials</t>
        </is>
      </c>
      <c r="B1" s="85" t="inlineStr">
        <is>
          <t>Tier 1
Rank</t>
        </is>
      </c>
      <c r="C1" s="86" t="inlineStr">
        <is>
          <t>Communication Services</t>
        </is>
      </c>
      <c r="D1" s="87" t="inlineStr">
        <is>
          <t>Tier 1
Rank</t>
        </is>
      </c>
      <c r="E1" s="84" t="inlineStr">
        <is>
          <t>Consumer Cyclical/ Discretionary</t>
        </is>
      </c>
      <c r="F1" s="85" t="inlineStr">
        <is>
          <t>Tier 1
Rank</t>
        </is>
      </c>
      <c r="G1" s="86" t="inlineStr">
        <is>
          <t>Consumer Defensive/ Staples</t>
        </is>
      </c>
      <c r="H1" s="87" t="inlineStr">
        <is>
          <t>Tier 1
Rank</t>
        </is>
      </c>
      <c r="I1" s="84" t="inlineStr">
        <is>
          <t>Energy</t>
        </is>
      </c>
      <c r="J1" s="85" t="inlineStr">
        <is>
          <t>Tier 1
Rank</t>
        </is>
      </c>
      <c r="K1" s="86" t="inlineStr">
        <is>
          <t>Financial Services</t>
        </is>
      </c>
      <c r="L1" s="87" t="inlineStr">
        <is>
          <t>Tier 1
Rank</t>
        </is>
      </c>
      <c r="M1" s="84" t="inlineStr">
        <is>
          <t>Healthcare</t>
        </is>
      </c>
      <c r="N1" s="85" t="inlineStr">
        <is>
          <t>Tier 1
Rank</t>
        </is>
      </c>
      <c r="O1" s="86" t="inlineStr">
        <is>
          <t>Industrials</t>
        </is>
      </c>
      <c r="P1" s="87" t="inlineStr">
        <is>
          <t>Tier 1
Rank</t>
        </is>
      </c>
      <c r="Q1" s="84" t="inlineStr">
        <is>
          <t>Real Estate</t>
        </is>
      </c>
      <c r="R1" s="85" t="inlineStr">
        <is>
          <t>Tier 1
Rank</t>
        </is>
      </c>
      <c r="S1" s="86" t="inlineStr">
        <is>
          <t>Technology</t>
        </is>
      </c>
      <c r="T1" s="87" t="inlineStr">
        <is>
          <t>Tier 1
Rank</t>
        </is>
      </c>
      <c r="U1" s="84" t="inlineStr">
        <is>
          <t>Utilities</t>
        </is>
      </c>
      <c r="V1" s="85" t="inlineStr">
        <is>
          <t>Tier 1
Rank</t>
        </is>
      </c>
      <c r="W1" s="88" t="inlineStr">
        <is>
          <t>Total</t>
        </is>
      </c>
      <c r="Z1" s="89" t="inlineStr">
        <is>
          <t>Sector</t>
        </is>
      </c>
      <c r="AA1" s="89" t="inlineStr">
        <is>
          <t>Ticker Count</t>
        </is>
      </c>
      <c r="AB1" s="89" t="inlineStr">
        <is>
          <t>Tickers</t>
        </is>
      </c>
    </row>
    <row r="2" ht="27.75" customFormat="1" customHeight="1" s="83">
      <c r="A2" s="90" t="n"/>
      <c r="B2" s="91" t="n"/>
      <c r="C2" s="90" t="n"/>
      <c r="D2" s="91" t="n"/>
      <c r="E2" s="90" t="n"/>
      <c r="F2" s="91" t="n"/>
      <c r="G2" s="90" t="n"/>
      <c r="H2" s="91" t="n"/>
      <c r="I2" s="90" t="n"/>
      <c r="J2" s="91" t="n"/>
      <c r="K2" s="90" t="n"/>
      <c r="L2" s="91" t="n"/>
      <c r="M2" s="90" t="n"/>
      <c r="N2" s="91" t="n"/>
      <c r="O2" s="90" t="n"/>
      <c r="P2" s="91" t="n"/>
      <c r="Q2" s="90" t="n"/>
      <c r="R2" s="91" t="n"/>
      <c r="S2" s="90" t="n"/>
      <c r="T2" s="91" t="n"/>
      <c r="U2" s="90" t="n"/>
      <c r="V2" s="91" t="n"/>
      <c r="W2" s="92">
        <f>SUM(A16,C16,E16,G16,I16,K16,M16,O16,Q16,S16,U16)</f>
        <v/>
      </c>
      <c r="X2" s="93">
        <f>W2/W2</f>
        <v/>
      </c>
      <c r="Z2" s="94" t="inlineStr">
        <is>
          <t>Basic Materials</t>
        </is>
      </c>
      <c r="AA2" s="95" t="n">
        <v>3</v>
      </c>
      <c r="AB2" s="94" t="inlineStr">
        <is>
          <t>CE, CLF, LIN</t>
        </is>
      </c>
    </row>
    <row r="3" ht="16.5" customFormat="1" customHeight="1" s="83">
      <c r="A3" s="96" t="inlineStr">
        <is>
          <t>CE</t>
        </is>
      </c>
      <c r="B3" s="97" t="inlineStr">
        <is>
          <t>Avoid</t>
        </is>
      </c>
      <c r="C3" s="98" t="inlineStr">
        <is>
          <t>DIS</t>
        </is>
      </c>
      <c r="D3" s="99" t="inlineStr">
        <is>
          <t>Avoid</t>
        </is>
      </c>
      <c r="E3" s="100" t="n"/>
      <c r="F3" s="101" t="inlineStr">
        <is>
          <t>Restaurants/QSR</t>
        </is>
      </c>
      <c r="G3" s="98" t="inlineStr">
        <is>
          <t>DEO</t>
        </is>
      </c>
      <c r="H3" s="99" t="inlineStr">
        <is>
          <t>Avoid</t>
        </is>
      </c>
      <c r="I3" s="96" t="inlineStr">
        <is>
          <t>CRK</t>
        </is>
      </c>
      <c r="J3" s="97" t="inlineStr">
        <is>
          <t>Avoid</t>
        </is>
      </c>
      <c r="K3" s="98" t="inlineStr">
        <is>
          <t>PYPL</t>
        </is>
      </c>
      <c r="L3" s="99" t="n"/>
      <c r="M3" s="96" t="inlineStr">
        <is>
          <t>ABT</t>
        </is>
      </c>
      <c r="N3" s="97" t="n"/>
      <c r="O3" s="98" t="inlineStr">
        <is>
          <t>BE</t>
        </is>
      </c>
      <c r="P3" s="99" t="n"/>
      <c r="Q3" s="96" t="inlineStr">
        <is>
          <t>CCI</t>
        </is>
      </c>
      <c r="R3" s="97" t="n"/>
      <c r="S3" s="98" t="inlineStr">
        <is>
          <t>ACN</t>
        </is>
      </c>
      <c r="T3" s="99" t="n"/>
      <c r="U3" s="96" t="inlineStr">
        <is>
          <t>NRG</t>
        </is>
      </c>
      <c r="V3" s="97" t="inlineStr">
        <is>
          <t>Avoid</t>
        </is>
      </c>
      <c r="W3" s="102" t="n"/>
      <c r="Z3" s="94" t="inlineStr">
        <is>
          <t>Communication Services</t>
        </is>
      </c>
      <c r="AA3" s="95" t="n">
        <v>2</v>
      </c>
      <c r="AB3" s="94" t="inlineStr">
        <is>
          <t>DIS, NFLX, SPOT</t>
        </is>
      </c>
    </row>
    <row r="4" ht="16.5" customHeight="1" s="68">
      <c r="A4" s="103" t="inlineStr">
        <is>
          <t>CLF</t>
        </is>
      </c>
      <c r="B4" s="104" t="inlineStr">
        <is>
          <t>Avoid</t>
        </is>
      </c>
      <c r="C4" s="105" t="inlineStr">
        <is>
          <t>NFLX</t>
        </is>
      </c>
      <c r="D4" s="106" t="inlineStr">
        <is>
          <t>PASS</t>
        </is>
      </c>
      <c r="E4" s="107" t="inlineStr">
        <is>
          <t>CMG</t>
        </is>
      </c>
      <c r="F4" s="108" t="inlineStr">
        <is>
          <t>PASS</t>
        </is>
      </c>
      <c r="G4" s="105" t="inlineStr">
        <is>
          <t>EL</t>
        </is>
      </c>
      <c r="H4" s="99" t="inlineStr">
        <is>
          <t>Avoid</t>
        </is>
      </c>
      <c r="I4" s="107" t="inlineStr">
        <is>
          <t>ET</t>
        </is>
      </c>
      <c r="J4" s="108" t="inlineStr">
        <is>
          <t>PASS</t>
        </is>
      </c>
      <c r="K4" s="107" t="inlineStr">
        <is>
          <t>V</t>
        </is>
      </c>
      <c r="L4" s="109" t="inlineStr">
        <is>
          <t>PASS</t>
        </is>
      </c>
      <c r="M4" s="103" t="inlineStr">
        <is>
          <t>AZN</t>
        </is>
      </c>
      <c r="N4" s="104" t="n"/>
      <c r="O4" s="105" t="inlineStr">
        <is>
          <t>GXO</t>
        </is>
      </c>
      <c r="P4" s="106" t="n"/>
      <c r="Q4" s="103" t="inlineStr">
        <is>
          <t>COLD</t>
        </is>
      </c>
      <c r="R4" s="104" t="n"/>
      <c r="S4" s="105" t="inlineStr">
        <is>
          <t>CBRS</t>
        </is>
      </c>
      <c r="T4" s="106" t="n"/>
      <c r="U4" s="107" t="inlineStr">
        <is>
          <t>VST</t>
        </is>
      </c>
      <c r="V4" s="109" t="inlineStr">
        <is>
          <t>PASS</t>
        </is>
      </c>
      <c r="Z4" s="94" t="inlineStr">
        <is>
          <t>Consumer Cyclical/Discretionary</t>
        </is>
      </c>
      <c r="AA4" s="95" t="n">
        <v>10</v>
      </c>
      <c r="AB4" s="94" t="inlineStr">
        <is>
          <t>AAP, BABA, CMG, DPZ, ETSY, GOOS, NKE, PZZA, VFC, YUM</t>
        </is>
      </c>
    </row>
    <row r="5" ht="16.5" customHeight="1" s="68">
      <c r="A5" s="107" t="inlineStr">
        <is>
          <t>LIN</t>
        </is>
      </c>
      <c r="B5" s="108" t="inlineStr">
        <is>
          <t>PASS</t>
        </is>
      </c>
      <c r="C5" s="105" t="inlineStr">
        <is>
          <t>SPOT</t>
        </is>
      </c>
      <c r="D5" s="106" t="n"/>
      <c r="E5" s="107" t="inlineStr">
        <is>
          <t xml:space="preserve"> DPZ</t>
        </is>
      </c>
      <c r="F5" s="108" t="inlineStr">
        <is>
          <t>PASS</t>
        </is>
      </c>
      <c r="G5" s="105" t="inlineStr">
        <is>
          <t>HRL</t>
        </is>
      </c>
      <c r="H5" s="99" t="inlineStr">
        <is>
          <t>Avoid</t>
        </is>
      </c>
      <c r="I5" s="103" t="inlineStr">
        <is>
          <t>LBRT</t>
        </is>
      </c>
      <c r="J5" s="104" t="inlineStr">
        <is>
          <t>Avoid</t>
        </is>
      </c>
      <c r="K5" s="105" t="n"/>
      <c r="L5" s="106" t="n"/>
      <c r="M5" s="103" t="inlineStr">
        <is>
          <t>BAX</t>
        </is>
      </c>
      <c r="N5" s="104" t="n"/>
      <c r="O5" s="105" t="inlineStr">
        <is>
          <t>MIR</t>
        </is>
      </c>
      <c r="P5" s="106" t="n"/>
      <c r="Q5" s="103" t="n"/>
      <c r="R5" s="104" t="n"/>
      <c r="S5" s="105" t="inlineStr">
        <is>
          <t>INTU</t>
        </is>
      </c>
      <c r="T5" s="106" t="n"/>
      <c r="U5" s="103" t="n"/>
      <c r="V5" s="104" t="n"/>
      <c r="Z5" s="94" t="inlineStr">
        <is>
          <t>Consumer Defensive/Staples</t>
        </is>
      </c>
      <c r="AA5" s="95" t="n">
        <v>4</v>
      </c>
      <c r="AB5" s="94" t="inlineStr">
        <is>
          <t>DEO, EL, HRL, PG</t>
        </is>
      </c>
    </row>
    <row r="6" ht="15.75" customHeight="1" s="68">
      <c r="A6" s="103" t="n"/>
      <c r="B6" s="104" t="n"/>
      <c r="C6" s="105" t="n"/>
      <c r="D6" s="106" t="n"/>
      <c r="E6" s="103" t="inlineStr">
        <is>
          <t xml:space="preserve"> PZZA</t>
        </is>
      </c>
      <c r="F6" s="104" t="inlineStr">
        <is>
          <t>Avoid</t>
        </is>
      </c>
      <c r="G6" s="107" t="inlineStr">
        <is>
          <t>PG</t>
        </is>
      </c>
      <c r="H6" s="109" t="inlineStr">
        <is>
          <t>PASS</t>
        </is>
      </c>
      <c r="I6" s="103" t="inlineStr">
        <is>
          <t>NOV</t>
        </is>
      </c>
      <c r="J6" s="104" t="inlineStr">
        <is>
          <t>Avoid</t>
        </is>
      </c>
      <c r="K6" s="105" t="n"/>
      <c r="L6" s="106" t="n"/>
      <c r="M6" s="103" t="inlineStr">
        <is>
          <t>BSX</t>
        </is>
      </c>
      <c r="N6" s="104" t="n"/>
      <c r="O6" s="105" t="inlineStr">
        <is>
          <t>QXO</t>
        </is>
      </c>
      <c r="P6" s="106" t="n"/>
      <c r="Q6" s="103" t="n"/>
      <c r="R6" s="104" t="n"/>
      <c r="S6" s="107" t="inlineStr">
        <is>
          <t>NOW</t>
        </is>
      </c>
      <c r="T6" s="109" t="inlineStr">
        <is>
          <t>PASS</t>
        </is>
      </c>
      <c r="U6" s="103" t="n"/>
      <c r="V6" s="104" t="n"/>
      <c r="Z6" s="94" t="inlineStr">
        <is>
          <t>Energy</t>
        </is>
      </c>
      <c r="AA6" s="95" t="n">
        <v>6</v>
      </c>
      <c r="AB6" s="94" t="inlineStr">
        <is>
          <t>CRK, ET, LBRT, NOV, OKE, SLB</t>
        </is>
      </c>
    </row>
    <row r="7" ht="15.75" customHeight="1" s="68">
      <c r="A7" s="103" t="n"/>
      <c r="B7" s="104" t="n"/>
      <c r="C7" s="105" t="n"/>
      <c r="D7" s="106" t="n"/>
      <c r="E7" s="110" t="inlineStr">
        <is>
          <t xml:space="preserve"> YUM</t>
        </is>
      </c>
      <c r="F7" s="111" t="inlineStr">
        <is>
          <t>PASS</t>
        </is>
      </c>
      <c r="G7" s="105" t="n"/>
      <c r="H7" s="106" t="n"/>
      <c r="I7" s="103" t="inlineStr">
        <is>
          <t>OKE</t>
        </is>
      </c>
      <c r="J7" s="104" t="n"/>
      <c r="K7" s="105" t="n"/>
      <c r="L7" s="106" t="n"/>
      <c r="M7" s="103" t="inlineStr">
        <is>
          <t>ICLR</t>
        </is>
      </c>
      <c r="N7" s="104" t="n"/>
      <c r="O7" s="105" t="inlineStr">
        <is>
          <t>SMR</t>
        </is>
      </c>
      <c r="P7" s="106" t="n"/>
      <c r="Q7" s="103" t="n"/>
      <c r="R7" s="104" t="n"/>
      <c r="S7" s="105" t="inlineStr">
        <is>
          <t>UBER</t>
        </is>
      </c>
      <c r="T7" s="106" t="n"/>
      <c r="U7" s="103" t="n"/>
      <c r="V7" s="104" t="n"/>
      <c r="Z7" s="94" t="inlineStr">
        <is>
          <t>Financial Services</t>
        </is>
      </c>
      <c r="AA7" s="95" t="n">
        <v>2</v>
      </c>
      <c r="AB7" s="94" t="inlineStr">
        <is>
          <t>PYPL, V</t>
        </is>
      </c>
    </row>
    <row r="8" ht="16.5" customHeight="1" s="68">
      <c r="A8" s="103" t="n"/>
      <c r="B8" s="104" t="n"/>
      <c r="C8" s="105" t="n"/>
      <c r="D8" s="106" t="n"/>
      <c r="E8" s="112" t="n"/>
      <c r="F8" s="113" t="inlineStr">
        <is>
          <t>Apparel</t>
        </is>
      </c>
      <c r="G8" s="105" t="n"/>
      <c r="H8" s="106" t="n"/>
      <c r="I8" s="103" t="inlineStr">
        <is>
          <t>SLB</t>
        </is>
      </c>
      <c r="J8" s="104" t="n"/>
      <c r="K8" s="105" t="n"/>
      <c r="L8" s="106" t="n"/>
      <c r="M8" s="103" t="inlineStr">
        <is>
          <t>NTRA</t>
        </is>
      </c>
      <c r="N8" s="104" t="n"/>
      <c r="O8" s="105" t="inlineStr">
        <is>
          <t>SUNB</t>
        </is>
      </c>
      <c r="P8" s="106" t="n"/>
      <c r="Q8" s="103" t="n"/>
      <c r="R8" s="104" t="n"/>
      <c r="S8" s="105" t="n"/>
      <c r="T8" s="106" t="n"/>
      <c r="U8" s="103" t="n"/>
      <c r="V8" s="104" t="n"/>
      <c r="Z8" s="94" t="inlineStr">
        <is>
          <t>Healthcare</t>
        </is>
      </c>
      <c r="AA8" s="95" t="n">
        <v>9</v>
      </c>
      <c r="AB8" s="94" t="inlineStr">
        <is>
          <t>ABT, AZN, BAX, BSX, ICLR, NTRA, PFE, UNH, VEEV, XRAY</t>
        </is>
      </c>
    </row>
    <row r="9" ht="15.75" customHeight="1" s="68">
      <c r="A9" s="103" t="n"/>
      <c r="B9" s="104" t="n"/>
      <c r="C9" s="105" t="n"/>
      <c r="D9" s="106" t="n"/>
      <c r="E9" s="114" t="inlineStr">
        <is>
          <t>NKE</t>
        </is>
      </c>
      <c r="F9" s="115" t="inlineStr">
        <is>
          <t>Avoid</t>
        </is>
      </c>
      <c r="G9" s="105" t="n"/>
      <c r="H9" s="106" t="n"/>
      <c r="I9" s="103" t="n"/>
      <c r="J9" s="104" t="n"/>
      <c r="K9" s="105" t="n"/>
      <c r="L9" s="106" t="n"/>
      <c r="M9" s="103" t="inlineStr">
        <is>
          <t>PFE</t>
        </is>
      </c>
      <c r="N9" s="104" t="n"/>
      <c r="O9" s="105" t="inlineStr">
        <is>
          <t>SWK</t>
        </is>
      </c>
      <c r="P9" s="106" t="n"/>
      <c r="Q9" s="103" t="n"/>
      <c r="R9" s="104" t="n"/>
      <c r="S9" s="105" t="n"/>
      <c r="T9" s="106" t="n"/>
      <c r="U9" s="103" t="n"/>
      <c r="V9" s="104" t="n"/>
      <c r="Z9" s="94" t="inlineStr">
        <is>
          <t>Industrials</t>
        </is>
      </c>
      <c r="AA9" s="95" t="n">
        <v>8</v>
      </c>
      <c r="AB9" s="94" t="inlineStr">
        <is>
          <t>BE, GXO, MIR, QXO, SMR, SUNB, SWK, UPS</t>
        </is>
      </c>
    </row>
    <row r="10" ht="15.75" customHeight="1" s="68">
      <c r="A10" s="103" t="n"/>
      <c r="B10" s="104" t="n"/>
      <c r="C10" s="105" t="n"/>
      <c r="D10" s="106" t="n"/>
      <c r="E10" s="103" t="inlineStr">
        <is>
          <t xml:space="preserve"> VFC</t>
        </is>
      </c>
      <c r="F10" s="115" t="inlineStr">
        <is>
          <t>Avoid*</t>
        </is>
      </c>
      <c r="G10" s="105" t="n"/>
      <c r="H10" s="106" t="n"/>
      <c r="I10" s="103" t="n"/>
      <c r="J10" s="104" t="n"/>
      <c r="K10" s="105" t="n"/>
      <c r="L10" s="106" t="n"/>
      <c r="M10" s="103" t="inlineStr">
        <is>
          <t>UNH</t>
        </is>
      </c>
      <c r="N10" s="104" t="n"/>
      <c r="O10" s="105" t="inlineStr">
        <is>
          <t>UPS</t>
        </is>
      </c>
      <c r="P10" s="106" t="n"/>
      <c r="Q10" s="103" t="n"/>
      <c r="R10" s="104" t="n"/>
      <c r="S10" s="105" t="n"/>
      <c r="T10" s="106" t="n"/>
      <c r="U10" s="103" t="n"/>
      <c r="V10" s="104" t="n"/>
      <c r="Z10" s="94" t="inlineStr">
        <is>
          <t>Real Estate</t>
        </is>
      </c>
      <c r="AA10" s="95" t="n">
        <v>2</v>
      </c>
      <c r="AB10" s="94" t="inlineStr">
        <is>
          <t>CCI, COLD</t>
        </is>
      </c>
    </row>
    <row r="11" ht="15.75" customHeight="1" s="68">
      <c r="A11" s="103" t="n"/>
      <c r="B11" s="104" t="n"/>
      <c r="C11" s="105" t="n"/>
      <c r="D11" s="106" t="n"/>
      <c r="E11" s="103" t="inlineStr">
        <is>
          <t xml:space="preserve"> GOOS</t>
        </is>
      </c>
      <c r="F11" s="115" t="inlineStr">
        <is>
          <t>Avoid</t>
        </is>
      </c>
      <c r="G11" s="105" t="n"/>
      <c r="H11" s="106" t="n"/>
      <c r="I11" s="103" t="n"/>
      <c r="J11" s="104" t="n"/>
      <c r="K11" s="105" t="n"/>
      <c r="L11" s="106" t="n"/>
      <c r="M11" s="103" t="inlineStr">
        <is>
          <t>VEEV</t>
        </is>
      </c>
      <c r="N11" s="104" t="n"/>
      <c r="O11" s="105" t="n"/>
      <c r="P11" s="106" t="n"/>
      <c r="Q11" s="103" t="n"/>
      <c r="R11" s="104" t="n"/>
      <c r="S11" s="105" t="n"/>
      <c r="T11" s="106" t="n"/>
      <c r="U11" s="103" t="n"/>
      <c r="V11" s="104" t="n"/>
      <c r="Z11" s="94" t="inlineStr">
        <is>
          <t>Technology</t>
        </is>
      </c>
      <c r="AA11" s="95" t="n">
        <v>5</v>
      </c>
      <c r="AB11" s="94" t="inlineStr">
        <is>
          <t>ACN, CBRS, INTU, NOW, UBER</t>
        </is>
      </c>
    </row>
    <row r="12" ht="16.5" customHeight="1" s="68">
      <c r="A12" s="103" t="n"/>
      <c r="B12" s="104" t="n"/>
      <c r="C12" s="105" t="n"/>
      <c r="D12" s="106" t="n"/>
      <c r="E12" s="112" t="n"/>
      <c r="F12" s="116" t="inlineStr">
        <is>
          <t>Divers. retail/e-commerce</t>
        </is>
      </c>
      <c r="G12" s="105" t="n"/>
      <c r="H12" s="106" t="n"/>
      <c r="I12" s="103" t="n"/>
      <c r="J12" s="104" t="n"/>
      <c r="K12" s="105" t="n"/>
      <c r="L12" s="106" t="n"/>
      <c r="M12" s="103" t="inlineStr">
        <is>
          <t>XRAY</t>
        </is>
      </c>
      <c r="N12" s="104" t="n"/>
      <c r="O12" s="105" t="n"/>
      <c r="P12" s="106" t="n"/>
      <c r="Q12" s="103" t="n"/>
      <c r="R12" s="104" t="n"/>
      <c r="S12" s="105" t="n"/>
      <c r="T12" s="106" t="n"/>
      <c r="U12" s="103" t="n"/>
      <c r="V12" s="104" t="n"/>
      <c r="Z12" s="94" t="inlineStr">
        <is>
          <t>Utilities</t>
        </is>
      </c>
      <c r="AA12" s="95" t="n">
        <v>2</v>
      </c>
      <c r="AB12" s="94" t="inlineStr">
        <is>
          <t>NRG, VST</t>
        </is>
      </c>
    </row>
    <row r="13" ht="15.75" customHeight="1" s="68">
      <c r="A13" s="103" t="n"/>
      <c r="B13" s="104" t="n"/>
      <c r="C13" s="105" t="n"/>
      <c r="D13" s="106" t="n"/>
      <c r="E13" s="114" t="inlineStr">
        <is>
          <t>AAP</t>
        </is>
      </c>
      <c r="F13" s="115" t="inlineStr">
        <is>
          <t>Avoid</t>
        </is>
      </c>
      <c r="G13" s="105" t="n"/>
      <c r="H13" s="106" t="n"/>
      <c r="I13" s="103" t="n"/>
      <c r="J13" s="104" t="n"/>
      <c r="K13" s="105" t="n"/>
      <c r="L13" s="106" t="n"/>
      <c r="M13" s="103" t="n"/>
      <c r="N13" s="104" t="n"/>
      <c r="O13" s="105" t="n"/>
      <c r="P13" s="106" t="n"/>
      <c r="Q13" s="103" t="n"/>
      <c r="R13" s="104" t="n"/>
      <c r="S13" s="105" t="n"/>
      <c r="T13" s="106" t="n"/>
      <c r="U13" s="103" t="n"/>
      <c r="V13" s="104" t="n"/>
      <c r="Z13" s="117" t="inlineStr">
        <is>
          <t>Index/ETF</t>
        </is>
      </c>
      <c r="AA13" s="118" t="n">
        <v>1</v>
      </c>
      <c r="AB13" s="117" t="inlineStr">
        <is>
          <t>IWM</t>
        </is>
      </c>
    </row>
    <row r="14" ht="15.75" customHeight="1" s="68">
      <c r="A14" s="103" t="n"/>
      <c r="B14" s="104" t="n"/>
      <c r="C14" s="105" t="n"/>
      <c r="D14" s="106" t="n"/>
      <c r="E14" s="103" t="inlineStr">
        <is>
          <t xml:space="preserve"> BABA</t>
        </is>
      </c>
      <c r="F14" s="104" t="inlineStr">
        <is>
          <t>Avoid</t>
        </is>
      </c>
      <c r="G14" s="105" t="n"/>
      <c r="H14" s="106" t="n"/>
      <c r="I14" s="103" t="n"/>
      <c r="J14" s="104" t="n"/>
      <c r="K14" s="105" t="n"/>
      <c r="L14" s="106" t="n"/>
      <c r="M14" s="103" t="n"/>
      <c r="N14" s="104" t="n"/>
      <c r="O14" s="105" t="n"/>
      <c r="P14" s="106" t="n"/>
      <c r="Q14" s="103" t="n"/>
      <c r="R14" s="104" t="n"/>
      <c r="S14" s="105" t="n"/>
      <c r="T14" s="106" t="n"/>
      <c r="U14" s="103" t="n"/>
      <c r="V14" s="104" t="n"/>
    </row>
    <row r="15" ht="16.5" customHeight="1" s="68">
      <c r="A15" s="119" t="n"/>
      <c r="B15" s="120" t="n"/>
      <c r="C15" s="121" t="n"/>
      <c r="D15" s="122" t="n"/>
      <c r="E15" s="123" t="inlineStr">
        <is>
          <t xml:space="preserve"> ETSY</t>
        </is>
      </c>
      <c r="F15" s="124" t="inlineStr">
        <is>
          <t>PASS</t>
        </is>
      </c>
      <c r="G15" s="121" t="n"/>
      <c r="H15" s="122" t="n"/>
      <c r="I15" s="119" t="n"/>
      <c r="J15" s="120" t="n"/>
      <c r="K15" s="121" t="n"/>
      <c r="L15" s="122" t="n"/>
      <c r="M15" s="119" t="n"/>
      <c r="N15" s="120" t="n"/>
      <c r="O15" s="121" t="n"/>
      <c r="P15" s="122" t="n"/>
      <c r="Q15" s="119" t="n"/>
      <c r="R15" s="120" t="n"/>
      <c r="S15" s="121" t="n"/>
      <c r="T15" s="122" t="n"/>
      <c r="U15" s="119" t="n"/>
      <c r="V15" s="120" t="n"/>
    </row>
    <row r="16" ht="16.5" customFormat="1" customHeight="1" s="125">
      <c r="A16" s="81">
        <f>COUNTA(A3:A15)</f>
        <v/>
      </c>
      <c r="C16" s="81">
        <f>COUNTA(C3:C15)</f>
        <v/>
      </c>
      <c r="E16" s="81">
        <f>COUNTA(E3:E15)</f>
        <v/>
      </c>
      <c r="G16" s="81">
        <f>COUNTA(G3:G15)</f>
        <v/>
      </c>
      <c r="I16" s="81">
        <f>COUNTA(I3:I15)</f>
        <v/>
      </c>
      <c r="K16" s="81">
        <f>COUNTA(K3:K15)</f>
        <v/>
      </c>
      <c r="M16" s="81">
        <f>COUNTA(M3:M15)</f>
        <v/>
      </c>
      <c r="O16" s="81">
        <f>COUNTA(O3:O15)</f>
        <v/>
      </c>
      <c r="Q16" s="81">
        <f>COUNTA(Q3:Q15)</f>
        <v/>
      </c>
      <c r="S16" s="81">
        <f>COUNTA(S3:S15)</f>
        <v/>
      </c>
      <c r="U16" s="81">
        <f>COUNTA(U3:U15)</f>
        <v/>
      </c>
    </row>
    <row r="17" ht="16.5" customHeight="1" s="68">
      <c r="B17" s="126">
        <f>COUNTA(B3:B15)</f>
        <v/>
      </c>
      <c r="D17" s="126">
        <f>COUNTA(D3:D15)</f>
        <v/>
      </c>
      <c r="F17" s="126">
        <f>COUNTA(F4:F7,F9:F11,F13:F15)</f>
        <v/>
      </c>
      <c r="G17" s="126" t="n"/>
      <c r="H17" s="126">
        <f>COUNTA(H3:H15)</f>
        <v/>
      </c>
      <c r="I17" s="126" t="n"/>
      <c r="J17" s="126">
        <f>COUNTA(J3:J15)</f>
        <v/>
      </c>
      <c r="K17" s="126" t="n"/>
      <c r="L17" s="126">
        <f>COUNTA(L3:L15)</f>
        <v/>
      </c>
      <c r="M17" s="126" t="n"/>
      <c r="N17" s="126">
        <f>COUNTA(N3:N15)</f>
        <v/>
      </c>
      <c r="O17" s="126" t="n"/>
      <c r="P17" s="126">
        <f>COUNTA(P3:P15)</f>
        <v/>
      </c>
      <c r="Q17" s="126" t="n"/>
      <c r="R17" s="126">
        <f>COUNTA(R3:R15)</f>
        <v/>
      </c>
      <c r="S17" s="126" t="n"/>
      <c r="T17" s="126">
        <f>COUNTA(T3:T15)</f>
        <v/>
      </c>
      <c r="U17" s="126" t="n"/>
      <c r="V17" s="126">
        <f>COUNTA(V3:V15)</f>
        <v/>
      </c>
      <c r="W17" s="92">
        <f>SUM(B17,D17,F17,H17,J17,L17,N17,P17,R17,T17,V17)</f>
        <v/>
      </c>
      <c r="X17" s="93">
        <f>W17/W2</f>
        <v/>
      </c>
    </row>
    <row r="18" ht="15.75" customHeight="1" s="68">
      <c r="A18" s="126" t="n"/>
      <c r="B18" s="127">
        <f>B17/A16</f>
        <v/>
      </c>
      <c r="C18" s="126" t="n"/>
      <c r="D18" s="127">
        <f>D17/C16</f>
        <v/>
      </c>
      <c r="E18" s="126" t="n"/>
      <c r="F18" s="127">
        <f>F17/E16</f>
        <v/>
      </c>
      <c r="H18" s="127">
        <f>H17/G16</f>
        <v/>
      </c>
      <c r="J18" s="127">
        <f>J17/I16</f>
        <v/>
      </c>
      <c r="L18" s="127">
        <f>L17/K16</f>
        <v/>
      </c>
      <c r="N18" s="127">
        <f>N17/M16</f>
        <v/>
      </c>
      <c r="P18" s="127">
        <f>P17/O16</f>
        <v/>
      </c>
      <c r="R18" s="127">
        <f>R17/Q16</f>
        <v/>
      </c>
      <c r="T18" s="127">
        <f>T17/S16</f>
        <v/>
      </c>
      <c r="V18" s="127">
        <f>V17/U16</f>
        <v/>
      </c>
    </row>
    <row r="19" ht="15.75" customHeight="1" s="68">
      <c r="E19" s="128" t="inlineStr">
        <is>
          <t>*Close-reconfirm next QTR</t>
        </is>
      </c>
    </row>
    <row r="20" ht="16.5" customHeight="1" s="68">
      <c r="E20" s="80" t="inlineStr">
        <is>
          <t xml:space="preserve"> </t>
        </is>
      </c>
      <c r="V20" s="129" t="inlineStr">
        <is>
          <t>Total PASS</t>
        </is>
      </c>
      <c r="W20" s="130">
        <f>COUNTIF($A$1:$V$15,"PASS")</f>
        <v/>
      </c>
      <c r="X20" s="131">
        <f>W20/W2</f>
        <v/>
      </c>
    </row>
    <row r="21" ht="16.5" customHeight="1" s="68">
      <c r="V21" s="129" t="inlineStr">
        <is>
          <t>Total AVOID</t>
        </is>
      </c>
      <c r="W21" s="132">
        <f>COUNTIF($A$1:$V$15,"Avoid")</f>
        <v/>
      </c>
      <c r="X21" s="133">
        <f>W21/W2</f>
        <v/>
      </c>
    </row>
    <row r="22" ht="16.5" customHeight="1" s="68">
      <c r="V22" s="129" t="inlineStr">
        <is>
          <t>TOTAL ANALYZED</t>
        </is>
      </c>
      <c r="W22" s="134">
        <f>SUM(W20:W21)</f>
        <v/>
      </c>
      <c r="X22" s="135">
        <f>W22/W2</f>
        <v/>
      </c>
    </row>
    <row r="23" ht="16.5" customHeight="1" s="68"/>
  </sheetData>
  <mergeCells count="22">
    <mergeCell ref="C1:C2"/>
    <mergeCell ref="V1:V2"/>
    <mergeCell ref="K1:K2"/>
    <mergeCell ref="E1:E2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S1:S2"/>
    <mergeCell ref="U1:U2"/>
    <mergeCell ref="D1:D2"/>
    <mergeCell ref="R1:R2"/>
    <mergeCell ref="F1:F2"/>
    <mergeCell ref="H1:H2"/>
    <mergeCell ref="J1:J2"/>
    <mergeCell ref="P1:P2"/>
    <mergeCell ref="A1:A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Alan Landry</dc:creator>
  <dc:language xmlns:dc="http://purl.org/dc/elements/1.1/">en-US</dc:language>
  <dcterms:created xmlns:dcterms="http://purl.org/dc/terms/" xmlns:xsi="http://www.w3.org/2001/XMLSchema-instance" xsi:type="dcterms:W3CDTF">2026-08-10T18:13:39Z</dcterms:created>
  <dcterms:modified xmlns:dcterms="http://purl.org/dc/terms/" xmlns:xsi="http://www.w3.org/2001/XMLSchema-instance" xsi:type="dcterms:W3CDTF">2026-09-11T21:11:24Z</dcterms:modified>
  <cp:lastModifiedBy>Alan Landry</cp:lastModifiedBy>
  <cp:revision>0</cp:revision>
</cp:coreProperties>
</file>