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lan/GitHub/Stock_Picker/"/>
    </mc:Choice>
  </mc:AlternateContent>
  <xr:revisionPtr revIDLastSave="0" documentId="13_ncr:2001_{AE92B0FB-778B-6141-98DC-1E702C481A7C}" xr6:coauthVersionLast="47" xr6:coauthVersionMax="47" xr10:uidLastSave="{00000000-0000-0000-0000-000000000000}"/>
  <bookViews>
    <workbookView xWindow="0" yWindow="0" windowWidth="25600" windowHeight="16000" tabRatio="500" xr2:uid="{00000000-000D-0000-FFFF-FFFF00000000}"/>
  </bookViews>
  <sheets>
    <sheet name="Screen_Candidates" sheetId="1" r:id="rId1"/>
    <sheet name="Darryl_List_Candidates" sheetId="2" r:id="rId2"/>
  </sheets>
  <definedNames>
    <definedName name="_xlnm._FilterDatabase" localSheetId="0" hidden="1">Screen_Candidates!$A$1:$K$66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9" i="2" l="1"/>
  <c r="T19" i="2"/>
  <c r="R19" i="2"/>
  <c r="L19" i="2"/>
  <c r="H19" i="2"/>
  <c r="F19" i="2"/>
  <c r="D19" i="2"/>
  <c r="B19" i="2"/>
  <c r="W21" i="2"/>
  <c r="W20" i="2"/>
  <c r="H18" i="2"/>
  <c r="V17" i="2"/>
  <c r="V18" i="2" s="1"/>
  <c r="T17" i="2"/>
  <c r="T18" i="2" s="1"/>
  <c r="R17" i="2"/>
  <c r="R18" i="2" s="1"/>
  <c r="P17" i="2"/>
  <c r="P18" i="2" s="1"/>
  <c r="N17" i="2"/>
  <c r="N18" i="2" s="1"/>
  <c r="L17" i="2"/>
  <c r="J17" i="2"/>
  <c r="J18" i="2" s="1"/>
  <c r="H17" i="2"/>
  <c r="F17" i="2"/>
  <c r="F18" i="2" s="1"/>
  <c r="D17" i="2"/>
  <c r="D18" i="2" s="1"/>
  <c r="B17" i="2"/>
  <c r="B18" i="2" s="1"/>
  <c r="U16" i="2"/>
  <c r="S16" i="2"/>
  <c r="Q16" i="2"/>
  <c r="O16" i="2"/>
  <c r="M16" i="2"/>
  <c r="K16" i="2"/>
  <c r="L18" i="2" s="1"/>
  <c r="I16" i="2"/>
  <c r="G16" i="2"/>
  <c r="W2" i="2" s="1"/>
  <c r="X2" i="2" s="1"/>
  <c r="E16" i="2"/>
  <c r="C16" i="2"/>
  <c r="A16" i="2"/>
  <c r="E45" i="1"/>
  <c r="E43" i="1"/>
  <c r="E36" i="1"/>
  <c r="E21" i="1"/>
  <c r="E31" i="1"/>
  <c r="E25" i="1"/>
  <c r="E22" i="1"/>
  <c r="E63" i="1"/>
  <c r="E51" i="1"/>
  <c r="E42" i="1"/>
  <c r="E29" i="1"/>
  <c r="E10" i="1"/>
  <c r="E2" i="1"/>
  <c r="E23" i="1"/>
  <c r="E17" i="1"/>
  <c r="E16" i="1"/>
  <c r="E64" i="1"/>
  <c r="E44" i="1"/>
  <c r="E61" i="1"/>
  <c r="E26" i="1"/>
  <c r="E49" i="1"/>
  <c r="E66" i="1"/>
  <c r="E27" i="1"/>
  <c r="E24" i="1"/>
  <c r="E19" i="1"/>
  <c r="E41" i="1"/>
  <c r="E37" i="1"/>
  <c r="E58" i="1"/>
  <c r="E39" i="1"/>
  <c r="E34" i="1"/>
  <c r="E18" i="1"/>
  <c r="E14" i="1"/>
  <c r="E7" i="1"/>
  <c r="E6" i="1"/>
  <c r="E4" i="1"/>
  <c r="E20" i="1"/>
  <c r="E15" i="1"/>
  <c r="E60" i="1"/>
  <c r="E57" i="1"/>
  <c r="E56" i="1"/>
  <c r="E54" i="1"/>
  <c r="E52" i="1"/>
  <c r="E38" i="1"/>
  <c r="E32" i="1"/>
  <c r="E30" i="1"/>
  <c r="E28" i="1"/>
  <c r="E12" i="1"/>
  <c r="E65" i="1"/>
  <c r="E62" i="1"/>
  <c r="E59" i="1"/>
  <c r="E48" i="1"/>
  <c r="E46" i="1"/>
  <c r="E40" i="1"/>
  <c r="E33" i="1"/>
  <c r="E13" i="1"/>
  <c r="E11" i="1"/>
  <c r="E9" i="1"/>
  <c r="E3" i="1"/>
  <c r="E50" i="1"/>
  <c r="E53" i="1"/>
  <c r="E47" i="1"/>
  <c r="E35" i="1"/>
  <c r="E55" i="1"/>
  <c r="E8" i="1"/>
  <c r="E5" i="1"/>
  <c r="N19" i="2" l="1"/>
  <c r="P19" i="2"/>
  <c r="J19" i="2"/>
  <c r="W19" i="2" s="1"/>
  <c r="W22" i="2"/>
  <c r="X22" i="2" s="1"/>
  <c r="X21" i="2"/>
  <c r="X20" i="2"/>
  <c r="W17" i="2"/>
  <c r="X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1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</t>
        </r>
        <r>
          <rPr>
            <sz val="10"/>
            <color rgb="FF000000"/>
            <rFont val="Arial"/>
            <family val="2"/>
          </rPr>
          <t>Pulled from the Sector Exposure reference table (cols N:O) -- refresh that table at each tranche review from Current Positions.</t>
        </r>
      </text>
    </comment>
    <comment ref="F1" authorId="0" shapeId="0" xr:uid="{00000000-0006-0000-0000-000002000000}">
      <text>
        <r>
          <rPr>
            <sz val="10"/>
            <rFont val="Arial"/>
            <family val="2"/>
          </rPr>
          <t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 shapeId="0" xr:uid="{00000000-0006-0000-0000-000003000000}">
      <text>
        <r>
          <rPr>
            <sz val="10"/>
            <color rgb="FF000000"/>
            <rFont val="Arial"/>
            <family val="2"/>
          </rPr>
          <t>Alan/Darryl's original quick PASS/Avoid screen -- an informal heuristic, not the System's formal Tier 1 (the 5-indicator weighted score in the Scoring tab). Blank = not yet screened.</t>
        </r>
      </text>
    </comment>
    <comment ref="I1" authorId="0" shapeId="0" xr:uid="{00000000-0006-0000-0000-000004000000}">
      <text>
        <r>
          <rPr>
            <sz val="10"/>
            <rFont val="Arial"/>
            <family val="2"/>
          </rPr>
          <t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<sst xmlns="http://schemas.openxmlformats.org/spreadsheetml/2006/main" count="634" uniqueCount="269">
  <si>
    <t>Ticker</t>
  </si>
  <si>
    <t>Company</t>
  </si>
  <si>
    <t>Sector</t>
  </si>
  <si>
    <t>Industry</t>
  </si>
  <si>
    <t>Sector Cap
Headroom</t>
  </si>
  <si>
    <t>FCF Growth
(YoY)</t>
  </si>
  <si>
    <t>Source</t>
  </si>
  <si>
    <t>Initial Screen</t>
  </si>
  <si>
    <t>Status</t>
  </si>
  <si>
    <t>Date Added</t>
  </si>
  <si>
    <t>Notes</t>
  </si>
  <si>
    <t>Sector Exposure Reference (% of Combined Portfolio, as of 08/30/2026 -- refresh at each tranche review)</t>
  </si>
  <si>
    <t>AGI</t>
  </si>
  <si>
    <t>Alamos Gold Inc.</t>
  </si>
  <si>
    <t>Basic Materials</t>
  </si>
  <si>
    <t>Gold</t>
  </si>
  <si>
    <t>Momentum/FCF screen 8-30-26</t>
  </si>
  <si>
    <t>Needs Initial Screen</t>
  </si>
  <si>
    <t>FCF growth ~84% (Alamos Gold). Strong gold-price momentum and expanding mine-level cash generation. Diversification fit -- zero current Basic Materials exposure. (Momentum/FCF screen, 8/30/26)</t>
  </si>
  <si>
    <t>Current %</t>
  </si>
  <si>
    <t>APP</t>
  </si>
  <si>
    <t>AppLovin Corporation</t>
  </si>
  <si>
    <t>Communication Services</t>
  </si>
  <si>
    <t>Advertising Agencies</t>
  </si>
  <si>
    <t>FCF growth ~72%, margin &gt;70% (AppLovin). One of the strongest combos of price momentum, FCF growth and margin. Diversification fit -- zero current Communication Services exposure. (Momentum/FCF screen, 8/30/26)</t>
  </si>
  <si>
    <t>SPOT</t>
  </si>
  <si>
    <t>Spotify Technology S.A.</t>
  </si>
  <si>
    <t>Internet Content &amp; Information</t>
  </si>
  <si>
    <t>Darryl</t>
  </si>
  <si>
    <t>Ready for Tier 1</t>
  </si>
  <si>
    <t>Initial quant Tier 1 screen 9/30/26: ~3.67 quant-only (strong -- fcf_yield 4, rev growth 4, fcf margin 4 expanding, valuation 4 discount, analyst consensus 5, technical 4, ROIC 5 [44.6% vs WACC 11.1%, +33.5pp spread]; only weak spot relative_strength=1, blended -29.7% vs SPY). Same fundamentals-strong-but-price-lagging pattern as ACN -- ran the Fidelity scan on it specifically. Unlike ACN/ADBE/UNH, this one reinforced rather than undercut the quant read: Equity Summary Score Bullish (7.2/10), zero Sell ratings across 6 firms, Evercore ISI raised its price target to $700 on 9/29, short interest declining (6.12M -&gt; 4.52M). Price weakness reads as giving back part of a large 2yr (+32%) / 5yr (+121%) run after a Q2 EPS miss, not a structural deterioration -- meaningfully different pattern from ADBE's multi-year decline. Cleared to Ready for Tier 1; full Tier 1-3 scoring not done yet (separate pass, like ABT/SLB). Reports Q3 earnings 10/22/26. See Journal row 70.</t>
  </si>
  <si>
    <t>KGS</t>
  </si>
  <si>
    <t>Kodiak Gas Services, Inc.</t>
  </si>
  <si>
    <t>Energy</t>
  </si>
  <si>
    <t>Oil &amp; Gas Equipment &amp; Services</t>
  </si>
  <si>
    <t>Fresh Tier 1 quant screen 9/11/26: FCF Yield=4, Rev Growth=4, FCF Margin=4 (Tier1 Wtd Avg=4.0 on known indicators). Moat/Rev Visibility not yet assessed (Part 12, qualitative). Added to Scoring (row 48) and Monitor &amp; Recheck Triggers as Watch List.</t>
  </si>
  <si>
    <t>Consumer Cyclical</t>
  </si>
  <si>
    <t>OKE</t>
  </si>
  <si>
    <t>ONEOK, Inc.</t>
  </si>
  <si>
    <t>Oil &amp; Gas Midstream</t>
  </si>
  <si>
    <t>Consumer Defensive</t>
  </si>
  <si>
    <t>SLB</t>
  </si>
  <si>
    <t>SLB N.V.</t>
  </si>
  <si>
    <t>Full Tier 1-3 scored 9/13/26: Composite 72.4, BUY. See Journal, Scoring row 50.</t>
  </si>
  <si>
    <t>PYPL</t>
  </si>
  <si>
    <t>PayPal Holdings, Inc.</t>
  </si>
  <si>
    <t>Financial Services</t>
  </si>
  <si>
    <t>Credit Services</t>
  </si>
  <si>
    <t>Rejected</t>
  </si>
  <si>
    <t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</si>
  <si>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>ABT</t>
  </si>
  <si>
    <t>Abbott Laboratories</t>
  </si>
  <si>
    <t>Healthcare</t>
  </si>
  <si>
    <t>Medical Devices</t>
  </si>
  <si>
    <t>Full Tier 1-3 scored 9/13/26: Composite 70.8, BUY. See Journal, Scoring row 49.</t>
  </si>
  <si>
    <t>AZN</t>
  </si>
  <si>
    <t>AstraZeneca PLC</t>
  </si>
  <si>
    <t>Drug Manufacturers - General</t>
  </si>
  <si>
    <t>Industrials</t>
  </si>
  <si>
    <t>BAX</t>
  </si>
  <si>
    <t>Baxter International Inc.</t>
  </si>
  <si>
    <t>Medical Instruments &amp; Supplies</t>
  </si>
  <si>
    <t>Real Estate</t>
  </si>
  <si>
    <t>BSX</t>
  </si>
  <si>
    <t>Boston Scientific Corporation</t>
  </si>
  <si>
    <t>Technology</t>
  </si>
  <si>
    <t>ICLR</t>
  </si>
  <si>
    <t>ICON Public Limited Company</t>
  </si>
  <si>
    <t>Diagnostics &amp; Research</t>
  </si>
  <si>
    <t>Utilities</t>
  </si>
  <si>
    <t>NBIX</t>
  </si>
  <si>
    <t>Neurocrine Biosciences, Inc.</t>
  </si>
  <si>
    <t>Drug Manufacturers - Specialty &amp; Generic</t>
  </si>
  <si>
    <t>FCF growth ~69% (Neurocrine Biosciences). Multiple years of double-digit revenue and FCF growth; less crowded than AI names. Healthcare has ample headroom. (Momentum/FCF screen, 8/30/26)</t>
  </si>
  <si>
    <t>NTRA</t>
  </si>
  <si>
    <t>Natera, Inc.</t>
  </si>
  <si>
    <t>PFE</t>
  </si>
  <si>
    <t>Pfizer Inc.</t>
  </si>
  <si>
    <t>Initial quant Tier 1 screen 9/30/26: ~2.56 quant-only, decisive floor failure -- two indicators at the literal floor: revenue_growth_consistency=1 (negative CAGR -14.8%) and roic_vs_wacc=1 (ROIC 5.1% vs WACC 6.2%, actually value-destroying, spread -1.1pp). Same territory as GXO's rejection. Analyst consensus also weak (36% buy-equivalent, 7% negative). Rejected -- fundamental, not a data-quality artifact. See Journal row 70.</t>
  </si>
  <si>
    <t>UNH</t>
  </si>
  <si>
    <t>UnitedHealth Group Incorporated</t>
  </si>
  <si>
    <t>Healthcare Plans</t>
  </si>
  <si>
    <t>Watch - Pending Litigation</t>
  </si>
  <si>
    <t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</si>
  <si>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>VEEV</t>
  </si>
  <si>
    <t>Veeva Systems Inc.</t>
  </si>
  <si>
    <t>Health Information Services</t>
  </si>
  <si>
    <t>XRAY</t>
  </si>
  <si>
    <t>DENTSPLY SIRONA Inc.</t>
  </si>
  <si>
    <t>Initial quant Tier 1 screen 9/13/26: decisive floor failure (~1.67 quant-only) -- revenue shrinking (-2.1% CAGR), FCF margin 1.9% and contracting, ROIC negative. No further research warranted. See Journal row 60.</t>
  </si>
  <si>
    <t>BE</t>
  </si>
  <si>
    <t>Bloom Energy Corporation</t>
  </si>
  <si>
    <t>Electrical Equipment &amp; Parts</t>
  </si>
  <si>
    <t>GEV</t>
  </si>
  <si>
    <t>GE Vernova Inc.</t>
  </si>
  <si>
    <t>Specialty Industrial Machinery</t>
  </si>
  <si>
    <t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</si>
  <si>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>GXO</t>
  </si>
  <si>
    <t>GXO Logistics, Inc.</t>
  </si>
  <si>
    <t>Integrated Freight &amp; Logistics</t>
  </si>
  <si>
    <t>Initial quant Tier 1 screen 9/13/26: floor failure (~2.67 quant-only) -- FCF margin 0.5% and contracting, weak ROIC (2.3% vs 6.3% WACC). No sector adaptation exists for asset-light 3PL margin structure. See Journal row 60.</t>
  </si>
  <si>
    <t>HWM</t>
  </si>
  <si>
    <t>Howmet Aerospace Inc.</t>
  </si>
  <si>
    <t>Aerospace &amp; Defense</t>
  </si>
  <si>
    <t>3-yr FCF growth &gt;26% (Howmet Aerospace). Aerospace pricing, volume and margin expansion support an improving FCF trend. Diversification fit -- Industrials has ample headroom. (Momentum/FCF screen, 8/30/26)</t>
  </si>
  <si>
    <t>MIR</t>
  </si>
  <si>
    <t>Mirion Technologies, Inc.</t>
  </si>
  <si>
    <t>Prior-year FCF base is very small in dollar terms -- the % growth figure isn't a meaningful growth rate on its own; look at the dollar trend instead.</t>
  </si>
  <si>
    <t>QXO</t>
  </si>
  <si>
    <t>QXO, Inc.</t>
  </si>
  <si>
    <t>Industrial Distribution</t>
  </si>
  <si>
    <t>SMR</t>
  </si>
  <si>
    <t>NuScale Power Corporation</t>
  </si>
  <si>
    <t>FCF losses deepened substantially year over year in real dollar terms -- genuine deterioration, not a data artifact.</t>
  </si>
  <si>
    <t>SUNB</t>
  </si>
  <si>
    <t>Sunbelt Rentals Holdings, Inc.</t>
  </si>
  <si>
    <t>Rental &amp; Leasing Services</t>
  </si>
  <si>
    <t>SWK</t>
  </si>
  <si>
    <t>Stanley Black &amp; Decker, Inc.</t>
  </si>
  <si>
    <t>Tools &amp; Accessories</t>
  </si>
  <si>
    <t>UPS</t>
  </si>
  <si>
    <t>United Parcel Service, Inc.</t>
  </si>
  <si>
    <t>Initial quant Tier 1 screen 9/30/26: ~2.44 quant-only, decisive floor failure -- two indicators at the literal floor: revenue_growth_consistency=1 (negative CAGR -4.0%) and technical_trend=1 (200w MA below, MACD not ok, Supertrend bearish -- broadly negative across the board). Same territory as GXO's rejection. Rejected -- fundamental, not a data-quality artifact. See Journal row 70.</t>
  </si>
  <si>
    <t>CCI</t>
  </si>
  <si>
    <t>Crown Castle Inc.</t>
  </si>
  <si>
    <t>REIT - Specialty</t>
  </si>
  <si>
    <t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</si>
  <si>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>COLD</t>
  </si>
  <si>
    <t>Americold Realty Trust, Inc.</t>
  </si>
  <si>
    <t>REIT - Industrial</t>
  </si>
  <si>
    <t>FCF turned negative vs. prior FY -- % growth figure reflects a swing off a positive base.</t>
  </si>
  <si>
    <t>ACN</t>
  </si>
  <si>
    <t>Accenture plc</t>
  </si>
  <si>
    <t>Information Technology Services</t>
  </si>
  <si>
    <t>Watch - Pending Earnings</t>
  </si>
  <si>
    <t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</si>
  <si>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>ALAB</t>
  </si>
  <si>
    <t>Astera Labs, Inc.</t>
  </si>
  <si>
    <t>Semiconductors</t>
  </si>
  <si>
    <t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</si>
  <si>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>APH</t>
  </si>
  <si>
    <t>Amphenol Corporation</t>
  </si>
  <si>
    <t>Electronic Components</t>
  </si>
  <si>
    <t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</si>
  <si>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>CBRS</t>
  </si>
  <si>
    <t>Cerebras Systems Inc.</t>
  </si>
  <si>
    <t>CLS</t>
  </si>
  <si>
    <t>Celestica Inc.</t>
  </si>
  <si>
    <t>FCF growth ~49% (Celestica). AI-server and networking demand translating into accelerating cash flow. CAUTION: Technology sector is already over the 25% cap -- lower priority this tranche. (Momentum/FCF screen, 8/30/26)</t>
  </si>
  <si>
    <t>INTU</t>
  </si>
  <si>
    <t>Intuit Inc.</t>
  </si>
  <si>
    <t>Software - Application</t>
  </si>
  <si>
    <t>MRVL</t>
  </si>
  <si>
    <t>Marvell Technology, Inc.</t>
  </si>
  <si>
    <t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</si>
  <si>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>UBER</t>
  </si>
  <si>
    <t>Uber Technologies, Inc.</t>
  </si>
  <si>
    <t>LIN</t>
  </si>
  <si>
    <t>Linde plc</t>
  </si>
  <si>
    <t>Specialty Chemicals</t>
  </si>
  <si>
    <t>PASS</t>
  </si>
  <si>
    <t>NFLX</t>
  </si>
  <si>
    <t>Netflix, Inc.</t>
  </si>
  <si>
    <t>Entertainment</t>
  </si>
  <si>
    <t>CMG</t>
  </si>
  <si>
    <t>Chipotle Mexican Grill, Inc.</t>
  </si>
  <si>
    <t>Restaurants</t>
  </si>
  <si>
    <t>DPZ</t>
  </si>
  <si>
    <t>Domino's Pizza, Inc.</t>
  </si>
  <si>
    <t>ETSY</t>
  </si>
  <si>
    <t>Etsy, Inc.</t>
  </si>
  <si>
    <t>Internet Retail</t>
  </si>
  <si>
    <t>YUM</t>
  </si>
  <si>
    <t>Yum! Brands, Inc.</t>
  </si>
  <si>
    <t>PG</t>
  </si>
  <si>
    <t>The Procter &amp; Gamble Company</t>
  </si>
  <si>
    <t>Household &amp; Personal Products</t>
  </si>
  <si>
    <t>ET</t>
  </si>
  <si>
    <t>Energy Transfer LP</t>
  </si>
  <si>
    <t>V</t>
  </si>
  <si>
    <t>Visa Inc.</t>
  </si>
  <si>
    <t>NOW</t>
  </si>
  <si>
    <t>ServiceNow, Inc.</t>
  </si>
  <si>
    <t>VST</t>
  </si>
  <si>
    <t>Vistra Corp.</t>
  </si>
  <si>
    <t>Utilities - Independent Power Producers</t>
  </si>
  <si>
    <t>CE</t>
  </si>
  <si>
    <t>Celanese Corporation</t>
  </si>
  <si>
    <t>Chemicals</t>
  </si>
  <si>
    <t>Avoid</t>
  </si>
  <si>
    <t>CLF</t>
  </si>
  <si>
    <t>Cleveland-Cliffs Inc.</t>
  </si>
  <si>
    <t>Steel</t>
  </si>
  <si>
    <t>DIS</t>
  </si>
  <si>
    <t>The Walt Disney Company</t>
  </si>
  <si>
    <t>AAP</t>
  </si>
  <si>
    <t>Advance Auto Parts, Inc.</t>
  </si>
  <si>
    <t>Auto Parts</t>
  </si>
  <si>
    <t>BABA</t>
  </si>
  <si>
    <t>Alibaba Group Holding Limited</t>
  </si>
  <si>
    <t>GOOS</t>
  </si>
  <si>
    <t>Canada Goose Holdings Inc.</t>
  </si>
  <si>
    <t>Apparel Manufacturing</t>
  </si>
  <si>
    <t>NKE</t>
  </si>
  <si>
    <t>NIKE, Inc.</t>
  </si>
  <si>
    <t>Footwear &amp; Accessories</t>
  </si>
  <si>
    <t>PZZA</t>
  </si>
  <si>
    <t>Papa John's International, Inc.</t>
  </si>
  <si>
    <t>VFC</t>
  </si>
  <si>
    <t>V.F. Corporation</t>
  </si>
  <si>
    <t>Close call per initial screen -- flagged by Alan for recheck.</t>
  </si>
  <si>
    <t>DEO</t>
  </si>
  <si>
    <t>Diageo plc</t>
  </si>
  <si>
    <t>Beverages - Wineries &amp; Distilleries</t>
  </si>
  <si>
    <t>EL</t>
  </si>
  <si>
    <t>The Estée Lauder Companies Inc.</t>
  </si>
  <si>
    <t>HRL</t>
  </si>
  <si>
    <t>Hormel Foods Corporation</t>
  </si>
  <si>
    <t>Packaged Foods</t>
  </si>
  <si>
    <t>CRK</t>
  </si>
  <si>
    <t>Comstock Resources, Inc.</t>
  </si>
  <si>
    <t>Oil &amp; Gas E&amp;P</t>
  </si>
  <si>
    <t>LBRT</t>
  </si>
  <si>
    <t>Liberty Energy Inc.</t>
  </si>
  <si>
    <t>NOV</t>
  </si>
  <si>
    <t>NOV Inc.</t>
  </si>
  <si>
    <t>NRG</t>
  </si>
  <si>
    <t>NRG Energy, Inc.</t>
  </si>
  <si>
    <t>Tier 1
Rank</t>
  </si>
  <si>
    <t>Consumer Cyclical/ Discretionary</t>
  </si>
  <si>
    <t>Consumer Defensive/ Staples</t>
  </si>
  <si>
    <t>Total</t>
  </si>
  <si>
    <t>Ticker Count</t>
  </si>
  <si>
    <t>Tickers</t>
  </si>
  <si>
    <t>CE, CLF, LIN</t>
  </si>
  <si>
    <t>Restaurants/QSR</t>
  </si>
  <si>
    <t>DIS, NFLX, SPOT</t>
  </si>
  <si>
    <t>Consumer Cyclical/Discretionary</t>
  </si>
  <si>
    <t>AAP, BABA, CMG, DPZ, ETSY, GOOS, NKE, PZZA, VFC, YUM</t>
  </si>
  <si>
    <t xml:space="preserve"> DPZ</t>
  </si>
  <si>
    <t>Consumer Defensive/Staples</t>
  </si>
  <si>
    <t>DEO, EL, HRL, PG</t>
  </si>
  <si>
    <t xml:space="preserve"> PZZA</t>
  </si>
  <si>
    <t>CRK, ET, LBRT, NOV, OKE, SLB</t>
  </si>
  <si>
    <t xml:space="preserve"> YUM</t>
  </si>
  <si>
    <t>PYPL, V</t>
  </si>
  <si>
    <t>Apparel</t>
  </si>
  <si>
    <t>ABT, AZN, BAX, BSX, ICLR, NTRA, PFE, UNH, VEEV, XRAY</t>
  </si>
  <si>
    <t>BE, GXO, MIR, QXO, SMR, SUNB, SWK, UPS</t>
  </si>
  <si>
    <t xml:space="preserve"> VFC</t>
  </si>
  <si>
    <t>Avoid*</t>
  </si>
  <si>
    <t>CCI, COLD</t>
  </si>
  <si>
    <t xml:space="preserve"> GOOS</t>
  </si>
  <si>
    <t>ACN, CBRS, INTU, NOW, UBER</t>
  </si>
  <si>
    <t>Divers. retail/e-commerce</t>
  </si>
  <si>
    <t>NRG, VST</t>
  </si>
  <si>
    <t>Index/ETF</t>
  </si>
  <si>
    <t>IWM</t>
  </si>
  <si>
    <t xml:space="preserve"> BABA</t>
  </si>
  <si>
    <t xml:space="preserve"> ETSY</t>
  </si>
  <si>
    <t>*Close-reconfirm next QTR</t>
  </si>
  <si>
    <t xml:space="preserve"> </t>
  </si>
  <si>
    <t>Total PASS</t>
  </si>
  <si>
    <t>Total AVOID</t>
  </si>
  <si>
    <t>TOTAL ANALYZED</t>
  </si>
  <si>
    <t>purchased 9/30/26</t>
  </si>
  <si>
    <t>PENDING</t>
  </si>
  <si>
    <t>SCREENED:</t>
  </si>
  <si>
    <t>REMAINING: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</si>
</sst>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%;[Red]\-0.0%"/>
    <numFmt numFmtId="166" formatCode="mm/dd/yyyy"/>
  </numFmts>
  <fonts count="18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1"/>
      <color rgb="FFFFFFFF"/>
      <name val="Arial Narrow"/>
      <family val="2"/>
    </font>
    <font>
      <i/>
      <sz val="9"/>
      <name val="Arial Narrow"/>
      <family val="2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  <charset val="1"/>
    </font>
    <font>
      <b/>
      <sz val="12"/>
      <color theme="1"/>
      <name val="Arial Narrow"/>
      <family val="2"/>
      <charset val="1"/>
    </font>
    <font>
      <b/>
      <sz val="11"/>
      <color theme="1"/>
      <name val="Arial Narrow"/>
      <family val="2"/>
      <charset val="1"/>
    </font>
    <font>
      <b/>
      <sz val="11"/>
      <color rgb="FFFFFFFF"/>
      <name val="Aptos"/>
    </font>
    <font>
      <sz val="11"/>
      <color theme="1"/>
      <name val="Aptos"/>
    </font>
    <font>
      <sz val="12"/>
      <color rgb="FF0432FF"/>
      <name val="Arial Narrow"/>
      <family val="2"/>
      <charset val="1"/>
    </font>
    <font>
      <b/>
      <sz val="12"/>
      <color rgb="FF0432FF"/>
      <name val="Arial Narrow"/>
      <family val="2"/>
      <charset val="1"/>
    </font>
    <font>
      <sz val="10"/>
      <color rgb="FF000000"/>
      <name val="Arial"/>
      <family val="2"/>
    </font>
    <font>
      <b/>
      <sz val="12"/>
      <color theme="1"/>
      <name val="Arial Narrow"/>
      <family val="2"/>
    </font>
    <font>
      <b/>
      <sz val="12"/>
      <color rgb="FF0432FF"/>
      <name val="Arial Narrow"/>
      <family val="2"/>
    </font>
    <font>
      <sz val="12"/>
      <color theme="1"/>
      <name val="Aptos Narrow"/>
      <family val="2"/>
      <charset val="1"/>
    </font>
    <font>
      <sz val="10"/>
      <color theme="1"/>
      <name val="Arial Narrow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79857783745845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79857783745845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FF00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C6EFCE"/>
      </patternFill>
    </fill>
    <fill>
      <patternFill patternType="solid">
        <fgColor rgb="FFFFFF00"/>
        <bgColor rgb="FFFFFFCC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8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2" fillId="2" borderId="0" xfId="0" applyFont="1" applyFill="1"/>
    <xf numFmtId="0" fontId="5" fillId="0" borderId="0" xfId="0" applyFont="1"/>
    <xf numFmtId="164" fontId="5" fillId="0" borderId="0" xfId="0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/>
    <xf numFmtId="0" fontId="7" fillId="0" borderId="4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9" fillId="5" borderId="0" xfId="0" applyFont="1" applyFill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9" fontId="6" fillId="0" borderId="5" xfId="0" applyNumberFormat="1" applyFont="1" applyBorder="1" applyAlignment="1">
      <alignment horizontal="left" wrapText="1"/>
    </xf>
    <xf numFmtId="0" fontId="10" fillId="0" borderId="0" xfId="0" applyFont="1" applyAlignment="1">
      <alignment horizontal="left" vertical="center"/>
    </xf>
    <xf numFmtId="1" fontId="10" fillId="0" borderId="0" xfId="0" applyNumberFormat="1" applyFont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wrapText="1"/>
    </xf>
    <xf numFmtId="0" fontId="7" fillId="3" borderId="4" xfId="0" applyFont="1" applyFill="1" applyBorder="1" applyAlignment="1">
      <alignment horizontal="right" vertical="center" indent="2"/>
    </xf>
    <xf numFmtId="0" fontId="7" fillId="0" borderId="0" xfId="0" applyFont="1" applyAlignment="1">
      <alignment horizontal="center" wrapText="1"/>
    </xf>
    <xf numFmtId="0" fontId="6" fillId="3" borderId="9" xfId="0" applyFont="1" applyFill="1" applyBorder="1" applyAlignment="1">
      <alignment horizontal="center"/>
    </xf>
    <xf numFmtId="0" fontId="11" fillId="3" borderId="10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12" fillId="6" borderId="10" xfId="0" applyFont="1" applyFill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12" fillId="6" borderId="13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right" vertical="center" indent="2"/>
    </xf>
    <xf numFmtId="0" fontId="6" fillId="3" borderId="6" xfId="0" applyFont="1" applyFill="1" applyBorder="1" applyAlignment="1">
      <alignment horizontal="center"/>
    </xf>
    <xf numFmtId="0" fontId="11" fillId="3" borderId="7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1" fontId="10" fillId="7" borderId="0" xfId="0" applyNumberFormat="1" applyFont="1" applyFill="1" applyAlignment="1">
      <alignment horizontal="center" vertical="center"/>
    </xf>
    <xf numFmtId="0" fontId="6" fillId="3" borderId="16" xfId="0" applyFont="1" applyFill="1" applyBorder="1" applyAlignment="1">
      <alignment horizontal="center"/>
    </xf>
    <xf numFmtId="0" fontId="11" fillId="3" borderId="17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11" fillId="4" borderId="18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0" fontId="12" fillId="6" borderId="17" xfId="0" applyFont="1" applyFill="1" applyBorder="1" applyAlignment="1">
      <alignment horizontal="center"/>
    </xf>
    <xf numFmtId="0" fontId="7" fillId="0" borderId="0" xfId="0" applyFont="1"/>
    <xf numFmtId="0" fontId="12" fillId="0" borderId="0" xfId="0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1" fontId="7" fillId="0" borderId="19" xfId="0" applyNumberFormat="1" applyFont="1" applyBorder="1" applyAlignment="1">
      <alignment horizontal="center" wrapText="1"/>
    </xf>
    <xf numFmtId="1" fontId="7" fillId="0" borderId="5" xfId="0" applyNumberFormat="1" applyFont="1" applyBorder="1" applyAlignment="1">
      <alignment horizontal="center" wrapText="1"/>
    </xf>
    <xf numFmtId="9" fontId="6" fillId="0" borderId="5" xfId="0" applyNumberFormat="1" applyFont="1" applyBorder="1" applyAlignment="1">
      <alignment horizontal="left"/>
    </xf>
    <xf numFmtId="1" fontId="7" fillId="0" borderId="20" xfId="0" applyNumberFormat="1" applyFont="1" applyBorder="1" applyAlignment="1">
      <alignment horizontal="center"/>
    </xf>
    <xf numFmtId="9" fontId="6" fillId="0" borderId="21" xfId="0" applyNumberFormat="1" applyFont="1" applyBorder="1" applyAlignment="1">
      <alignment horizontal="left"/>
    </xf>
    <xf numFmtId="0" fontId="6" fillId="8" borderId="9" xfId="0" applyFont="1" applyFill="1" applyBorder="1" applyAlignment="1">
      <alignment horizontal="center"/>
    </xf>
    <xf numFmtId="0" fontId="11" fillId="9" borderId="11" xfId="0" applyFont="1" applyFill="1" applyBorder="1" applyAlignment="1">
      <alignment horizontal="center"/>
    </xf>
    <xf numFmtId="0" fontId="6" fillId="10" borderId="9" xfId="0" applyFont="1" applyFill="1" applyBorder="1" applyAlignment="1">
      <alignment horizontal="center"/>
    </xf>
    <xf numFmtId="0" fontId="11" fillId="10" borderId="10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11" borderId="1" xfId="0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/>
    </xf>
    <xf numFmtId="0" fontId="15" fillId="12" borderId="10" xfId="0" applyFont="1" applyFill="1" applyBorder="1" applyAlignment="1">
      <alignment horizontal="center"/>
    </xf>
    <xf numFmtId="0" fontId="14" fillId="12" borderId="6" xfId="0" applyFont="1" applyFill="1" applyBorder="1" applyAlignment="1">
      <alignment horizontal="center" vertical="center" wrapText="1"/>
    </xf>
    <xf numFmtId="0" fontId="15" fillId="12" borderId="7" xfId="0" applyFont="1" applyFill="1" applyBorder="1" applyAlignment="1">
      <alignment horizontal="center" vertical="center" wrapText="1"/>
    </xf>
    <xf numFmtId="0" fontId="11" fillId="13" borderId="8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wrapText="1"/>
    </xf>
    <xf numFmtId="0" fontId="8" fillId="4" borderId="3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9" fontId="6" fillId="0" borderId="0" xfId="0" applyNumberFormat="1" applyFont="1" applyBorder="1" applyAlignment="1">
      <alignment horizontal="left"/>
    </xf>
    <xf numFmtId="9" fontId="6" fillId="0" borderId="5" xfId="1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alignment horizont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ctorTickerExtract34" displayName="SectorTickerExtract34" ref="Z1:AB13" totalsRowShown="0">
  <autoFilter ref="Z1:AB13" xr:uid="{00000000-0009-0000-0100-000001000000}"/>
  <tableColumns count="3">
    <tableColumn id="1" xr3:uid="{00000000-0010-0000-0000-000001000000}" name="Sector" dataDxfId="0"/>
    <tableColumn id="2" xr3:uid="{00000000-0010-0000-0000-000002000000}" name="Ticker Count"/>
    <tableColumn id="3" xr3:uid="{00000000-0010-0000-0000-000003000000}" name="Tick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66"/>
  <sheetViews>
    <sheetView showGridLines="0" tabSelected="1" view="pageBreakPreview" zoomScale="60" zoomScaleNormal="90" workbookViewId="0">
      <pane ySplit="1" topLeftCell="A2" activePane="bottomLeft" state="frozen"/>
      <selection activeCell="L24" sqref="L24"/>
      <selection pane="bottomLeft" activeCell="K21" sqref="K21"/>
    </sheetView>
  </sheetViews>
  <sheetFormatPr baseColWidth="10" defaultColWidth="8.6640625" defaultRowHeight="16" outlineLevelCol="1" x14ac:dyDescent="0.2"/>
  <cols>
    <col min="1" max="1" width="8" style="62" customWidth="1"/>
    <col min="2" max="2" width="24.5" customWidth="1" outlineLevel="1"/>
    <col min="3" max="3" width="19.83203125" style="62" customWidth="1" outlineLevel="1"/>
    <col min="4" max="4" width="32" style="62" customWidth="1" outlineLevel="1"/>
    <col min="5" max="6" width="12" style="62" customWidth="1" outlineLevel="1"/>
    <col min="7" max="7" width="14.6640625" style="67" customWidth="1"/>
    <col min="8" max="8" width="9.33203125" style="62" customWidth="1"/>
    <col min="9" max="9" width="20" style="62" customWidth="1"/>
    <col min="10" max="10" width="9.5" style="62" customWidth="1"/>
    <col min="11" max="11" width="60" customWidth="1"/>
    <col min="14" max="14" width="24" customWidth="1"/>
    <col min="15" max="15" width="11" customWidth="1"/>
  </cols>
  <sheetData>
    <row r="1" spans="1:15" ht="39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N1" s="2" t="s">
        <v>11</v>
      </c>
    </row>
    <row r="2" spans="1:15" ht="41.25" customHeight="1" x14ac:dyDescent="0.2">
      <c r="A2" s="61" t="s">
        <v>195</v>
      </c>
      <c r="B2" s="3" t="s">
        <v>196</v>
      </c>
      <c r="C2" s="63" t="s">
        <v>36</v>
      </c>
      <c r="D2" s="63" t="s">
        <v>197</v>
      </c>
      <c r="E2" s="64">
        <f>IFERROR(0.25-INDEX($O$3:$O$13,MATCH(C2,$N$3:$N$13,0)),0.25)</f>
        <v>0.25</v>
      </c>
      <c r="F2" s="65">
        <v>-2.1041666666666701</v>
      </c>
      <c r="G2" s="66" t="s">
        <v>28</v>
      </c>
      <c r="H2" s="63" t="s">
        <v>189</v>
      </c>
      <c r="I2" s="63" t="s">
        <v>48</v>
      </c>
      <c r="J2" s="74">
        <v>46244</v>
      </c>
      <c r="K2" s="4" t="s">
        <v>113</v>
      </c>
      <c r="N2" s="5" t="s">
        <v>2</v>
      </c>
      <c r="O2" s="5" t="s">
        <v>19</v>
      </c>
    </row>
    <row r="3" spans="1:15" ht="34" customHeight="1" x14ac:dyDescent="0.2">
      <c r="A3" s="61" t="s">
        <v>50</v>
      </c>
      <c r="B3" s="3" t="s">
        <v>51</v>
      </c>
      <c r="C3" s="63" t="s">
        <v>52</v>
      </c>
      <c r="D3" s="63" t="s">
        <v>53</v>
      </c>
      <c r="E3" s="64">
        <f>IFERROR(0.25-INDEX($O$3:$O$13,MATCH(C3,$N$3:$N$13,0)),0.25)</f>
        <v>0.21579999999999999</v>
      </c>
      <c r="F3" s="65">
        <v>0.164383561643836</v>
      </c>
      <c r="G3" s="66" t="s">
        <v>28</v>
      </c>
      <c r="H3" s="63" t="s">
        <v>160</v>
      </c>
      <c r="I3" s="63" t="s">
        <v>29</v>
      </c>
      <c r="J3" s="74">
        <v>46244</v>
      </c>
      <c r="K3" s="4" t="s">
        <v>54</v>
      </c>
      <c r="N3" s="6" t="s">
        <v>14</v>
      </c>
      <c r="O3" s="7">
        <v>0</v>
      </c>
    </row>
    <row r="4" spans="1:15" ht="187" x14ac:dyDescent="0.2">
      <c r="A4" s="61" t="s">
        <v>131</v>
      </c>
      <c r="B4" s="3" t="s">
        <v>132</v>
      </c>
      <c r="C4" s="63" t="s">
        <v>65</v>
      </c>
      <c r="D4" s="63" t="s">
        <v>133</v>
      </c>
      <c r="E4" s="64">
        <f>IFERROR(0.25-INDEX($O$3:$O$13,MATCH(C4,$N$3:$N$13,0)),0.25)</f>
        <v>-8.5999999999999965E-3</v>
      </c>
      <c r="F4" s="65">
        <v>0.26232947682041002</v>
      </c>
      <c r="G4" s="66" t="s">
        <v>28</v>
      </c>
      <c r="H4" s="68" t="s">
        <v>266</v>
      </c>
      <c r="I4" s="66" t="s">
        <v>134</v>
      </c>
      <c r="J4" s="74">
        <v>46244</v>
      </c>
      <c r="K4" s="4" t="s">
        <v>135</v>
      </c>
      <c r="N4" s="6" t="s">
        <v>22</v>
      </c>
      <c r="O4" s="7">
        <v>0</v>
      </c>
    </row>
    <row r="5" spans="1:15" ht="68.25" hidden="1" customHeight="1" x14ac:dyDescent="0.2">
      <c r="A5" s="61" t="s">
        <v>12</v>
      </c>
      <c r="B5" s="3" t="s">
        <v>13</v>
      </c>
      <c r="C5" s="63" t="s">
        <v>14</v>
      </c>
      <c r="D5" s="63" t="s">
        <v>15</v>
      </c>
      <c r="E5" s="64">
        <f>IFERROR(0.25-INDEX($O$3:$O$13,MATCH(C5,$N$3:$N$13,0)),0.25)</f>
        <v>0.25</v>
      </c>
      <c r="F5" s="65">
        <v>0.149703138252757</v>
      </c>
      <c r="G5" s="66" t="s">
        <v>16</v>
      </c>
      <c r="H5" s="3"/>
      <c r="I5" s="63" t="s">
        <v>17</v>
      </c>
      <c r="J5" s="74">
        <v>46264</v>
      </c>
      <c r="K5" s="4" t="s">
        <v>18</v>
      </c>
      <c r="N5" s="6" t="s">
        <v>36</v>
      </c>
      <c r="O5" s="7">
        <v>0</v>
      </c>
    </row>
    <row r="6" spans="1:15" ht="15" hidden="1" customHeight="1" x14ac:dyDescent="0.2">
      <c r="A6" s="61" t="s">
        <v>136</v>
      </c>
      <c r="B6" s="3" t="s">
        <v>137</v>
      </c>
      <c r="C6" s="63" t="s">
        <v>65</v>
      </c>
      <c r="D6" s="63" t="s">
        <v>138</v>
      </c>
      <c r="E6" s="64">
        <f>IFERROR(0.25-INDEX($O$3:$O$13,MATCH(C6,$N$3:$N$13,0)),0.25)</f>
        <v>-8.5999999999999965E-3</v>
      </c>
      <c r="F6" s="65">
        <v>1.7507492848844599</v>
      </c>
      <c r="G6" s="66" t="s">
        <v>16</v>
      </c>
      <c r="H6" s="3"/>
      <c r="I6" s="63" t="s">
        <v>17</v>
      </c>
      <c r="J6" s="74">
        <v>46264</v>
      </c>
      <c r="K6" s="4" t="s">
        <v>139</v>
      </c>
      <c r="N6" s="6" t="s">
        <v>40</v>
      </c>
      <c r="O6" s="7">
        <v>0</v>
      </c>
    </row>
    <row r="7" spans="1:15" ht="15" hidden="1" customHeight="1" x14ac:dyDescent="0.2">
      <c r="A7" s="61" t="s">
        <v>140</v>
      </c>
      <c r="B7" s="3" t="s">
        <v>141</v>
      </c>
      <c r="C7" s="63" t="s">
        <v>65</v>
      </c>
      <c r="D7" s="63" t="s">
        <v>142</v>
      </c>
      <c r="E7" s="64">
        <f>IFERROR(0.25-INDEX($O$3:$O$13,MATCH(C7,$N$3:$N$13,0)),0.25)</f>
        <v>-8.5999999999999965E-3</v>
      </c>
      <c r="F7" s="65">
        <v>1.0369887870469501</v>
      </c>
      <c r="G7" s="66" t="s">
        <v>16</v>
      </c>
      <c r="H7" s="3"/>
      <c r="I7" s="63" t="s">
        <v>17</v>
      </c>
      <c r="J7" s="74">
        <v>46264</v>
      </c>
      <c r="K7" s="4" t="s">
        <v>143</v>
      </c>
      <c r="N7" s="6" t="s">
        <v>33</v>
      </c>
      <c r="O7" s="7">
        <v>0</v>
      </c>
    </row>
    <row r="8" spans="1:15" ht="15" hidden="1" customHeight="1" x14ac:dyDescent="0.2">
      <c r="A8" s="61" t="s">
        <v>20</v>
      </c>
      <c r="B8" s="3" t="s">
        <v>21</v>
      </c>
      <c r="C8" s="63" t="s">
        <v>22</v>
      </c>
      <c r="D8" s="63" t="s">
        <v>23</v>
      </c>
      <c r="E8" s="64">
        <f>IFERROR(0.25-INDEX($O$3:$O$13,MATCH(C8,$N$3:$N$13,0)),0.25)</f>
        <v>0.25</v>
      </c>
      <c r="F8" s="65">
        <v>0.90154611282215502</v>
      </c>
      <c r="G8" s="66" t="s">
        <v>16</v>
      </c>
      <c r="H8" s="3"/>
      <c r="I8" s="63" t="s">
        <v>17</v>
      </c>
      <c r="J8" s="74">
        <v>46264</v>
      </c>
      <c r="K8" s="4" t="s">
        <v>24</v>
      </c>
      <c r="N8" s="6" t="s">
        <v>46</v>
      </c>
      <c r="O8" s="7">
        <v>0</v>
      </c>
    </row>
    <row r="9" spans="1:15" ht="15" customHeight="1" x14ac:dyDescent="0.2">
      <c r="A9" s="61" t="s">
        <v>55</v>
      </c>
      <c r="B9" s="3" t="s">
        <v>56</v>
      </c>
      <c r="C9" s="63" t="s">
        <v>52</v>
      </c>
      <c r="D9" s="63" t="s">
        <v>57</v>
      </c>
      <c r="E9" s="64">
        <f>IFERROR(0.25-INDEX($O$3:$O$13,MATCH(C9,$N$3:$N$13,0)),0.25)</f>
        <v>0.21579999999999999</v>
      </c>
      <c r="F9" s="65">
        <v>0.191752577319588</v>
      </c>
      <c r="G9" s="66" t="s">
        <v>28</v>
      </c>
      <c r="H9" s="63"/>
      <c r="I9" s="63" t="s">
        <v>17</v>
      </c>
      <c r="J9" s="74">
        <v>46244</v>
      </c>
      <c r="K9" s="4"/>
      <c r="N9" s="6" t="s">
        <v>52</v>
      </c>
      <c r="O9" s="7">
        <v>3.4200000000000001E-2</v>
      </c>
    </row>
    <row r="10" spans="1:15" ht="34" x14ac:dyDescent="0.2">
      <c r="A10" s="61" t="s">
        <v>198</v>
      </c>
      <c r="B10" s="3" t="s">
        <v>199</v>
      </c>
      <c r="C10" s="63" t="s">
        <v>36</v>
      </c>
      <c r="D10" s="63" t="s">
        <v>171</v>
      </c>
      <c r="E10" s="64">
        <f>IFERROR(0.25-INDEX($O$3:$O$13,MATCH(C10,$N$3:$N$13,0)),0.25)</f>
        <v>0.25</v>
      </c>
      <c r="F10" s="65">
        <v>-1.65419090240788</v>
      </c>
      <c r="G10" s="66" t="s">
        <v>28</v>
      </c>
      <c r="H10" s="63" t="s">
        <v>189</v>
      </c>
      <c r="I10" s="63" t="s">
        <v>48</v>
      </c>
      <c r="J10" s="74">
        <v>46244</v>
      </c>
      <c r="K10" s="4" t="s">
        <v>130</v>
      </c>
      <c r="N10" s="6" t="s">
        <v>58</v>
      </c>
      <c r="O10" s="7">
        <v>1.1900000000000001E-2</v>
      </c>
    </row>
    <row r="11" spans="1:15" ht="15" customHeight="1" x14ac:dyDescent="0.2">
      <c r="A11" s="61" t="s">
        <v>59</v>
      </c>
      <c r="B11" s="3" t="s">
        <v>60</v>
      </c>
      <c r="C11" s="63" t="s">
        <v>52</v>
      </c>
      <c r="D11" s="63" t="s">
        <v>61</v>
      </c>
      <c r="E11" s="64">
        <f>IFERROR(0.25-INDEX($O$3:$O$13,MATCH(C11,$N$3:$N$13,0)),0.25)</f>
        <v>0.21579999999999999</v>
      </c>
      <c r="F11" s="65">
        <v>-0.42218246869409698</v>
      </c>
      <c r="G11" s="66" t="s">
        <v>28</v>
      </c>
      <c r="H11" s="63"/>
      <c r="I11" s="63" t="s">
        <v>17</v>
      </c>
      <c r="J11" s="74">
        <v>46244</v>
      </c>
      <c r="K11" s="4"/>
      <c r="N11" s="6" t="s">
        <v>62</v>
      </c>
      <c r="O11" s="7">
        <v>2.4899999999999999E-2</v>
      </c>
    </row>
    <row r="12" spans="1:15" ht="15" customHeight="1" x14ac:dyDescent="0.2">
      <c r="A12" s="61" t="s">
        <v>90</v>
      </c>
      <c r="B12" s="3" t="s">
        <v>91</v>
      </c>
      <c r="C12" s="63" t="s">
        <v>58</v>
      </c>
      <c r="D12" s="63" t="s">
        <v>92</v>
      </c>
      <c r="E12" s="64">
        <f>IFERROR(0.25-INDEX($O$3:$O$13,MATCH(C12,$N$3:$N$13,0)),0.25)</f>
        <v>0.23810000000000001</v>
      </c>
      <c r="F12" s="65">
        <v>0.72539672962046697</v>
      </c>
      <c r="G12" s="66" t="s">
        <v>28</v>
      </c>
      <c r="H12" s="63"/>
      <c r="I12" s="63" t="s">
        <v>17</v>
      </c>
      <c r="J12" s="74">
        <v>46244</v>
      </c>
      <c r="K12" s="4"/>
      <c r="N12" s="6" t="s">
        <v>65</v>
      </c>
      <c r="O12" s="7">
        <v>0.2586</v>
      </c>
    </row>
    <row r="13" spans="1:15" ht="15" customHeight="1" x14ac:dyDescent="0.2">
      <c r="A13" s="61" t="s">
        <v>63</v>
      </c>
      <c r="B13" s="3" t="s">
        <v>64</v>
      </c>
      <c r="C13" s="63" t="s">
        <v>52</v>
      </c>
      <c r="D13" s="63" t="s">
        <v>53</v>
      </c>
      <c r="E13" s="64">
        <f>IFERROR(0.25-INDEX($O$3:$O$13,MATCH(C13,$N$3:$N$13,0)),0.25)</f>
        <v>0.21579999999999999</v>
      </c>
      <c r="F13" s="65">
        <v>0.43932346723044402</v>
      </c>
      <c r="G13" s="66" t="s">
        <v>28</v>
      </c>
      <c r="H13" s="63"/>
      <c r="I13" s="63" t="s">
        <v>17</v>
      </c>
      <c r="J13" s="74">
        <v>46244</v>
      </c>
      <c r="K13" s="4"/>
      <c r="N13" s="6" t="s">
        <v>69</v>
      </c>
      <c r="O13" s="7">
        <v>0</v>
      </c>
    </row>
    <row r="14" spans="1:15" ht="41.25" customHeight="1" x14ac:dyDescent="0.2">
      <c r="A14" s="61" t="s">
        <v>144</v>
      </c>
      <c r="B14" s="3" t="s">
        <v>145</v>
      </c>
      <c r="C14" s="63" t="s">
        <v>65</v>
      </c>
      <c r="D14" s="63" t="s">
        <v>138</v>
      </c>
      <c r="E14" s="64">
        <f>IFERROR(0.25-INDEX($O$3:$O$13,MATCH(C14,$N$3:$N$13,0)),0.25)</f>
        <v>-8.5999999999999965E-3</v>
      </c>
      <c r="F14" s="65">
        <v>-1.91656846570823</v>
      </c>
      <c r="G14" s="66" t="s">
        <v>28</v>
      </c>
      <c r="H14" s="63"/>
      <c r="I14" s="63" t="s">
        <v>17</v>
      </c>
      <c r="J14" s="74">
        <v>46244</v>
      </c>
      <c r="K14" s="4" t="s">
        <v>130</v>
      </c>
    </row>
    <row r="15" spans="1:15" ht="119" x14ac:dyDescent="0.2">
      <c r="A15" s="61" t="s">
        <v>123</v>
      </c>
      <c r="B15" s="3" t="s">
        <v>124</v>
      </c>
      <c r="C15" s="63" t="s">
        <v>62</v>
      </c>
      <c r="D15" s="63" t="s">
        <v>125</v>
      </c>
      <c r="E15" s="64">
        <f>IFERROR(0.25-INDEX($O$3:$O$13,MATCH(C15,$N$3:$N$13,0)),0.25)</f>
        <v>0.22509999999999999</v>
      </c>
      <c r="F15" s="65">
        <v>3.9031441994940401E-2</v>
      </c>
      <c r="G15" s="66" t="s">
        <v>28</v>
      </c>
      <c r="H15" s="63" t="s">
        <v>189</v>
      </c>
      <c r="I15" s="63" t="s">
        <v>48</v>
      </c>
      <c r="J15" s="74">
        <v>46244</v>
      </c>
      <c r="K15" s="4" t="s">
        <v>126</v>
      </c>
    </row>
    <row r="16" spans="1:15" ht="15" customHeight="1" x14ac:dyDescent="0.2">
      <c r="A16" s="61" t="s">
        <v>186</v>
      </c>
      <c r="B16" s="3" t="s">
        <v>187</v>
      </c>
      <c r="C16" s="63" t="s">
        <v>14</v>
      </c>
      <c r="D16" s="63" t="s">
        <v>188</v>
      </c>
      <c r="E16" s="64">
        <f>IFERROR(0.25-INDEX($O$3:$O$13,MATCH(C16,$N$3:$N$13,0)),0.25)</f>
        <v>0.25</v>
      </c>
      <c r="F16" s="65">
        <v>0.51224105461393599</v>
      </c>
      <c r="G16" s="66" t="s">
        <v>28</v>
      </c>
      <c r="H16" s="63" t="s">
        <v>189</v>
      </c>
      <c r="I16" s="63" t="s">
        <v>48</v>
      </c>
      <c r="J16" s="74">
        <v>46244</v>
      </c>
      <c r="K16" s="4"/>
    </row>
    <row r="17" spans="1:11" ht="15" customHeight="1" x14ac:dyDescent="0.2">
      <c r="A17" s="61" t="s">
        <v>190</v>
      </c>
      <c r="B17" s="3" t="s">
        <v>191</v>
      </c>
      <c r="C17" s="63" t="s">
        <v>14</v>
      </c>
      <c r="D17" s="63" t="s">
        <v>192</v>
      </c>
      <c r="E17" s="64">
        <f>IFERROR(0.25-INDEX($O$3:$O$13,MATCH(C17,$N$3:$N$13,0)),0.25)</f>
        <v>0.25</v>
      </c>
      <c r="F17" s="65">
        <v>-0.73389830508474596</v>
      </c>
      <c r="G17" s="66" t="s">
        <v>28</v>
      </c>
      <c r="H17" s="63" t="s">
        <v>189</v>
      </c>
      <c r="I17" s="63" t="s">
        <v>48</v>
      </c>
      <c r="J17" s="74">
        <v>46244</v>
      </c>
      <c r="K17" s="4"/>
    </row>
    <row r="18" spans="1:11" ht="15" hidden="1" customHeight="1" x14ac:dyDescent="0.2">
      <c r="A18" s="61" t="s">
        <v>146</v>
      </c>
      <c r="B18" s="3" t="s">
        <v>147</v>
      </c>
      <c r="C18" s="63" t="s">
        <v>65</v>
      </c>
      <c r="D18" s="63" t="s">
        <v>142</v>
      </c>
      <c r="E18" s="64">
        <f>IFERROR(0.25-INDEX($O$3:$O$13,MATCH(C18,$N$3:$N$13,0)),0.25)</f>
        <v>-8.5999999999999965E-3</v>
      </c>
      <c r="F18" s="65">
        <v>0.51254125412541296</v>
      </c>
      <c r="G18" s="66" t="s">
        <v>16</v>
      </c>
      <c r="H18" s="3"/>
      <c r="I18" s="63" t="s">
        <v>17</v>
      </c>
      <c r="J18" s="74">
        <v>46264</v>
      </c>
      <c r="K18" s="4" t="s">
        <v>148</v>
      </c>
    </row>
    <row r="19" spans="1:11" ht="15" customHeight="1" x14ac:dyDescent="0.2">
      <c r="A19" s="61" t="s">
        <v>164</v>
      </c>
      <c r="B19" s="3" t="s">
        <v>165</v>
      </c>
      <c r="C19" s="63" t="s">
        <v>36</v>
      </c>
      <c r="D19" s="63" t="s">
        <v>166</v>
      </c>
      <c r="E19" s="64">
        <f>IFERROR(0.25-INDEX($O$3:$O$13,MATCH(C19,$N$3:$N$13,0)),0.25)</f>
        <v>0.25</v>
      </c>
      <c r="F19" s="65">
        <v>-4.2265392765864801E-2</v>
      </c>
      <c r="G19" s="66" t="s">
        <v>28</v>
      </c>
      <c r="H19" s="63" t="s">
        <v>160</v>
      </c>
      <c r="I19" s="63" t="s">
        <v>29</v>
      </c>
      <c r="J19" s="74">
        <v>46244</v>
      </c>
      <c r="K19" s="4"/>
    </row>
    <row r="20" spans="1:11" ht="34" x14ac:dyDescent="0.2">
      <c r="A20" s="61" t="s">
        <v>127</v>
      </c>
      <c r="B20" s="3" t="s">
        <v>128</v>
      </c>
      <c r="C20" s="63" t="s">
        <v>62</v>
      </c>
      <c r="D20" s="63" t="s">
        <v>129</v>
      </c>
      <c r="E20" s="64">
        <f>IFERROR(0.25-INDEX($O$3:$O$13,MATCH(C20,$N$3:$N$13,0)),0.25)</f>
        <v>0.22509999999999999</v>
      </c>
      <c r="F20" s="65">
        <v>-3.1207393159472399</v>
      </c>
      <c r="G20" s="66" t="s">
        <v>28</v>
      </c>
      <c r="H20" s="63"/>
      <c r="I20" s="63" t="s">
        <v>17</v>
      </c>
      <c r="J20" s="74">
        <v>46244</v>
      </c>
      <c r="K20" s="4" t="s">
        <v>130</v>
      </c>
    </row>
    <row r="21" spans="1:11" ht="81.75" customHeight="1" x14ac:dyDescent="0.2">
      <c r="A21" s="61" t="s">
        <v>219</v>
      </c>
      <c r="B21" s="3" t="s">
        <v>220</v>
      </c>
      <c r="C21" s="63" t="s">
        <v>33</v>
      </c>
      <c r="D21" s="63" t="s">
        <v>221</v>
      </c>
      <c r="E21" s="64">
        <f>IFERROR(0.25-INDEX($O$3:$O$13,MATCH(C21,$N$3:$N$13,0)),0.25)</f>
        <v>0.25</v>
      </c>
      <c r="F21" s="65">
        <v>5.7567888737291503E-2</v>
      </c>
      <c r="G21" s="66" t="s">
        <v>28</v>
      </c>
      <c r="H21" s="63" t="s">
        <v>189</v>
      </c>
      <c r="I21" s="63" t="s">
        <v>48</v>
      </c>
      <c r="J21" s="74">
        <v>46244</v>
      </c>
      <c r="K21" s="4"/>
    </row>
    <row r="22" spans="1:11" ht="15" customHeight="1" x14ac:dyDescent="0.2">
      <c r="A22" s="61" t="s">
        <v>211</v>
      </c>
      <c r="B22" s="3" t="s">
        <v>212</v>
      </c>
      <c r="C22" s="63" t="s">
        <v>40</v>
      </c>
      <c r="D22" s="63" t="s">
        <v>213</v>
      </c>
      <c r="E22" s="64">
        <f>IFERROR(0.25-INDEX($O$3:$O$13,MATCH(C22,$N$3:$N$13,0)),0.25)</f>
        <v>0.25</v>
      </c>
      <c r="F22" s="65">
        <v>0.18994413407821201</v>
      </c>
      <c r="G22" s="66" t="s">
        <v>28</v>
      </c>
      <c r="H22" s="63" t="s">
        <v>189</v>
      </c>
      <c r="I22" s="63" t="s">
        <v>48</v>
      </c>
      <c r="J22" s="74">
        <v>46244</v>
      </c>
      <c r="K22" s="4"/>
    </row>
    <row r="23" spans="1:11" ht="54.75" customHeight="1" x14ac:dyDescent="0.2">
      <c r="A23" s="61" t="s">
        <v>193</v>
      </c>
      <c r="B23" s="3" t="s">
        <v>194</v>
      </c>
      <c r="C23" s="63" t="s">
        <v>22</v>
      </c>
      <c r="D23" s="63" t="s">
        <v>163</v>
      </c>
      <c r="E23" s="64">
        <f>IFERROR(0.25-INDEX($O$3:$O$13,MATCH(C23,$N$3:$N$13,0)),0.25)</f>
        <v>0.25</v>
      </c>
      <c r="F23" s="65">
        <v>0.17735716789344599</v>
      </c>
      <c r="G23" s="66" t="s">
        <v>28</v>
      </c>
      <c r="H23" s="63" t="s">
        <v>189</v>
      </c>
      <c r="I23" s="63" t="s">
        <v>48</v>
      </c>
      <c r="J23" s="74">
        <v>46244</v>
      </c>
      <c r="K23" s="4"/>
    </row>
    <row r="24" spans="1:11" ht="41.25" customHeight="1" x14ac:dyDescent="0.2">
      <c r="A24" s="61" t="s">
        <v>167</v>
      </c>
      <c r="B24" s="3" t="s">
        <v>168</v>
      </c>
      <c r="C24" s="63" t="s">
        <v>36</v>
      </c>
      <c r="D24" s="63" t="s">
        <v>166</v>
      </c>
      <c r="E24" s="64">
        <f>IFERROR(0.25-INDEX($O$3:$O$13,MATCH(C24,$N$3:$N$13,0)),0.25)</f>
        <v>0.25</v>
      </c>
      <c r="F24" s="65">
        <v>0.31150051170675702</v>
      </c>
      <c r="G24" s="66" t="s">
        <v>28</v>
      </c>
      <c r="H24" s="63" t="s">
        <v>160</v>
      </c>
      <c r="I24" s="63" t="s">
        <v>29</v>
      </c>
      <c r="J24" s="74">
        <v>46244</v>
      </c>
      <c r="K24" s="4"/>
    </row>
    <row r="25" spans="1:11" ht="41.25" customHeight="1" x14ac:dyDescent="0.2">
      <c r="A25" s="61" t="s">
        <v>214</v>
      </c>
      <c r="B25" s="3" t="s">
        <v>215</v>
      </c>
      <c r="C25" s="63" t="s">
        <v>40</v>
      </c>
      <c r="D25" s="63" t="s">
        <v>176</v>
      </c>
      <c r="E25" s="64">
        <f>IFERROR(0.25-INDEX($O$3:$O$13,MATCH(C25,$N$3:$N$13,0)),0.25)</f>
        <v>0.25</v>
      </c>
      <c r="F25" s="65">
        <v>0.96417910447761201</v>
      </c>
      <c r="G25" s="66" t="s">
        <v>28</v>
      </c>
      <c r="H25" s="63" t="s">
        <v>189</v>
      </c>
      <c r="I25" s="63" t="s">
        <v>48</v>
      </c>
      <c r="J25" s="74">
        <v>46244</v>
      </c>
      <c r="K25" s="4"/>
    </row>
    <row r="26" spans="1:11" ht="27.75" customHeight="1" x14ac:dyDescent="0.2">
      <c r="A26" s="61" t="s">
        <v>177</v>
      </c>
      <c r="B26" s="3" t="s">
        <v>178</v>
      </c>
      <c r="C26" s="63" t="s">
        <v>33</v>
      </c>
      <c r="D26" s="63" t="s">
        <v>39</v>
      </c>
      <c r="E26" s="64">
        <f>IFERROR(0.25-INDEX($O$3:$O$13,MATCH(C26,$N$3:$N$13,0)),0.25)</f>
        <v>0.25</v>
      </c>
      <c r="F26" s="65">
        <v>-0.476164532824843</v>
      </c>
      <c r="G26" s="66" t="s">
        <v>28</v>
      </c>
      <c r="H26" s="63" t="s">
        <v>160</v>
      </c>
      <c r="I26" s="63" t="s">
        <v>29</v>
      </c>
      <c r="J26" s="74">
        <v>46244</v>
      </c>
      <c r="K26" s="4"/>
    </row>
    <row r="27" spans="1:11" ht="15" customHeight="1" x14ac:dyDescent="0.2">
      <c r="A27" s="61" t="s">
        <v>169</v>
      </c>
      <c r="B27" s="3" t="s">
        <v>170</v>
      </c>
      <c r="C27" s="63" t="s">
        <v>36</v>
      </c>
      <c r="D27" s="63" t="s">
        <v>171</v>
      </c>
      <c r="E27" s="64">
        <f>IFERROR(0.25-INDEX($O$3:$O$13,MATCH(C27,$N$3:$N$13,0)),0.25)</f>
        <v>0.25</v>
      </c>
      <c r="F27" s="65">
        <v>-9.9046364378796894E-2</v>
      </c>
      <c r="G27" s="66" t="s">
        <v>28</v>
      </c>
      <c r="H27" s="63" t="s">
        <v>160</v>
      </c>
      <c r="I27" s="63" t="s">
        <v>29</v>
      </c>
      <c r="J27" s="74">
        <v>46244</v>
      </c>
      <c r="K27" s="4"/>
    </row>
    <row r="28" spans="1:11" ht="85" hidden="1" x14ac:dyDescent="0.2">
      <c r="A28" s="61" t="s">
        <v>93</v>
      </c>
      <c r="B28" s="3" t="s">
        <v>94</v>
      </c>
      <c r="C28" s="63" t="s">
        <v>58</v>
      </c>
      <c r="D28" s="63" t="s">
        <v>95</v>
      </c>
      <c r="E28" s="64">
        <f>IFERROR(0.25-INDEX($O$3:$O$13,MATCH(C28,$N$3:$N$13,0)),0.25)</f>
        <v>0.23810000000000001</v>
      </c>
      <c r="F28" s="65">
        <v>1.1823529411764699</v>
      </c>
      <c r="G28" s="66" t="s">
        <v>16</v>
      </c>
      <c r="H28" s="3"/>
      <c r="I28" s="63" t="s">
        <v>17</v>
      </c>
      <c r="J28" s="74">
        <v>46264</v>
      </c>
      <c r="K28" s="4" t="s">
        <v>96</v>
      </c>
    </row>
    <row r="29" spans="1:11" ht="15" customHeight="1" x14ac:dyDescent="0.2">
      <c r="A29" s="61" t="s">
        <v>200</v>
      </c>
      <c r="B29" s="3" t="s">
        <v>201</v>
      </c>
      <c r="C29" s="63" t="s">
        <v>36</v>
      </c>
      <c r="D29" s="63" t="s">
        <v>202</v>
      </c>
      <c r="E29" s="64">
        <f>IFERROR(0.25-INDEX($O$3:$O$13,MATCH(C29,$N$3:$N$13,0)),0.25)</f>
        <v>0.25</v>
      </c>
      <c r="F29" s="65">
        <v>-0.48394160583941598</v>
      </c>
      <c r="G29" s="66" t="s">
        <v>28</v>
      </c>
      <c r="H29" s="63" t="s">
        <v>189</v>
      </c>
      <c r="I29" s="63" t="s">
        <v>48</v>
      </c>
      <c r="J29" s="74">
        <v>46244</v>
      </c>
      <c r="K29" s="4"/>
    </row>
    <row r="30" spans="1:11" ht="65" customHeight="1" x14ac:dyDescent="0.2">
      <c r="A30" s="61" t="s">
        <v>97</v>
      </c>
      <c r="B30" s="3" t="s">
        <v>98</v>
      </c>
      <c r="C30" s="63" t="s">
        <v>58</v>
      </c>
      <c r="D30" s="63" t="s">
        <v>99</v>
      </c>
      <c r="E30" s="64">
        <f>IFERROR(0.25-INDEX($O$3:$O$13,MATCH(C30,$N$3:$N$13,0)),0.25)</f>
        <v>0.23810000000000001</v>
      </c>
      <c r="F30" s="65">
        <v>-0.42105263157894701</v>
      </c>
      <c r="G30" s="66" t="s">
        <v>28</v>
      </c>
      <c r="H30" s="63" t="s">
        <v>189</v>
      </c>
      <c r="I30" s="63" t="s">
        <v>48</v>
      </c>
      <c r="J30" s="74">
        <v>46244</v>
      </c>
      <c r="K30" s="4" t="s">
        <v>100</v>
      </c>
    </row>
    <row r="31" spans="1:11" ht="27.75" customHeight="1" x14ac:dyDescent="0.2">
      <c r="A31" s="61" t="s">
        <v>216</v>
      </c>
      <c r="B31" s="3" t="s">
        <v>217</v>
      </c>
      <c r="C31" s="63" t="s">
        <v>40</v>
      </c>
      <c r="D31" s="63" t="s">
        <v>218</v>
      </c>
      <c r="E31" s="64">
        <f>IFERROR(0.25-INDEX($O$3:$O$13,MATCH(C31,$N$3:$N$13,0)),0.25)</f>
        <v>0.25</v>
      </c>
      <c r="F31" s="65">
        <v>-0.47109711302715901</v>
      </c>
      <c r="G31" s="66" t="s">
        <v>28</v>
      </c>
      <c r="H31" s="63" t="s">
        <v>189</v>
      </c>
      <c r="I31" s="63" t="s">
        <v>48</v>
      </c>
      <c r="J31" s="74">
        <v>46244</v>
      </c>
      <c r="K31" s="4"/>
    </row>
    <row r="32" spans="1:11" ht="15" hidden="1" customHeight="1" x14ac:dyDescent="0.2">
      <c r="A32" s="61" t="s">
        <v>101</v>
      </c>
      <c r="B32" s="3" t="s">
        <v>102</v>
      </c>
      <c r="C32" s="63" t="s">
        <v>58</v>
      </c>
      <c r="D32" s="63" t="s">
        <v>103</v>
      </c>
      <c r="E32" s="64">
        <f>IFERROR(0.25-INDEX($O$3:$O$13,MATCH(C32,$N$3:$N$13,0)),0.25)</f>
        <v>0.23810000000000001</v>
      </c>
      <c r="F32" s="65">
        <v>0.46468781985670399</v>
      </c>
      <c r="G32" s="66" t="s">
        <v>16</v>
      </c>
      <c r="H32" s="3"/>
      <c r="I32" s="63" t="s">
        <v>17</v>
      </c>
      <c r="J32" s="74">
        <v>46264</v>
      </c>
      <c r="K32" s="4" t="s">
        <v>104</v>
      </c>
    </row>
    <row r="33" spans="1:11" ht="68.25" customHeight="1" x14ac:dyDescent="0.2">
      <c r="A33" s="61" t="s">
        <v>66</v>
      </c>
      <c r="B33" s="3" t="s">
        <v>67</v>
      </c>
      <c r="C33" s="63" t="s">
        <v>52</v>
      </c>
      <c r="D33" s="63" t="s">
        <v>68</v>
      </c>
      <c r="E33" s="64">
        <f>IFERROR(0.25-INDEX($O$3:$O$13,MATCH(C33,$N$3:$N$13,0)),0.25)</f>
        <v>0.21579999999999999</v>
      </c>
      <c r="F33" s="65">
        <v>-0.22939641978487199</v>
      </c>
      <c r="G33" s="66" t="s">
        <v>28</v>
      </c>
      <c r="H33" s="63"/>
      <c r="I33" s="63" t="s">
        <v>17</v>
      </c>
      <c r="J33" s="74">
        <v>46244</v>
      </c>
      <c r="K33" s="4"/>
    </row>
    <row r="34" spans="1:11" ht="95.25" customHeight="1" x14ac:dyDescent="0.2">
      <c r="A34" s="61" t="s">
        <v>149</v>
      </c>
      <c r="B34" s="3" t="s">
        <v>150</v>
      </c>
      <c r="C34" s="63" t="s">
        <v>65</v>
      </c>
      <c r="D34" s="63" t="s">
        <v>151</v>
      </c>
      <c r="E34" s="64">
        <f>IFERROR(0.25-INDEX($O$3:$O$13,MATCH(C34,$N$3:$N$13,0)),0.25)</f>
        <v>-8.5999999999999965E-3</v>
      </c>
      <c r="F34" s="65">
        <v>0.31268882175226598</v>
      </c>
      <c r="G34" s="66" t="s">
        <v>28</v>
      </c>
      <c r="H34" s="63"/>
      <c r="I34" s="63" t="s">
        <v>17</v>
      </c>
      <c r="J34" s="74">
        <v>46244</v>
      </c>
      <c r="K34" s="4"/>
    </row>
    <row r="35" spans="1:11" ht="27.75" hidden="1" customHeight="1" x14ac:dyDescent="0.2">
      <c r="A35" s="61" t="s">
        <v>31</v>
      </c>
      <c r="B35" s="3" t="s">
        <v>32</v>
      </c>
      <c r="C35" s="63" t="s">
        <v>33</v>
      </c>
      <c r="D35" s="63" t="s">
        <v>34</v>
      </c>
      <c r="E35" s="64">
        <f>IFERROR(0.25-INDEX($O$3:$O$13,MATCH(C35,$N$3:$N$13,0)),0.25)</f>
        <v>0.25</v>
      </c>
      <c r="F35" s="65">
        <v>32.694503289106898</v>
      </c>
      <c r="G35" s="66" t="s">
        <v>16</v>
      </c>
      <c r="H35" s="3"/>
      <c r="I35" s="63" t="s">
        <v>29</v>
      </c>
      <c r="J35" s="74">
        <v>46264</v>
      </c>
      <c r="K35" s="4" t="s">
        <v>35</v>
      </c>
    </row>
    <row r="36" spans="1:11" ht="54.75" customHeight="1" x14ac:dyDescent="0.2">
      <c r="A36" s="61" t="s">
        <v>222</v>
      </c>
      <c r="B36" s="3" t="s">
        <v>223</v>
      </c>
      <c r="C36" s="63" t="s">
        <v>33</v>
      </c>
      <c r="D36" s="63" t="s">
        <v>34</v>
      </c>
      <c r="E36" s="64">
        <f>IFERROR(0.25-INDEX($O$3:$O$13,MATCH(C36,$N$3:$N$13,0)),0.25)</f>
        <v>0.25</v>
      </c>
      <c r="F36" s="65">
        <v>-0.92090949871032901</v>
      </c>
      <c r="G36" s="66" t="s">
        <v>28</v>
      </c>
      <c r="H36" s="63" t="s">
        <v>189</v>
      </c>
      <c r="I36" s="63" t="s">
        <v>48</v>
      </c>
      <c r="J36" s="74">
        <v>46244</v>
      </c>
      <c r="K36" s="4"/>
    </row>
    <row r="37" spans="1:11" ht="15" customHeight="1" x14ac:dyDescent="0.2">
      <c r="A37" s="61" t="s">
        <v>157</v>
      </c>
      <c r="B37" s="3" t="s">
        <v>158</v>
      </c>
      <c r="C37" s="63" t="s">
        <v>14</v>
      </c>
      <c r="D37" s="63" t="s">
        <v>159</v>
      </c>
      <c r="E37" s="64">
        <f>IFERROR(0.25-INDEX($O$3:$O$13,MATCH(C37,$N$3:$N$13,0)),0.25)</f>
        <v>0.25</v>
      </c>
      <c r="F37" s="65">
        <v>3.3089727974015402E-2</v>
      </c>
      <c r="G37" s="66" t="s">
        <v>28</v>
      </c>
      <c r="H37" s="63" t="s">
        <v>160</v>
      </c>
      <c r="I37" s="63" t="s">
        <v>29</v>
      </c>
      <c r="J37" s="74">
        <v>46244</v>
      </c>
      <c r="K37" s="4"/>
    </row>
    <row r="38" spans="1:11" ht="34" x14ac:dyDescent="0.2">
      <c r="A38" s="61" t="s">
        <v>105</v>
      </c>
      <c r="B38" s="3" t="s">
        <v>106</v>
      </c>
      <c r="C38" s="63" t="s">
        <v>58</v>
      </c>
      <c r="D38" s="63" t="s">
        <v>95</v>
      </c>
      <c r="E38" s="64">
        <f>IFERROR(0.25-INDEX($O$3:$O$13,MATCH(C38,$N$3:$N$13,0)),0.25)</f>
        <v>0.23810000000000001</v>
      </c>
      <c r="F38" s="65">
        <v>1.12524850894632</v>
      </c>
      <c r="G38" s="66" t="s">
        <v>28</v>
      </c>
      <c r="H38" s="63"/>
      <c r="I38" s="63" t="s">
        <v>17</v>
      </c>
      <c r="J38" s="74">
        <v>46244</v>
      </c>
      <c r="K38" s="4" t="s">
        <v>107</v>
      </c>
    </row>
    <row r="39" spans="1:11" ht="15" hidden="1" customHeight="1" x14ac:dyDescent="0.2">
      <c r="A39" s="61" t="s">
        <v>152</v>
      </c>
      <c r="B39" s="3" t="s">
        <v>153</v>
      </c>
      <c r="C39" s="63" t="s">
        <v>65</v>
      </c>
      <c r="D39" s="63" t="s">
        <v>138</v>
      </c>
      <c r="E39" s="64">
        <f>IFERROR(0.25-INDEX($O$3:$O$13,MATCH(C39,$N$3:$N$13,0)),0.25)</f>
        <v>-8.5999999999999965E-3</v>
      </c>
      <c r="F39" s="65">
        <v>1.65515256188831E-3</v>
      </c>
      <c r="G39" s="66" t="s">
        <v>16</v>
      </c>
      <c r="H39" s="3"/>
      <c r="I39" s="63" t="s">
        <v>17</v>
      </c>
      <c r="J39" s="74">
        <v>46264</v>
      </c>
      <c r="K39" s="4" t="s">
        <v>154</v>
      </c>
    </row>
    <row r="40" spans="1:11" ht="15" hidden="1" customHeight="1" x14ac:dyDescent="0.2">
      <c r="A40" s="61" t="s">
        <v>70</v>
      </c>
      <c r="B40" s="3" t="s">
        <v>71</v>
      </c>
      <c r="C40" s="63" t="s">
        <v>52</v>
      </c>
      <c r="D40" s="63" t="s">
        <v>72</v>
      </c>
      <c r="E40" s="64">
        <f>IFERROR(0.25-INDEX($O$3:$O$13,MATCH(C40,$N$3:$N$13,0)),0.25)</f>
        <v>0.21579999999999999</v>
      </c>
      <c r="F40" s="65">
        <v>0.34368269921033701</v>
      </c>
      <c r="G40" s="66" t="s">
        <v>16</v>
      </c>
      <c r="H40" s="3"/>
      <c r="I40" s="63" t="s">
        <v>17</v>
      </c>
      <c r="J40" s="74">
        <v>46264</v>
      </c>
      <c r="K40" s="4" t="s">
        <v>73</v>
      </c>
    </row>
    <row r="41" spans="1:11" ht="15" customHeight="1" x14ac:dyDescent="0.2">
      <c r="A41" s="61" t="s">
        <v>161</v>
      </c>
      <c r="B41" s="3" t="s">
        <v>162</v>
      </c>
      <c r="C41" s="63" t="s">
        <v>22</v>
      </c>
      <c r="D41" s="63" t="s">
        <v>163</v>
      </c>
      <c r="E41" s="64">
        <f>IFERROR(0.25-INDEX($O$3:$O$13,MATCH(C41,$N$3:$N$13,0)),0.25)</f>
        <v>0.25</v>
      </c>
      <c r="F41" s="65">
        <v>0.36684351788097502</v>
      </c>
      <c r="G41" s="66" t="s">
        <v>28</v>
      </c>
      <c r="H41" s="63" t="s">
        <v>160</v>
      </c>
      <c r="I41" s="63" t="s">
        <v>29</v>
      </c>
      <c r="J41" s="74">
        <v>46244</v>
      </c>
      <c r="K41" s="4" t="s">
        <v>265</v>
      </c>
    </row>
    <row r="42" spans="1:11" ht="15" customHeight="1" x14ac:dyDescent="0.2">
      <c r="A42" s="61" t="s">
        <v>203</v>
      </c>
      <c r="B42" s="3" t="s">
        <v>204</v>
      </c>
      <c r="C42" s="63" t="s">
        <v>36</v>
      </c>
      <c r="D42" s="63" t="s">
        <v>205</v>
      </c>
      <c r="E42" s="64">
        <f>IFERROR(0.25-INDEX($O$3:$O$13,MATCH(C42,$N$3:$N$13,0)),0.25)</f>
        <v>0.25</v>
      </c>
      <c r="F42" s="65">
        <v>-0.33170134638922899</v>
      </c>
      <c r="G42" s="66" t="s">
        <v>28</v>
      </c>
      <c r="H42" s="63" t="s">
        <v>189</v>
      </c>
      <c r="I42" s="63" t="s">
        <v>48</v>
      </c>
      <c r="J42" s="74">
        <v>46244</v>
      </c>
      <c r="K42" s="4"/>
    </row>
    <row r="43" spans="1:11" ht="15" customHeight="1" x14ac:dyDescent="0.2">
      <c r="A43" s="61" t="s">
        <v>224</v>
      </c>
      <c r="B43" s="3" t="s">
        <v>225</v>
      </c>
      <c r="C43" s="63" t="s">
        <v>33</v>
      </c>
      <c r="D43" s="63" t="s">
        <v>34</v>
      </c>
      <c r="E43" s="64">
        <f>IFERROR(0.25-INDEX($O$3:$O$13,MATCH(C43,$N$3:$N$13,0)),0.25)</f>
        <v>0.25</v>
      </c>
      <c r="F43" s="65">
        <v>-8.0797481636935994E-2</v>
      </c>
      <c r="G43" s="66" t="s">
        <v>28</v>
      </c>
      <c r="H43" s="63" t="s">
        <v>189</v>
      </c>
      <c r="I43" s="63" t="s">
        <v>48</v>
      </c>
      <c r="J43" s="74">
        <v>46244</v>
      </c>
      <c r="K43" s="4"/>
    </row>
    <row r="44" spans="1:11" ht="15" customHeight="1" x14ac:dyDescent="0.2">
      <c r="A44" s="61" t="s">
        <v>181</v>
      </c>
      <c r="B44" s="3" t="s">
        <v>182</v>
      </c>
      <c r="C44" s="63" t="s">
        <v>65</v>
      </c>
      <c r="D44" s="63" t="s">
        <v>151</v>
      </c>
      <c r="E44" s="64">
        <f>IFERROR(0.25-INDEX($O$3:$O$13,MATCH(C44,$N$3:$N$13,0)),0.25)</f>
        <v>-8.5999999999999965E-3</v>
      </c>
      <c r="F44" s="65">
        <v>0.34311111111111098</v>
      </c>
      <c r="G44" s="66" t="s">
        <v>28</v>
      </c>
      <c r="H44" s="63" t="s">
        <v>160</v>
      </c>
      <c r="I44" s="63" t="s">
        <v>29</v>
      </c>
      <c r="J44" s="74">
        <v>46244</v>
      </c>
      <c r="K44" s="4"/>
    </row>
    <row r="45" spans="1:11" ht="15" customHeight="1" x14ac:dyDescent="0.2">
      <c r="A45" s="61" t="s">
        <v>226</v>
      </c>
      <c r="B45" s="3" t="s">
        <v>227</v>
      </c>
      <c r="C45" s="63" t="s">
        <v>69</v>
      </c>
      <c r="D45" s="63" t="s">
        <v>185</v>
      </c>
      <c r="E45" s="64">
        <f>IFERROR(0.25-INDEX($O$3:$O$13,MATCH(C45,$N$3:$N$13,0)),0.25)</f>
        <v>0.25</v>
      </c>
      <c r="F45" s="65">
        <v>-0.57874449339207101</v>
      </c>
      <c r="G45" s="66" t="s">
        <v>28</v>
      </c>
      <c r="H45" s="63" t="s">
        <v>189</v>
      </c>
      <c r="I45" s="63" t="s">
        <v>48</v>
      </c>
      <c r="J45" s="74">
        <v>46244</v>
      </c>
      <c r="K45" s="4"/>
    </row>
    <row r="46" spans="1:11" ht="15" customHeight="1" x14ac:dyDescent="0.2">
      <c r="A46" s="61" t="s">
        <v>74</v>
      </c>
      <c r="B46" s="3" t="s">
        <v>75</v>
      </c>
      <c r="C46" s="63" t="s">
        <v>52</v>
      </c>
      <c r="D46" s="63" t="s">
        <v>68</v>
      </c>
      <c r="E46" s="64">
        <f>IFERROR(0.25-INDEX($O$3:$O$13,MATCH(C46,$N$3:$N$13,0)),0.25)</f>
        <v>0.21579999999999999</v>
      </c>
      <c r="F46" s="65">
        <v>0.29562863854560301</v>
      </c>
      <c r="G46" s="66" t="s">
        <v>28</v>
      </c>
      <c r="H46" s="63"/>
      <c r="I46" s="63" t="s">
        <v>17</v>
      </c>
      <c r="J46" s="74">
        <v>46244</v>
      </c>
      <c r="K46" s="4"/>
    </row>
    <row r="47" spans="1:11" ht="15" customHeight="1" x14ac:dyDescent="0.2">
      <c r="A47" s="61" t="s">
        <v>37</v>
      </c>
      <c r="B47" s="3" t="s">
        <v>38</v>
      </c>
      <c r="C47" s="63" t="s">
        <v>33</v>
      </c>
      <c r="D47" s="63" t="s">
        <v>39</v>
      </c>
      <c r="E47" s="64">
        <f>IFERROR(0.25-INDEX($O$3:$O$13,MATCH(C47,$N$3:$N$13,0)),0.25)</f>
        <v>0.25</v>
      </c>
      <c r="F47" s="65">
        <v>-0.14649459365190101</v>
      </c>
      <c r="G47" s="66" t="s">
        <v>28</v>
      </c>
      <c r="H47" s="63"/>
      <c r="I47" s="63" t="s">
        <v>17</v>
      </c>
      <c r="J47" s="74">
        <v>46244</v>
      </c>
      <c r="K47" s="4"/>
    </row>
    <row r="48" spans="1:11" ht="102" x14ac:dyDescent="0.2">
      <c r="A48" s="61" t="s">
        <v>76</v>
      </c>
      <c r="B48" s="3" t="s">
        <v>77</v>
      </c>
      <c r="C48" s="63" t="s">
        <v>52</v>
      </c>
      <c r="D48" s="63" t="s">
        <v>57</v>
      </c>
      <c r="E48" s="64">
        <f>IFERROR(0.25-INDEX($O$3:$O$13,MATCH(C48,$N$3:$N$13,0)),0.25)</f>
        <v>0.21579999999999999</v>
      </c>
      <c r="F48" s="65">
        <v>-7.7275038129130696E-2</v>
      </c>
      <c r="G48" s="66" t="s">
        <v>28</v>
      </c>
      <c r="H48" s="63" t="s">
        <v>189</v>
      </c>
      <c r="I48" s="63" t="s">
        <v>48</v>
      </c>
      <c r="J48" s="74">
        <v>46244</v>
      </c>
      <c r="K48" s="4" t="s">
        <v>78</v>
      </c>
    </row>
    <row r="49" spans="1:11" ht="15" customHeight="1" x14ac:dyDescent="0.2">
      <c r="A49" s="61" t="s">
        <v>174</v>
      </c>
      <c r="B49" s="3" t="s">
        <v>175</v>
      </c>
      <c r="C49" s="63" t="s">
        <v>40</v>
      </c>
      <c r="D49" s="63" t="s">
        <v>176</v>
      </c>
      <c r="E49" s="64">
        <f>IFERROR(0.25-INDEX($O$3:$O$13,MATCH(C49,$N$3:$N$13,0)),0.25)</f>
        <v>0.25</v>
      </c>
      <c r="F49" s="65">
        <v>7.8538877812589003E-2</v>
      </c>
      <c r="G49" s="66" t="s">
        <v>28</v>
      </c>
      <c r="H49" s="63" t="s">
        <v>160</v>
      </c>
      <c r="I49" s="63" t="s">
        <v>29</v>
      </c>
      <c r="J49" s="74">
        <v>46244</v>
      </c>
      <c r="K49" s="4"/>
    </row>
    <row r="50" spans="1:11" ht="102" x14ac:dyDescent="0.2">
      <c r="A50" s="61" t="s">
        <v>44</v>
      </c>
      <c r="B50" s="3" t="s">
        <v>45</v>
      </c>
      <c r="C50" s="63" t="s">
        <v>46</v>
      </c>
      <c r="D50" s="63" t="s">
        <v>47</v>
      </c>
      <c r="E50" s="64">
        <f>IFERROR(0.25-INDEX($O$3:$O$13,MATCH(C50,$N$3:$N$13,0)),0.25)</f>
        <v>0.25</v>
      </c>
      <c r="F50" s="65">
        <v>-0.17777449386729699</v>
      </c>
      <c r="G50" s="66" t="s">
        <v>28</v>
      </c>
      <c r="H50" s="63" t="s">
        <v>189</v>
      </c>
      <c r="I50" s="63" t="s">
        <v>48</v>
      </c>
      <c r="J50" s="74">
        <v>46244</v>
      </c>
      <c r="K50" s="4" t="s">
        <v>49</v>
      </c>
    </row>
    <row r="51" spans="1:11" ht="15" customHeight="1" x14ac:dyDescent="0.2">
      <c r="A51" s="61" t="s">
        <v>206</v>
      </c>
      <c r="B51" s="3" t="s">
        <v>207</v>
      </c>
      <c r="C51" s="63" t="s">
        <v>36</v>
      </c>
      <c r="D51" s="63" t="s">
        <v>166</v>
      </c>
      <c r="E51" s="64">
        <f>IFERROR(0.25-INDEX($O$3:$O$13,MATCH(C51,$N$3:$N$13,0)),0.25)</f>
        <v>0.25</v>
      </c>
      <c r="F51" s="65">
        <v>0.51004451212369695</v>
      </c>
      <c r="G51" s="66" t="s">
        <v>28</v>
      </c>
      <c r="H51" s="63" t="s">
        <v>189</v>
      </c>
      <c r="I51" s="63" t="s">
        <v>48</v>
      </c>
      <c r="J51" s="74">
        <v>46244</v>
      </c>
      <c r="K51" s="4"/>
    </row>
    <row r="52" spans="1:11" ht="34" x14ac:dyDescent="0.2">
      <c r="A52" s="61" t="s">
        <v>108</v>
      </c>
      <c r="B52" s="3" t="s">
        <v>109</v>
      </c>
      <c r="C52" s="63" t="s">
        <v>58</v>
      </c>
      <c r="D52" s="63" t="s">
        <v>110</v>
      </c>
      <c r="E52" s="64">
        <f>IFERROR(0.25-INDEX($O$3:$O$13,MATCH(C52,$N$3:$N$13,0)),0.25)</f>
        <v>0.23810000000000001</v>
      </c>
      <c r="F52" s="65">
        <v>1.1629279811097999</v>
      </c>
      <c r="G52" s="66" t="s">
        <v>28</v>
      </c>
      <c r="H52" s="63"/>
      <c r="I52" s="63" t="s">
        <v>17</v>
      </c>
      <c r="J52" s="74">
        <v>46244</v>
      </c>
      <c r="K52" s="4" t="s">
        <v>107</v>
      </c>
    </row>
    <row r="53" spans="1:11" ht="34" customHeight="1" x14ac:dyDescent="0.2">
      <c r="A53" s="61" t="s">
        <v>41</v>
      </c>
      <c r="B53" s="3" t="s">
        <v>42</v>
      </c>
      <c r="C53" s="63" t="s">
        <v>33</v>
      </c>
      <c r="D53" s="63" t="s">
        <v>34</v>
      </c>
      <c r="E53" s="64">
        <f>IFERROR(0.25-INDEX($O$3:$O$13,MATCH(C53,$N$3:$N$13,0)),0.25)</f>
        <v>0.25</v>
      </c>
      <c r="F53" s="65">
        <v>1.56494522691706E-2</v>
      </c>
      <c r="G53" s="66" t="s">
        <v>28</v>
      </c>
      <c r="H53" s="63" t="s">
        <v>160</v>
      </c>
      <c r="I53" s="63" t="s">
        <v>29</v>
      </c>
      <c r="J53" s="74">
        <v>46244</v>
      </c>
      <c r="K53" s="4" t="s">
        <v>43</v>
      </c>
    </row>
    <row r="54" spans="1:11" ht="34" x14ac:dyDescent="0.2">
      <c r="A54" s="61" t="s">
        <v>111</v>
      </c>
      <c r="B54" s="3" t="s">
        <v>112</v>
      </c>
      <c r="C54" s="63" t="s">
        <v>58</v>
      </c>
      <c r="D54" s="63" t="s">
        <v>95</v>
      </c>
      <c r="E54" s="64">
        <f>IFERROR(0.25-INDEX($O$3:$O$13,MATCH(C54,$N$3:$N$13,0)),0.25)</f>
        <v>0.23810000000000001</v>
      </c>
      <c r="F54" s="65">
        <v>-3.2325269064483502</v>
      </c>
      <c r="G54" s="66" t="s">
        <v>28</v>
      </c>
      <c r="H54" s="63"/>
      <c r="I54" s="63" t="s">
        <v>17</v>
      </c>
      <c r="J54" s="74">
        <v>46244</v>
      </c>
      <c r="K54" s="4" t="s">
        <v>113</v>
      </c>
    </row>
    <row r="55" spans="1:11" ht="221" x14ac:dyDescent="0.2">
      <c r="A55" s="61" t="s">
        <v>25</v>
      </c>
      <c r="B55" s="3" t="s">
        <v>26</v>
      </c>
      <c r="C55" s="63" t="s">
        <v>22</v>
      </c>
      <c r="D55" s="63" t="s">
        <v>27</v>
      </c>
      <c r="E55" s="64">
        <f>IFERROR(0.25-INDEX($O$3:$O$13,MATCH(C55,$N$3:$N$13,0)),0.25)</f>
        <v>0.25</v>
      </c>
      <c r="F55" s="65">
        <v>0.25744308231173402</v>
      </c>
      <c r="G55" s="66" t="s">
        <v>28</v>
      </c>
      <c r="H55" s="63" t="s">
        <v>160</v>
      </c>
      <c r="I55" s="63" t="s">
        <v>29</v>
      </c>
      <c r="J55" s="74">
        <v>46244</v>
      </c>
      <c r="K55" s="4" t="s">
        <v>30</v>
      </c>
    </row>
    <row r="56" spans="1:11" ht="15" customHeight="1" x14ac:dyDescent="0.2">
      <c r="A56" s="61" t="s">
        <v>114</v>
      </c>
      <c r="B56" s="3" t="s">
        <v>115</v>
      </c>
      <c r="C56" s="63" t="s">
        <v>58</v>
      </c>
      <c r="D56" s="63" t="s">
        <v>116</v>
      </c>
      <c r="E56" s="64">
        <f>IFERROR(0.25-INDEX($O$3:$O$13,MATCH(C56,$N$3:$N$13,0)),0.25)</f>
        <v>0.23810000000000001</v>
      </c>
      <c r="F56" s="65">
        <v>0.39313984168865401</v>
      </c>
      <c r="G56" s="66" t="s">
        <v>28</v>
      </c>
      <c r="H56" s="63"/>
      <c r="I56" s="63" t="s">
        <v>17</v>
      </c>
      <c r="J56" s="74">
        <v>46244</v>
      </c>
      <c r="K56" s="4"/>
    </row>
    <row r="57" spans="1:11" ht="15" customHeight="1" x14ac:dyDescent="0.2">
      <c r="A57" s="61" t="s">
        <v>117</v>
      </c>
      <c r="B57" s="3" t="s">
        <v>118</v>
      </c>
      <c r="C57" s="63" t="s">
        <v>58</v>
      </c>
      <c r="D57" s="63" t="s">
        <v>119</v>
      </c>
      <c r="E57" s="64">
        <f>IFERROR(0.25-INDEX($O$3:$O$13,MATCH(C57,$N$3:$N$13,0)),0.25)</f>
        <v>0.23810000000000001</v>
      </c>
      <c r="F57" s="65">
        <v>-8.64541832669323E-2</v>
      </c>
      <c r="G57" s="66" t="s">
        <v>28</v>
      </c>
      <c r="H57" s="63"/>
      <c r="I57" s="63" t="s">
        <v>17</v>
      </c>
      <c r="J57" s="74">
        <v>46244</v>
      </c>
      <c r="K57" s="4"/>
    </row>
    <row r="58" spans="1:11" ht="15" customHeight="1" x14ac:dyDescent="0.2">
      <c r="A58" s="61" t="s">
        <v>155</v>
      </c>
      <c r="B58" s="3" t="s">
        <v>156</v>
      </c>
      <c r="C58" s="63" t="s">
        <v>65</v>
      </c>
      <c r="D58" s="63" t="s">
        <v>151</v>
      </c>
      <c r="E58" s="64">
        <f>IFERROR(0.25-INDEX($O$3:$O$13,MATCH(C58,$N$3:$N$13,0)),0.25)</f>
        <v>-8.5999999999999965E-3</v>
      </c>
      <c r="F58" s="65">
        <v>0.41595358955765099</v>
      </c>
      <c r="G58" s="66" t="s">
        <v>28</v>
      </c>
      <c r="H58" s="63"/>
      <c r="I58" s="63" t="s">
        <v>17</v>
      </c>
      <c r="J58" s="74">
        <v>46244</v>
      </c>
      <c r="K58" s="4"/>
    </row>
    <row r="59" spans="1:11" ht="221" x14ac:dyDescent="0.2">
      <c r="A59" s="61" t="s">
        <v>79</v>
      </c>
      <c r="B59" s="3" t="s">
        <v>80</v>
      </c>
      <c r="C59" s="63" t="s">
        <v>52</v>
      </c>
      <c r="D59" s="63" t="s">
        <v>81</v>
      </c>
      <c r="E59" s="64">
        <f>IFERROR(0.25-INDEX($O$3:$O$13,MATCH(C59,$N$3:$N$13,0)),0.25)</f>
        <v>0.21579999999999999</v>
      </c>
      <c r="F59" s="65">
        <v>-0.22361748369959</v>
      </c>
      <c r="G59" s="66" t="s">
        <v>28</v>
      </c>
      <c r="H59" s="68" t="s">
        <v>266</v>
      </c>
      <c r="I59" s="66" t="s">
        <v>82</v>
      </c>
      <c r="J59" s="74">
        <v>46244</v>
      </c>
      <c r="K59" s="4" t="s">
        <v>83</v>
      </c>
    </row>
    <row r="60" spans="1:11" ht="92" customHeight="1" x14ac:dyDescent="0.2">
      <c r="A60" s="61" t="s">
        <v>120</v>
      </c>
      <c r="B60" s="3" t="s">
        <v>121</v>
      </c>
      <c r="C60" s="63" t="s">
        <v>58</v>
      </c>
      <c r="D60" s="63" t="s">
        <v>99</v>
      </c>
      <c r="E60" s="64">
        <f>IFERROR(0.25-INDEX($O$3:$O$13,MATCH(C60,$N$3:$N$13,0)),0.25)</f>
        <v>0.23810000000000001</v>
      </c>
      <c r="F60" s="65">
        <v>-0.233059713503943</v>
      </c>
      <c r="G60" s="66" t="s">
        <v>28</v>
      </c>
      <c r="H60" s="63" t="s">
        <v>189</v>
      </c>
      <c r="I60" s="63" t="s">
        <v>48</v>
      </c>
      <c r="J60" s="74">
        <v>46244</v>
      </c>
      <c r="K60" s="4" t="s">
        <v>122</v>
      </c>
    </row>
    <row r="61" spans="1:11" ht="15" customHeight="1" x14ac:dyDescent="0.2">
      <c r="A61" s="61" t="s">
        <v>179</v>
      </c>
      <c r="B61" s="3" t="s">
        <v>180</v>
      </c>
      <c r="C61" s="63" t="s">
        <v>46</v>
      </c>
      <c r="D61" s="63" t="s">
        <v>47</v>
      </c>
      <c r="E61" s="64">
        <f>IFERROR(0.25-INDEX($O$3:$O$13,MATCH(C61,$N$3:$N$13,0)),0.25)</f>
        <v>0.25</v>
      </c>
      <c r="F61" s="65">
        <v>0.154282351682448</v>
      </c>
      <c r="G61" s="66" t="s">
        <v>28</v>
      </c>
      <c r="H61" s="63" t="s">
        <v>160</v>
      </c>
      <c r="I61" s="63" t="s">
        <v>29</v>
      </c>
      <c r="J61" s="74">
        <v>46244</v>
      </c>
      <c r="K61" s="4"/>
    </row>
    <row r="62" spans="1:11" ht="15" customHeight="1" x14ac:dyDescent="0.2">
      <c r="A62" s="61" t="s">
        <v>84</v>
      </c>
      <c r="B62" s="3" t="s">
        <v>85</v>
      </c>
      <c r="C62" s="63" t="s">
        <v>52</v>
      </c>
      <c r="D62" s="63" t="s">
        <v>86</v>
      </c>
      <c r="E62" s="64">
        <f>IFERROR(0.25-INDEX($O$3:$O$13,MATCH(C62,$N$3:$N$13,0)),0.25)</f>
        <v>0.21579999999999999</v>
      </c>
      <c r="F62" s="65">
        <v>0.29831081298030998</v>
      </c>
      <c r="G62" s="66" t="s">
        <v>28</v>
      </c>
      <c r="H62" s="63"/>
      <c r="I62" s="63" t="s">
        <v>17</v>
      </c>
      <c r="J62" s="74">
        <v>46244</v>
      </c>
      <c r="K62" s="4"/>
    </row>
    <row r="63" spans="1:11" ht="17" x14ac:dyDescent="0.2">
      <c r="A63" s="61" t="s">
        <v>208</v>
      </c>
      <c r="B63" s="3" t="s">
        <v>209</v>
      </c>
      <c r="C63" s="63" t="s">
        <v>36</v>
      </c>
      <c r="D63" s="63" t="s">
        <v>202</v>
      </c>
      <c r="E63" s="64">
        <f>IFERROR(0.25-INDEX($O$3:$O$13,MATCH(C63,$N$3:$N$13,0)),0.25)</f>
        <v>0.25</v>
      </c>
      <c r="F63" s="65">
        <v>0.49011977724910299</v>
      </c>
      <c r="G63" s="66" t="s">
        <v>28</v>
      </c>
      <c r="H63" s="63" t="s">
        <v>189</v>
      </c>
      <c r="I63" s="63" t="s">
        <v>48</v>
      </c>
      <c r="J63" s="74">
        <v>46244</v>
      </c>
      <c r="K63" s="4" t="s">
        <v>210</v>
      </c>
    </row>
    <row r="64" spans="1:11" ht="15" customHeight="1" x14ac:dyDescent="0.2">
      <c r="A64" s="61" t="s">
        <v>183</v>
      </c>
      <c r="B64" s="3" t="s">
        <v>184</v>
      </c>
      <c r="C64" s="63" t="s">
        <v>69</v>
      </c>
      <c r="D64" s="63" t="s">
        <v>185</v>
      </c>
      <c r="E64" s="64">
        <f>IFERROR(0.25-INDEX($O$3:$O$13,MATCH(C64,$N$3:$N$13,0)),0.25)</f>
        <v>0.25</v>
      </c>
      <c r="F64" s="65">
        <v>-0.46961770623742499</v>
      </c>
      <c r="G64" s="66" t="s">
        <v>28</v>
      </c>
      <c r="H64" s="63" t="s">
        <v>160</v>
      </c>
      <c r="I64" s="63" t="s">
        <v>29</v>
      </c>
      <c r="J64" s="74">
        <v>46244</v>
      </c>
      <c r="K64" s="4"/>
    </row>
    <row r="65" spans="1:11" ht="51" x14ac:dyDescent="0.2">
      <c r="A65" s="61" t="s">
        <v>87</v>
      </c>
      <c r="B65" s="3" t="s">
        <v>88</v>
      </c>
      <c r="C65" s="63" t="s">
        <v>52</v>
      </c>
      <c r="D65" s="63" t="s">
        <v>61</v>
      </c>
      <c r="E65" s="64">
        <f>IFERROR(0.25-INDEX($O$3:$O$13,MATCH(C65,$N$3:$N$13,0)),0.25)</f>
        <v>0.21579999999999999</v>
      </c>
      <c r="F65" s="65">
        <v>-0.629893238434164</v>
      </c>
      <c r="G65" s="66" t="s">
        <v>28</v>
      </c>
      <c r="H65" s="63" t="s">
        <v>189</v>
      </c>
      <c r="I65" s="63" t="s">
        <v>48</v>
      </c>
      <c r="J65" s="74">
        <v>46244</v>
      </c>
      <c r="K65" s="4" t="s">
        <v>89</v>
      </c>
    </row>
    <row r="66" spans="1:11" ht="15" customHeight="1" x14ac:dyDescent="0.2">
      <c r="A66" s="61" t="s">
        <v>172</v>
      </c>
      <c r="B66" s="3" t="s">
        <v>173</v>
      </c>
      <c r="C66" s="63" t="s">
        <v>36</v>
      </c>
      <c r="D66" s="63" t="s">
        <v>166</v>
      </c>
      <c r="E66" s="64">
        <f>IFERROR(0.25-INDEX($O$3:$O$13,MATCH(C66,$N$3:$N$13,0)),0.25)</f>
        <v>0.25</v>
      </c>
      <c r="F66" s="65">
        <v>0.144553072625698</v>
      </c>
      <c r="G66" s="66" t="s">
        <v>28</v>
      </c>
      <c r="H66" s="63" t="s">
        <v>160</v>
      </c>
      <c r="I66" s="63" t="s">
        <v>29</v>
      </c>
      <c r="J66" s="74">
        <v>46244</v>
      </c>
      <c r="K66" s="4"/>
    </row>
  </sheetData>
  <autoFilter ref="A1:K66" xr:uid="{00000000-0009-0000-0000-000000000000}">
    <filterColumn colId="6">
      <filters>
        <filter val="Darryl"/>
      </filters>
    </filterColumn>
    <sortState xmlns:xlrd2="http://schemas.microsoft.com/office/spreadsheetml/2017/richdata2" ref="A2:K66">
      <sortCondition ref="A1:A66"/>
    </sortState>
  </autoFilter>
  <conditionalFormatting sqref="E2:E66">
    <cfRule type="cellIs" dxfId="8" priority="6" operator="between">
      <formula>0</formula>
      <formula>0.05</formula>
    </cfRule>
    <cfRule type="cellIs" dxfId="7" priority="7" operator="greaterThan">
      <formula>0.05</formula>
    </cfRule>
  </conditionalFormatting>
  <conditionalFormatting sqref="E2:F66">
    <cfRule type="cellIs" dxfId="6" priority="5" operator="lessThan">
      <formula>0</formula>
    </cfRule>
  </conditionalFormatting>
  <conditionalFormatting sqref="F2:F66">
    <cfRule type="cellIs" dxfId="5" priority="9" operator="between">
      <formula>0</formula>
      <formula>0.2</formula>
    </cfRule>
    <cfRule type="cellIs" dxfId="4" priority="10" operator="greaterThan">
      <formula>0.2</formula>
    </cfRule>
  </conditionalFormatting>
  <conditionalFormatting sqref="I2:I66">
    <cfRule type="cellIs" dxfId="3" priority="2" operator="equal">
      <formula>"Ready for Tier 1"</formula>
    </cfRule>
    <cfRule type="cellIs" dxfId="2" priority="3" operator="equal">
      <formula>"Needs Initial Screen"</formula>
    </cfRule>
    <cfRule type="cellIs" dxfId="1" priority="4" operator="equal">
      <formula>"Rejected"</formula>
    </cfRule>
  </conditionalFormatting>
  <pageMargins left="0.75" right="0.75" top="1" bottom="1" header="0.511811023622047" footer="0.511811023622047"/>
  <pageSetup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3"/>
  <sheetViews>
    <sheetView zoomScaleNormal="100" workbookViewId="0">
      <selection activeCell="V45" sqref="V45"/>
    </sheetView>
  </sheetViews>
  <sheetFormatPr baseColWidth="10" defaultColWidth="10.83203125" defaultRowHeight="16" x14ac:dyDescent="0.2"/>
  <cols>
    <col min="1" max="1" width="8.6640625" style="8" customWidth="1"/>
    <col min="2" max="2" width="6.33203125" style="8" customWidth="1"/>
    <col min="3" max="3" width="14.1640625" style="8" customWidth="1"/>
    <col min="4" max="4" width="6.33203125" style="8" customWidth="1"/>
    <col min="5" max="5" width="14" style="8" customWidth="1"/>
    <col min="6" max="6" width="6.33203125" style="8" customWidth="1"/>
    <col min="7" max="7" width="10.83203125" style="8"/>
    <col min="8" max="8" width="6.33203125" style="8" customWidth="1"/>
    <col min="9" max="9" width="6.5" style="8" customWidth="1"/>
    <col min="10" max="10" width="6.33203125" style="8" customWidth="1"/>
    <col min="11" max="11" width="8.6640625" style="8" customWidth="1"/>
    <col min="12" max="12" width="6.33203125" style="8" customWidth="1"/>
    <col min="13" max="13" width="10.33203125" style="8" customWidth="1"/>
    <col min="14" max="14" width="6.33203125" style="8" customWidth="1"/>
    <col min="15" max="15" width="9.6640625" style="8" customWidth="1"/>
    <col min="16" max="16" width="6.33203125" style="8" customWidth="1"/>
    <col min="17" max="17" width="8" style="8" customWidth="1"/>
    <col min="18" max="18" width="6.33203125" style="8" customWidth="1"/>
    <col min="19" max="19" width="10.1640625" style="8" customWidth="1"/>
    <col min="20" max="20" width="6.33203125" style="8" customWidth="1"/>
    <col min="21" max="21" width="7.5" style="8" customWidth="1"/>
    <col min="22" max="22" width="6.33203125" style="8" customWidth="1"/>
    <col min="23" max="23" width="5" style="9" customWidth="1"/>
    <col min="24" max="24" width="5.1640625" style="10" customWidth="1"/>
    <col min="25" max="25" width="3" style="10" customWidth="1"/>
    <col min="26" max="26" width="28.6640625" style="62" customWidth="1"/>
    <col min="27" max="27" width="8.6640625" customWidth="1"/>
    <col min="28" max="28" width="47.83203125" customWidth="1"/>
    <col min="29" max="16384" width="10.83203125" style="10"/>
  </cols>
  <sheetData>
    <row r="1" spans="1:28" s="12" customFormat="1" ht="16.5" customHeight="1" thickBot="1" x14ac:dyDescent="0.25">
      <c r="A1" s="75" t="s">
        <v>14</v>
      </c>
      <c r="B1" s="76" t="s">
        <v>228</v>
      </c>
      <c r="C1" s="78" t="s">
        <v>22</v>
      </c>
      <c r="D1" s="77" t="s">
        <v>228</v>
      </c>
      <c r="E1" s="75" t="s">
        <v>229</v>
      </c>
      <c r="F1" s="76" t="s">
        <v>228</v>
      </c>
      <c r="G1" s="78" t="s">
        <v>230</v>
      </c>
      <c r="H1" s="77" t="s">
        <v>228</v>
      </c>
      <c r="I1" s="75" t="s">
        <v>33</v>
      </c>
      <c r="J1" s="76" t="s">
        <v>228</v>
      </c>
      <c r="K1" s="78" t="s">
        <v>46</v>
      </c>
      <c r="L1" s="77" t="s">
        <v>228</v>
      </c>
      <c r="M1" s="75" t="s">
        <v>52</v>
      </c>
      <c r="N1" s="76" t="s">
        <v>228</v>
      </c>
      <c r="O1" s="78" t="s">
        <v>58</v>
      </c>
      <c r="P1" s="77" t="s">
        <v>228</v>
      </c>
      <c r="Q1" s="75" t="s">
        <v>62</v>
      </c>
      <c r="R1" s="76" t="s">
        <v>228</v>
      </c>
      <c r="S1" s="78" t="s">
        <v>65</v>
      </c>
      <c r="T1" s="77" t="s">
        <v>228</v>
      </c>
      <c r="U1" s="75" t="s">
        <v>69</v>
      </c>
      <c r="V1" s="76" t="s">
        <v>228</v>
      </c>
      <c r="W1" s="11" t="s">
        <v>231</v>
      </c>
      <c r="Z1" s="13" t="s">
        <v>2</v>
      </c>
      <c r="AA1" s="13" t="s">
        <v>232</v>
      </c>
      <c r="AB1" s="13" t="s">
        <v>233</v>
      </c>
    </row>
    <row r="2" spans="1:28" s="12" customFormat="1" ht="27.75" customHeight="1" thickBot="1" x14ac:dyDescent="0.25">
      <c r="A2" s="75"/>
      <c r="B2" s="76"/>
      <c r="C2" s="78"/>
      <c r="D2" s="77"/>
      <c r="E2" s="75"/>
      <c r="F2" s="76"/>
      <c r="G2" s="78"/>
      <c r="H2" s="77"/>
      <c r="I2" s="75"/>
      <c r="J2" s="76"/>
      <c r="K2" s="78"/>
      <c r="L2" s="77"/>
      <c r="M2" s="75"/>
      <c r="N2" s="76"/>
      <c r="O2" s="78"/>
      <c r="P2" s="77"/>
      <c r="Q2" s="75"/>
      <c r="R2" s="76"/>
      <c r="S2" s="78"/>
      <c r="T2" s="77"/>
      <c r="U2" s="75"/>
      <c r="V2" s="76"/>
      <c r="W2" s="14">
        <f>SUM(A16,C16,E16,G16,I16,K16,M16,O16,Q16,S16,U16)</f>
        <v>55</v>
      </c>
      <c r="X2" s="15">
        <f>W2/W2</f>
        <v>1</v>
      </c>
      <c r="Z2" s="84" t="s">
        <v>14</v>
      </c>
      <c r="AA2" s="17">
        <v>3</v>
      </c>
      <c r="AB2" s="16" t="s">
        <v>234</v>
      </c>
    </row>
    <row r="3" spans="1:28" s="12" customFormat="1" ht="16.5" customHeight="1" x14ac:dyDescent="0.2">
      <c r="A3" s="18" t="s">
        <v>186</v>
      </c>
      <c r="B3" s="19" t="s">
        <v>189</v>
      </c>
      <c r="C3" s="20" t="s">
        <v>193</v>
      </c>
      <c r="D3" s="21" t="s">
        <v>189</v>
      </c>
      <c r="E3" s="22"/>
      <c r="F3" s="23" t="s">
        <v>235</v>
      </c>
      <c r="G3" s="20" t="s">
        <v>211</v>
      </c>
      <c r="H3" s="21" t="s">
        <v>189</v>
      </c>
      <c r="I3" s="18" t="s">
        <v>219</v>
      </c>
      <c r="J3" s="19" t="s">
        <v>189</v>
      </c>
      <c r="K3" s="20" t="s">
        <v>44</v>
      </c>
      <c r="L3" s="21" t="s">
        <v>189</v>
      </c>
      <c r="M3" s="71" t="s">
        <v>50</v>
      </c>
      <c r="N3" s="72" t="s">
        <v>160</v>
      </c>
      <c r="O3" s="20" t="s">
        <v>90</v>
      </c>
      <c r="P3" s="21"/>
      <c r="Q3" s="18" t="s">
        <v>123</v>
      </c>
      <c r="R3" s="19" t="s">
        <v>189</v>
      </c>
      <c r="S3" s="79" t="s">
        <v>131</v>
      </c>
      <c r="T3" s="73"/>
      <c r="U3" s="18" t="s">
        <v>226</v>
      </c>
      <c r="V3" s="19" t="s">
        <v>189</v>
      </c>
      <c r="W3" s="24"/>
      <c r="Z3" s="84" t="s">
        <v>22</v>
      </c>
      <c r="AA3" s="17">
        <v>2</v>
      </c>
      <c r="AB3" s="16" t="s">
        <v>236</v>
      </c>
    </row>
    <row r="4" spans="1:28" ht="16.5" customHeight="1" x14ac:dyDescent="0.2">
      <c r="A4" s="25" t="s">
        <v>190</v>
      </c>
      <c r="B4" s="26" t="s">
        <v>189</v>
      </c>
      <c r="C4" s="57" t="s">
        <v>161</v>
      </c>
      <c r="D4" s="58" t="s">
        <v>160</v>
      </c>
      <c r="E4" s="29" t="s">
        <v>164</v>
      </c>
      <c r="F4" s="30" t="s">
        <v>160</v>
      </c>
      <c r="G4" s="27" t="s">
        <v>214</v>
      </c>
      <c r="H4" s="21" t="s">
        <v>189</v>
      </c>
      <c r="I4" s="29" t="s">
        <v>177</v>
      </c>
      <c r="J4" s="30" t="s">
        <v>160</v>
      </c>
      <c r="K4" s="29" t="s">
        <v>179</v>
      </c>
      <c r="L4" s="31" t="s">
        <v>160</v>
      </c>
      <c r="M4" s="25" t="s">
        <v>55</v>
      </c>
      <c r="N4" s="26"/>
      <c r="O4" s="27" t="s">
        <v>97</v>
      </c>
      <c r="P4" s="28" t="s">
        <v>189</v>
      </c>
      <c r="Q4" s="25" t="s">
        <v>127</v>
      </c>
      <c r="R4" s="26"/>
      <c r="S4" s="27" t="s">
        <v>144</v>
      </c>
      <c r="T4" s="28"/>
      <c r="U4" s="29" t="s">
        <v>183</v>
      </c>
      <c r="V4" s="31" t="s">
        <v>160</v>
      </c>
      <c r="Z4" s="84" t="s">
        <v>237</v>
      </c>
      <c r="AA4" s="17">
        <v>10</v>
      </c>
      <c r="AB4" s="16" t="s">
        <v>238</v>
      </c>
    </row>
    <row r="5" spans="1:28" ht="16.5" customHeight="1" x14ac:dyDescent="0.2">
      <c r="A5" s="29" t="s">
        <v>157</v>
      </c>
      <c r="B5" s="30" t="s">
        <v>160</v>
      </c>
      <c r="C5" s="57" t="s">
        <v>25</v>
      </c>
      <c r="D5" s="58" t="s">
        <v>160</v>
      </c>
      <c r="E5" s="29" t="s">
        <v>239</v>
      </c>
      <c r="F5" s="30" t="s">
        <v>160</v>
      </c>
      <c r="G5" s="27" t="s">
        <v>216</v>
      </c>
      <c r="H5" s="21" t="s">
        <v>189</v>
      </c>
      <c r="I5" s="25" t="s">
        <v>222</v>
      </c>
      <c r="J5" s="26" t="s">
        <v>189</v>
      </c>
      <c r="K5" s="27"/>
      <c r="L5" s="28"/>
      <c r="M5" s="25" t="s">
        <v>59</v>
      </c>
      <c r="N5" s="26"/>
      <c r="O5" s="27" t="s">
        <v>105</v>
      </c>
      <c r="P5" s="28"/>
      <c r="Q5" s="25"/>
      <c r="R5" s="26"/>
      <c r="S5" s="27" t="s">
        <v>149</v>
      </c>
      <c r="T5" s="28"/>
      <c r="U5" s="25"/>
      <c r="V5" s="26"/>
      <c r="Z5" s="84" t="s">
        <v>240</v>
      </c>
      <c r="AA5" s="17">
        <v>4</v>
      </c>
      <c r="AB5" s="16" t="s">
        <v>241</v>
      </c>
    </row>
    <row r="6" spans="1:28" ht="15.75" customHeight="1" x14ac:dyDescent="0.2">
      <c r="A6" s="25"/>
      <c r="B6" s="26"/>
      <c r="C6" s="27"/>
      <c r="D6" s="28"/>
      <c r="E6" s="25" t="s">
        <v>242</v>
      </c>
      <c r="F6" s="26" t="s">
        <v>189</v>
      </c>
      <c r="G6" s="29" t="s">
        <v>174</v>
      </c>
      <c r="H6" s="31" t="s">
        <v>160</v>
      </c>
      <c r="I6" s="25" t="s">
        <v>224</v>
      </c>
      <c r="J6" s="26" t="s">
        <v>189</v>
      </c>
      <c r="K6" s="27"/>
      <c r="L6" s="28"/>
      <c r="M6" s="25" t="s">
        <v>63</v>
      </c>
      <c r="N6" s="26"/>
      <c r="O6" s="27" t="s">
        <v>108</v>
      </c>
      <c r="P6" s="28"/>
      <c r="Q6" s="25"/>
      <c r="R6" s="26"/>
      <c r="S6" s="29" t="s">
        <v>181</v>
      </c>
      <c r="T6" s="31" t="s">
        <v>160</v>
      </c>
      <c r="U6" s="25"/>
      <c r="V6" s="26"/>
      <c r="Z6" s="84" t="s">
        <v>33</v>
      </c>
      <c r="AA6" s="17">
        <v>6</v>
      </c>
      <c r="AB6" s="16" t="s">
        <v>243</v>
      </c>
    </row>
    <row r="7" spans="1:28" ht="15.75" customHeight="1" x14ac:dyDescent="0.2">
      <c r="A7" s="25"/>
      <c r="B7" s="26"/>
      <c r="C7" s="27"/>
      <c r="D7" s="28"/>
      <c r="E7" s="32" t="s">
        <v>244</v>
      </c>
      <c r="F7" s="33" t="s">
        <v>160</v>
      </c>
      <c r="G7" s="27"/>
      <c r="H7" s="28"/>
      <c r="I7" s="25" t="s">
        <v>37</v>
      </c>
      <c r="J7" s="26"/>
      <c r="K7" s="27"/>
      <c r="L7" s="28"/>
      <c r="M7" s="25" t="s">
        <v>66</v>
      </c>
      <c r="N7" s="26"/>
      <c r="O7" s="27" t="s">
        <v>111</v>
      </c>
      <c r="P7" s="28"/>
      <c r="Q7" s="25"/>
      <c r="R7" s="26"/>
      <c r="S7" s="27" t="s">
        <v>155</v>
      </c>
      <c r="T7" s="28"/>
      <c r="U7" s="25"/>
      <c r="V7" s="26"/>
      <c r="Z7" s="84" t="s">
        <v>46</v>
      </c>
      <c r="AA7" s="17">
        <v>2</v>
      </c>
      <c r="AB7" s="16" t="s">
        <v>245</v>
      </c>
    </row>
    <row r="8" spans="1:28" ht="16.5" customHeight="1" thickBot="1" x14ac:dyDescent="0.25">
      <c r="A8" s="25"/>
      <c r="B8" s="26"/>
      <c r="C8" s="27"/>
      <c r="D8" s="28"/>
      <c r="E8" s="34"/>
      <c r="F8" s="35" t="s">
        <v>246</v>
      </c>
      <c r="G8" s="27"/>
      <c r="H8" s="28"/>
      <c r="I8" s="69" t="s">
        <v>41</v>
      </c>
      <c r="J8" s="70" t="s">
        <v>160</v>
      </c>
      <c r="K8" s="27"/>
      <c r="L8" s="28"/>
      <c r="M8" s="25" t="s">
        <v>74</v>
      </c>
      <c r="N8" s="26"/>
      <c r="O8" s="27" t="s">
        <v>114</v>
      </c>
      <c r="P8" s="28"/>
      <c r="Q8" s="25"/>
      <c r="R8" s="26"/>
      <c r="S8" s="27"/>
      <c r="T8" s="28"/>
      <c r="U8" s="25"/>
      <c r="V8" s="26"/>
      <c r="Z8" s="84" t="s">
        <v>52</v>
      </c>
      <c r="AA8" s="17">
        <v>9</v>
      </c>
      <c r="AB8" s="16" t="s">
        <v>247</v>
      </c>
    </row>
    <row r="9" spans="1:28" ht="15.75" customHeight="1" x14ac:dyDescent="0.2">
      <c r="A9" s="25"/>
      <c r="B9" s="26"/>
      <c r="C9" s="27"/>
      <c r="D9" s="28"/>
      <c r="E9" s="36" t="s">
        <v>203</v>
      </c>
      <c r="F9" s="37" t="s">
        <v>189</v>
      </c>
      <c r="G9" s="27"/>
      <c r="H9" s="28"/>
      <c r="I9" s="25"/>
      <c r="J9" s="26"/>
      <c r="K9" s="27"/>
      <c r="L9" s="28"/>
      <c r="M9" s="25" t="s">
        <v>76</v>
      </c>
      <c r="N9" s="26" t="s">
        <v>189</v>
      </c>
      <c r="O9" s="27" t="s">
        <v>117</v>
      </c>
      <c r="P9" s="28"/>
      <c r="Q9" s="25"/>
      <c r="R9" s="26"/>
      <c r="S9" s="27"/>
      <c r="T9" s="28"/>
      <c r="U9" s="25"/>
      <c r="V9" s="26"/>
      <c r="Z9" s="84" t="s">
        <v>58</v>
      </c>
      <c r="AA9" s="17">
        <v>8</v>
      </c>
      <c r="AB9" s="16" t="s">
        <v>248</v>
      </c>
    </row>
    <row r="10" spans="1:28" ht="15.75" customHeight="1" x14ac:dyDescent="0.2">
      <c r="A10" s="25"/>
      <c r="B10" s="26"/>
      <c r="C10" s="27"/>
      <c r="D10" s="28"/>
      <c r="E10" s="25" t="s">
        <v>249</v>
      </c>
      <c r="F10" s="37" t="s">
        <v>250</v>
      </c>
      <c r="G10" s="27"/>
      <c r="H10" s="28"/>
      <c r="I10" s="25"/>
      <c r="J10" s="26"/>
      <c r="K10" s="27"/>
      <c r="L10" s="28"/>
      <c r="M10" s="59" t="s">
        <v>79</v>
      </c>
      <c r="N10" s="60"/>
      <c r="O10" s="27" t="s">
        <v>120</v>
      </c>
      <c r="P10" s="28" t="s">
        <v>189</v>
      </c>
      <c r="Q10" s="25"/>
      <c r="R10" s="26"/>
      <c r="S10" s="27"/>
      <c r="T10" s="28"/>
      <c r="U10" s="25"/>
      <c r="V10" s="26"/>
      <c r="Z10" s="84" t="s">
        <v>62</v>
      </c>
      <c r="AA10" s="17">
        <v>2</v>
      </c>
      <c r="AB10" s="16" t="s">
        <v>251</v>
      </c>
    </row>
    <row r="11" spans="1:28" ht="15.75" customHeight="1" x14ac:dyDescent="0.2">
      <c r="A11" s="25"/>
      <c r="B11" s="26"/>
      <c r="C11" s="27"/>
      <c r="D11" s="28"/>
      <c r="E11" s="25" t="s">
        <v>252</v>
      </c>
      <c r="F11" s="37" t="s">
        <v>189</v>
      </c>
      <c r="G11" s="27"/>
      <c r="H11" s="28"/>
      <c r="I11" s="25"/>
      <c r="J11" s="26"/>
      <c r="K11" s="27"/>
      <c r="L11" s="28"/>
      <c r="M11" s="25" t="s">
        <v>84</v>
      </c>
      <c r="N11" s="26"/>
      <c r="O11" s="27"/>
      <c r="P11" s="28"/>
      <c r="Q11" s="25"/>
      <c r="R11" s="26"/>
      <c r="S11" s="27"/>
      <c r="T11" s="28"/>
      <c r="U11" s="25"/>
      <c r="V11" s="26"/>
      <c r="Z11" s="84" t="s">
        <v>65</v>
      </c>
      <c r="AA11" s="17">
        <v>5</v>
      </c>
      <c r="AB11" s="16" t="s">
        <v>253</v>
      </c>
    </row>
    <row r="12" spans="1:28" ht="16.5" customHeight="1" thickBot="1" x14ac:dyDescent="0.25">
      <c r="A12" s="25"/>
      <c r="B12" s="26"/>
      <c r="C12" s="27"/>
      <c r="D12" s="28"/>
      <c r="E12" s="34"/>
      <c r="F12" s="38" t="s">
        <v>254</v>
      </c>
      <c r="G12" s="27"/>
      <c r="H12" s="28"/>
      <c r="I12" s="25"/>
      <c r="J12" s="26"/>
      <c r="K12" s="27"/>
      <c r="L12" s="28"/>
      <c r="M12" s="25" t="s">
        <v>87</v>
      </c>
      <c r="N12" s="26" t="s">
        <v>189</v>
      </c>
      <c r="O12" s="27"/>
      <c r="P12" s="28"/>
      <c r="Q12" s="25"/>
      <c r="R12" s="26"/>
      <c r="S12" s="27"/>
      <c r="T12" s="28"/>
      <c r="U12" s="25"/>
      <c r="V12" s="26"/>
      <c r="Z12" s="84" t="s">
        <v>69</v>
      </c>
      <c r="AA12" s="17">
        <v>2</v>
      </c>
      <c r="AB12" s="16" t="s">
        <v>255</v>
      </c>
    </row>
    <row r="13" spans="1:28" ht="15.75" customHeight="1" x14ac:dyDescent="0.2">
      <c r="A13" s="25"/>
      <c r="B13" s="26"/>
      <c r="C13" s="27"/>
      <c r="D13" s="28"/>
      <c r="E13" s="36" t="s">
        <v>195</v>
      </c>
      <c r="F13" s="37" t="s">
        <v>189</v>
      </c>
      <c r="G13" s="27"/>
      <c r="H13" s="28"/>
      <c r="I13" s="25"/>
      <c r="J13" s="26"/>
      <c r="K13" s="27"/>
      <c r="L13" s="28"/>
      <c r="M13" s="25"/>
      <c r="N13" s="26"/>
      <c r="O13" s="27"/>
      <c r="P13" s="28"/>
      <c r="Q13" s="25"/>
      <c r="R13" s="26"/>
      <c r="S13" s="27"/>
      <c r="T13" s="28"/>
      <c r="U13" s="25"/>
      <c r="V13" s="26"/>
      <c r="Z13" s="85" t="s">
        <v>256</v>
      </c>
      <c r="AA13" s="40">
        <v>1</v>
      </c>
      <c r="AB13" s="39" t="s">
        <v>257</v>
      </c>
    </row>
    <row r="14" spans="1:28" ht="15.75" customHeight="1" x14ac:dyDescent="0.2">
      <c r="A14" s="25"/>
      <c r="B14" s="26"/>
      <c r="C14" s="27"/>
      <c r="D14" s="28"/>
      <c r="E14" s="25" t="s">
        <v>258</v>
      </c>
      <c r="F14" s="26" t="s">
        <v>189</v>
      </c>
      <c r="G14" s="27"/>
      <c r="H14" s="28"/>
      <c r="I14" s="25"/>
      <c r="J14" s="26"/>
      <c r="K14" s="27"/>
      <c r="L14" s="28"/>
      <c r="M14" s="25"/>
      <c r="N14" s="26"/>
      <c r="O14" s="27"/>
      <c r="P14" s="28"/>
      <c r="Q14" s="25"/>
      <c r="R14" s="26"/>
      <c r="S14" s="27"/>
      <c r="T14" s="28"/>
      <c r="U14" s="25"/>
      <c r="V14" s="26"/>
    </row>
    <row r="15" spans="1:28" ht="16.5" customHeight="1" thickBot="1" x14ac:dyDescent="0.25">
      <c r="A15" s="41"/>
      <c r="B15" s="42"/>
      <c r="C15" s="43"/>
      <c r="D15" s="44"/>
      <c r="E15" s="45" t="s">
        <v>259</v>
      </c>
      <c r="F15" s="46" t="s">
        <v>160</v>
      </c>
      <c r="G15" s="43"/>
      <c r="H15" s="44"/>
      <c r="I15" s="41"/>
      <c r="J15" s="42"/>
      <c r="K15" s="43"/>
      <c r="L15" s="44"/>
      <c r="M15" s="41"/>
      <c r="N15" s="42"/>
      <c r="O15" s="43"/>
      <c r="P15" s="44"/>
      <c r="Q15" s="41"/>
      <c r="R15" s="42"/>
      <c r="S15" s="43"/>
      <c r="T15" s="44"/>
      <c r="U15" s="41"/>
      <c r="V15" s="42"/>
    </row>
    <row r="16" spans="1:28" s="47" customFormat="1" ht="16.5" customHeight="1" x14ac:dyDescent="0.2">
      <c r="A16" s="9">
        <f>COUNTA(A3:A15)</f>
        <v>3</v>
      </c>
      <c r="C16" s="9">
        <f>COUNTA(C3:C15)</f>
        <v>3</v>
      </c>
      <c r="E16" s="9">
        <f>COUNTA(E3:E15)</f>
        <v>10</v>
      </c>
      <c r="G16" s="9">
        <f>COUNTA(G3:G15)</f>
        <v>4</v>
      </c>
      <c r="I16" s="9">
        <f>COUNTA(I3:I15)</f>
        <v>6</v>
      </c>
      <c r="K16" s="9">
        <f>COUNTA(K3:K15)</f>
        <v>2</v>
      </c>
      <c r="M16" s="9">
        <f>COUNTA(M3:M15)</f>
        <v>10</v>
      </c>
      <c r="O16" s="9">
        <f>COUNTA(O3:O15)</f>
        <v>8</v>
      </c>
      <c r="Q16" s="9">
        <f>COUNTA(Q3:Q15)</f>
        <v>2</v>
      </c>
      <c r="S16" s="9">
        <f>COUNTA(S3:S15)</f>
        <v>5</v>
      </c>
      <c r="U16" s="9">
        <f>COUNTA(U3:U15)</f>
        <v>2</v>
      </c>
      <c r="Z16" s="9"/>
    </row>
    <row r="17" spans="1:24" ht="16.5" customHeight="1" thickBot="1" x14ac:dyDescent="0.25">
      <c r="A17" s="83" t="s">
        <v>267</v>
      </c>
      <c r="B17" s="48">
        <f>COUNTA(B3:B15)</f>
        <v>3</v>
      </c>
      <c r="D17" s="48">
        <f>COUNTA(D3:D15)</f>
        <v>3</v>
      </c>
      <c r="F17" s="48">
        <f>COUNTA(F4:F7,F9:F11,F13:F15)</f>
        <v>10</v>
      </c>
      <c r="G17" s="48"/>
      <c r="H17" s="48">
        <f>COUNTA(H3:H15)</f>
        <v>4</v>
      </c>
      <c r="I17" s="48"/>
      <c r="J17" s="48">
        <f>COUNTA(J3:J15)</f>
        <v>5</v>
      </c>
      <c r="K17" s="48"/>
      <c r="L17" s="48">
        <f>COUNTA(L3:L15)</f>
        <v>2</v>
      </c>
      <c r="M17" s="48"/>
      <c r="N17" s="48">
        <f>COUNTA(N3:N15)</f>
        <v>3</v>
      </c>
      <c r="O17" s="48"/>
      <c r="P17" s="48">
        <f>COUNTA(P3:P15)</f>
        <v>2</v>
      </c>
      <c r="Q17" s="48"/>
      <c r="R17" s="48">
        <f>COUNTA(R3:R15)</f>
        <v>1</v>
      </c>
      <c r="S17" s="48"/>
      <c r="T17" s="48">
        <f>COUNTA(T3:T15)</f>
        <v>1</v>
      </c>
      <c r="U17" s="48"/>
      <c r="V17" s="48">
        <f>COUNTA(V3:V15)</f>
        <v>2</v>
      </c>
      <c r="W17" s="14">
        <f>SUM(B17,D17,F17,H17,J17,L17,N17,P17,R17,T17,V17)</f>
        <v>36</v>
      </c>
      <c r="X17" s="15">
        <f>W17/W2</f>
        <v>0.65454545454545454</v>
      </c>
    </row>
    <row r="18" spans="1:24" ht="15.75" customHeight="1" x14ac:dyDescent="0.2">
      <c r="A18" s="48"/>
      <c r="B18" s="49">
        <f>B17/A16</f>
        <v>1</v>
      </c>
      <c r="C18" s="48"/>
      <c r="D18" s="49">
        <f>D17/C16</f>
        <v>1</v>
      </c>
      <c r="E18" s="48"/>
      <c r="F18" s="49">
        <f>F17/E16</f>
        <v>1</v>
      </c>
      <c r="H18" s="49">
        <f>H17/G16</f>
        <v>1</v>
      </c>
      <c r="J18" s="49">
        <f>J17/I16</f>
        <v>0.83333333333333337</v>
      </c>
      <c r="L18" s="49">
        <f>L17/K16</f>
        <v>1</v>
      </c>
      <c r="N18" s="49">
        <f>N17/M16</f>
        <v>0.3</v>
      </c>
      <c r="P18" s="49">
        <f>P17/O16</f>
        <v>0.25</v>
      </c>
      <c r="R18" s="49">
        <f>R17/Q16</f>
        <v>0.5</v>
      </c>
      <c r="T18" s="49">
        <f>T17/S16</f>
        <v>0.2</v>
      </c>
      <c r="V18" s="49">
        <f>V17/U16</f>
        <v>1</v>
      </c>
    </row>
    <row r="19" spans="1:24" ht="15.75" customHeight="1" thickBot="1" x14ac:dyDescent="0.25">
      <c r="A19" s="82" t="s">
        <v>268</v>
      </c>
      <c r="B19" s="8">
        <f>A16-B17</f>
        <v>0</v>
      </c>
      <c r="D19" s="8">
        <f>C16-D17</f>
        <v>0</v>
      </c>
      <c r="F19" s="8">
        <f>E16-F17</f>
        <v>0</v>
      </c>
      <c r="H19" s="8">
        <f>G16-H17</f>
        <v>0</v>
      </c>
      <c r="J19" s="8">
        <f>I16-J17</f>
        <v>1</v>
      </c>
      <c r="L19" s="8">
        <f>K16-L17</f>
        <v>0</v>
      </c>
      <c r="N19" s="8">
        <f>M16-N17</f>
        <v>7</v>
      </c>
      <c r="P19" s="8">
        <f>O16-P17</f>
        <v>6</v>
      </c>
      <c r="R19" s="8">
        <f>Q16-R17</f>
        <v>1</v>
      </c>
      <c r="T19" s="8">
        <f>S16-T17</f>
        <v>4</v>
      </c>
      <c r="W19" s="14">
        <f>SUM(B19,D19,F19,H19,J19,L19,N19,P19,R19,T19,V19)</f>
        <v>19</v>
      </c>
      <c r="X19" s="81">
        <f>W19/W2</f>
        <v>0.34545454545454546</v>
      </c>
    </row>
    <row r="20" spans="1:24" ht="16.5" customHeight="1" x14ac:dyDescent="0.2">
      <c r="E20" s="8" t="s">
        <v>261</v>
      </c>
      <c r="V20" s="51" t="s">
        <v>262</v>
      </c>
      <c r="W20" s="52">
        <f>COUNTIF($A$1:$V$15,"PASS")</f>
        <v>14</v>
      </c>
      <c r="X20" s="80">
        <f>W20/W2</f>
        <v>0.25454545454545452</v>
      </c>
    </row>
    <row r="21" spans="1:24" ht="16.5" customHeight="1" thickBot="1" x14ac:dyDescent="0.25">
      <c r="V21" s="51" t="s">
        <v>263</v>
      </c>
      <c r="W21" s="53">
        <f>COUNTIF($A$1:$V$15,"Avoid")</f>
        <v>21</v>
      </c>
      <c r="X21" s="54">
        <f>W21/W2</f>
        <v>0.38181818181818183</v>
      </c>
    </row>
    <row r="22" spans="1:24" ht="16.5" customHeight="1" thickBot="1" x14ac:dyDescent="0.25">
      <c r="V22" s="51" t="s">
        <v>264</v>
      </c>
      <c r="W22" s="55">
        <f>SUM(W20:W21)</f>
        <v>35</v>
      </c>
      <c r="X22" s="56">
        <f>W22/W2</f>
        <v>0.63636363636363635</v>
      </c>
    </row>
    <row r="23" spans="1:24" ht="16.5" customHeight="1" thickTop="1" x14ac:dyDescent="0.2">
      <c r="E23" s="50" t="s">
        <v>260</v>
      </c>
    </row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U1:U2"/>
    <mergeCell ref="V1:V2"/>
    <mergeCell ref="P1:P2"/>
    <mergeCell ref="Q1:Q2"/>
    <mergeCell ref="R1:R2"/>
    <mergeCell ref="S1:S2"/>
    <mergeCell ref="T1:T2"/>
  </mergeCells>
  <pageMargins left="0.75" right="0.75" top="1" bottom="1" header="0.511811023622047" footer="0.511811023622047"/>
  <pageSetup scale="60" orientation="landscape" horizontalDpi="300" verticalDpi="300"/>
  <colBreaks count="1" manualBreakCount="1">
    <brk id="24" max="1048575" man="1"/>
  </colBreak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Screen_Candidates</vt:lpstr>
      <vt:lpstr>Darryl_List_Candidates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Landry</dc:creator>
  <dc:description/>
  <cp:lastModifiedBy>Alan Landry</cp:lastModifiedBy>
  <cp:revision>0</cp:revision>
  <dcterms:created xsi:type="dcterms:W3CDTF">2026-08-10T18:13:39Z</dcterms:created>
  <dcterms:modified xsi:type="dcterms:W3CDTF">2026-09-30T22:35:22Z</dcterms:modified>
  <dc:language>en-US</dc:language>
</cp:coreProperties>
</file>