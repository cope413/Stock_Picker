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een_Candidates" sheetId="1" state="visible" r:id="rId3"/>
    <sheet name="Darryl_List_Candidates" sheetId="2" state="visible" r:id="rId4"/>
  </sheets>
  <definedNames>
    <definedName function="false" hidden="true" localSheetId="0" name="_xlnm._FilterDatabase" vbProcedure="false">Screen_Candidates!$A$1:$K$66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Claude</author>
  </authors>
  <commentList>
    <comment ref="E1" authorId="0">
      <text>
        <r>
          <rPr>
            <sz val="10"/>
            <rFont val="Arial"/>
            <family val="2"/>
          </rPr>
          <t xml:space="preserve">Room left under Part 5's Hard Rule ("No single sector shall exceed 25% of portfolio") before adding a position in this sector would breach the cap. Negative = sector is already over cap.
Pulled from the Sector Exposure reference table (cols N:O) -- refresh that table at each tranche review from Current Positions.</t>
        </r>
      </text>
    </comment>
    <comment ref="F1" authorId="0">
      <text>
        <r>
          <rPr>
            <sz val="10"/>
            <rFont val="Arial"/>
            <family val="2"/>
          </rPr>
          <t xml:space="preserve">YoY growth in Free Cash Flow (Operating Cash Flow - CapEx), most recent fiscal year vs. prior fiscal year, per yfinance's annual cash flow statement as of 8/30/26.
This is a different window than Alan's 8/30/26 momentum research (which used TTM figures for some names and 3-year CAGR for others) -- treat this as the workbook's own consistent, comparable metric across all candidates, not a reproduction of any single external screen.
Extreme values usually mean a small or negative prior-year base -- see Notes for flagged cases.</t>
        </r>
      </text>
    </comment>
    <comment ref="H1" authorId="0">
      <text>
        <r>
          <rPr>
            <sz val="10"/>
            <rFont val="Arial"/>
            <family val="2"/>
          </rPr>
          <t xml:space="preserve">Alan/Darryl's original quick PASS/Avoid screen -- an informal heuristic, not the System's formal Tier 1 (the 5-indicator weighted score in the Scoring tab). Blank = not yet screened.</t>
        </r>
      </text>
    </comment>
    <comment ref="I1" authorId="0">
      <text>
        <r>
          <rPr>
            <sz val="10"/>
            <rFont val="Arial"/>
            <family val="2"/>
          </rPr>
          <t xml:space="preserve">Needs Initial Screen = not yet run through Initial Screen.
Ready for Tier 1 = passed Initial Screen, queued for the System's real Tier 1 scoring in the Scoring tab.
Rejected = failed Initial Screen.</t>
        </r>
      </text>
    </comment>
  </commentList>
</comments>
</file>

<file path=xl/sharedStrings.xml><?xml version="1.0" encoding="utf-8"?>
<sst xmlns="http://schemas.openxmlformats.org/spreadsheetml/2006/main" count="638" uniqueCount="273">
  <si>
    <t xml:space="preserve">Ticker</t>
  </si>
  <si>
    <t xml:space="preserve">Company</t>
  </si>
  <si>
    <t xml:space="preserve">Sector</t>
  </si>
  <si>
    <t xml:space="preserve">Industry</t>
  </si>
  <si>
    <t xml:space="preserve">Sector Cap
Headroom</t>
  </si>
  <si>
    <t xml:space="preserve">FCF Growth
(YoY)</t>
  </si>
  <si>
    <t xml:space="preserve">Source</t>
  </si>
  <si>
    <t xml:space="preserve">Initial Screen</t>
  </si>
  <si>
    <t xml:space="preserve">Status</t>
  </si>
  <si>
    <t xml:space="preserve">Date Added</t>
  </si>
  <si>
    <t xml:space="preserve">Notes</t>
  </si>
  <si>
    <t xml:space="preserve">Sector Exposure Reference (% of Combined Portfolio, as of 08/30/2026 -- refresh at each tranche review)</t>
  </si>
  <si>
    <t xml:space="preserve">AAP</t>
  </si>
  <si>
    <t xml:space="preserve">Advance Auto Parts, Inc.</t>
  </si>
  <si>
    <t xml:space="preserve">Consumer Cyclical</t>
  </si>
  <si>
    <t xml:space="preserve">Auto Parts</t>
  </si>
  <si>
    <t xml:space="preserve">Darryl</t>
  </si>
  <si>
    <t xml:space="preserve">Avoid</t>
  </si>
  <si>
    <t xml:space="preserve">Rejected</t>
  </si>
  <si>
    <t xml:space="preserve">FCF losses deepened substantially year over year in real dollar terms -- genuine deterioration, not a data artifact.</t>
  </si>
  <si>
    <t xml:space="preserve">Current %</t>
  </si>
  <si>
    <t xml:space="preserve">ABT</t>
  </si>
  <si>
    <t xml:space="preserve">Abbott Laboratories</t>
  </si>
  <si>
    <t xml:space="preserve">Healthcare</t>
  </si>
  <si>
    <t xml:space="preserve">Medical Devices</t>
  </si>
  <si>
    <t xml:space="preserve">PASS</t>
  </si>
  <si>
    <t xml:space="preserve">Ready for Tier 1</t>
  </si>
  <si>
    <t xml:space="preserve">Full Tier 1-3 scored 9/13/26: Composite 70.8, BUY. See Journal, Scoring row 49.</t>
  </si>
  <si>
    <t xml:space="preserve">Basic Materials</t>
  </si>
  <si>
    <t xml:space="preserve">ACN</t>
  </si>
  <si>
    <t xml:space="preserve">Accenture plc</t>
  </si>
  <si>
    <t xml:space="preserve">Technology</t>
  </si>
  <si>
    <t xml:space="preserve">Information Technology Services</t>
  </si>
  <si>
    <t xml:space="preserve">Watch - Pending Earnings</t>
  </si>
  <si>
    <t xml:space="preserve">Initial quant Tier 1 screen 9/30/26: ~2.875 quant-only (marginal -- dragged down almost entirely by relative_strength=1, blended -34.7% vs SPY; otherwise fine -- fcf_yield 4, valuation 4 discount, margin stable 3). A Fidelity info-tab scan (new practice, see Journal 9/30/26) shows the opposite sentiment: Equity Summary Score Very Bullish (9.4/10), positive news flow (UBS: on pace to more than double bookings), P/E ~40% of the IT-services industry average. GAAP EPS (TTM) and P/E both show '--' (likely a large one-time charge -- the adjusted quarterly EPS chart looks normal with consistent beats). Reports Q4 earnings 10/1/26 -- the next trading day as of this screen. Alan's call: hold open, no score or further screening until after that print -- anything decided today would be immediately overtaken. See Journal row 69.</t>
  </si>
  <si>
    <t xml:space="preserve">Communication Services</t>
  </si>
  <si>
    <t xml:space="preserve">AGI</t>
  </si>
  <si>
    <t xml:space="preserve">Alamos Gold Inc.</t>
  </si>
  <si>
    <t xml:space="preserve">Gold</t>
  </si>
  <si>
    <t xml:space="preserve">Momentum/FCF screen 8-30-26</t>
  </si>
  <si>
    <t xml:space="preserve">Needs Initial Screen</t>
  </si>
  <si>
    <t xml:space="preserve">FCF growth ~84% (Alamos Gold). Strong gold-price momentum and expanding mine-level cash generation. Diversification fit -- zero current Basic Materials exposure. (Momentum/FCF screen, 8/30/26)</t>
  </si>
  <si>
    <t xml:space="preserve">ALAB</t>
  </si>
  <si>
    <t xml:space="preserve">Astera Labs, Inc.</t>
  </si>
  <si>
    <t xml:space="preserve">Semiconductors</t>
  </si>
  <si>
    <t xml:space="preserve">3-yr FCF growth &gt;26% (Astera Labs). Very high growth and favorable cash trajectory, but shortest operating history and highest valuation risk. Alan flagged as highest-risk/highest-beta. CAUTION: Technology sector already over cap -- lower priority this tranche. (Momentum/FCF screen, 8/30/26)</t>
  </si>
  <si>
    <t xml:space="preserve">Consumer Defensive</t>
  </si>
  <si>
    <t xml:space="preserve">APH</t>
  </si>
  <si>
    <t xml:space="preserve">Amphenol Corporation</t>
  </si>
  <si>
    <t xml:space="preserve">Electronic Components</t>
  </si>
  <si>
    <t xml:space="preserve">3-yr FCF growth &gt;26% (Amphenol). Broad AI, aerospace and connectivity exposure with consistent cash generation. CAUTION: Technology sector is already over the 25% cap -- lower priority this tranche. (Momentum/FCF screen, 8/30/26) Genuine large-dollar FCF increase, not a small-base artifact -- still worth confirming it isn't boosted by one-time items (M&amp;A, litigation proceeds, etc.) before treating as a repeatable trend.</t>
  </si>
  <si>
    <t xml:space="preserve">Energy</t>
  </si>
  <si>
    <t xml:space="preserve">APP</t>
  </si>
  <si>
    <t xml:space="preserve">AppLovin Corporation</t>
  </si>
  <si>
    <t xml:space="preserve">Advertising Agencies</t>
  </si>
  <si>
    <t xml:space="preserve">FCF growth ~72%, margin &gt;70% (AppLovin). One of the strongest combos of price momentum, FCF growth and margin. Diversification fit -- zero current Communication Services exposure. (Momentum/FCF screen, 8/30/26)</t>
  </si>
  <si>
    <t xml:space="preserve">Financial Services</t>
  </si>
  <si>
    <t xml:space="preserve">AZN</t>
  </si>
  <si>
    <t xml:space="preserve">AstraZeneca PLC</t>
  </si>
  <si>
    <t xml:space="preserve">Drug Manufacturers - General</t>
  </si>
  <si>
    <t xml:space="preserve">Initial quant Tier 1 screen 10/1/26: ~3.44 quant-only (solid -- fcf_yield 4, valuation 4 discount, analyst consensus 5 [91% buy-equivalent], ROIC 4; only weak spot relative_strength=1, blended -29.0% vs SPY). Triggers Rule 5 (Technical/Momentum Floor Review). Full Fidelity review completed: AZN has no Equity Summary Score / analyst coverage at all on Fidelity (confirmed, not a data gap). Price/news picture reads as genuinely milder than NFLX/ADBE -- actually up +5.48% absolute over 1yr, badly lagging SPY rather than collapsing outright, real decline concentrated in the trailing 2 quarters (-16.83% 3mo, -20.04% 6mo). Real sector headwind (weight-loss-drug competition heating up) plus one offsetting positive analyst take (UBS on the Summit Therapeutics deal). Held at Watch -- review complete, no further data available to change the read; Alan's call on disposition. Reports Q3 earnings ~10/30/26 (unconfirmed). See Journal rows 73-74.</t>
  </si>
  <si>
    <t xml:space="preserve">BABA</t>
  </si>
  <si>
    <t xml:space="preserve">Alibaba Group Holding Limited</t>
  </si>
  <si>
    <t xml:space="preserve">Internet Retail</t>
  </si>
  <si>
    <t xml:space="preserve">FCF turned negative vs. prior FY -- % growth figure reflects a swing off a positive base.</t>
  </si>
  <si>
    <t xml:space="preserve">Industrials</t>
  </si>
  <si>
    <t xml:space="preserve">BAX</t>
  </si>
  <si>
    <t xml:space="preserve">Baxter International Inc.</t>
  </si>
  <si>
    <t xml:space="preserve">Medical Instruments &amp; Supplies</t>
  </si>
  <si>
    <t xml:space="preserve">Real Estate</t>
  </si>
  <si>
    <t xml:space="preserve">BE</t>
  </si>
  <si>
    <t xml:space="preserve">Bloom Energy Corporation</t>
  </si>
  <si>
    <t xml:space="preserve">Electrical Equipment &amp; Parts</t>
  </si>
  <si>
    <t xml:space="preserve">BSX</t>
  </si>
  <si>
    <t xml:space="preserve">Boston Scientific Corporation</t>
  </si>
  <si>
    <t xml:space="preserve">Utilities</t>
  </si>
  <si>
    <t xml:space="preserve">CBRS</t>
  </si>
  <si>
    <t xml:space="preserve">Cerebras Systems Inc.</t>
  </si>
  <si>
    <t xml:space="preserve">CCI</t>
  </si>
  <si>
    <t xml:space="preserve">Crown Castle Inc.</t>
  </si>
  <si>
    <t xml:space="preserve">REIT - Specialty</t>
  </si>
  <si>
    <t xml:space="preserve">Revenue Growth Consistency -15.2% CAGR is a mix of a deliberate fiber/small-cell divestiture (closed May 2026) AND genuine unresolved litigation: DISH allegedly defaulted on tower lease payments, Crown Castle terminated and is suing for over $3.5B, DISH counters with a force majeure claim already through an appeals court. A tower REIT thesis depends on durable, visible lease revenue -- this is live, unresolved uncertainty on exactly that. Rejected rather than scored further. See Journal.</t>
  </si>
  <si>
    <t xml:space="preserve">CE</t>
  </si>
  <si>
    <t xml:space="preserve">Celanese Corporation</t>
  </si>
  <si>
    <t xml:space="preserve">Chemicals</t>
  </si>
  <si>
    <t xml:space="preserve">CLF</t>
  </si>
  <si>
    <t xml:space="preserve">Cleveland-Cliffs Inc.</t>
  </si>
  <si>
    <t xml:space="preserve">Steel</t>
  </si>
  <si>
    <t xml:space="preserve">CLS</t>
  </si>
  <si>
    <t xml:space="preserve">Celestica Inc.</t>
  </si>
  <si>
    <t xml:space="preserve">FCF growth ~49% (Celestica). AI-server and networking demand translating into accelerating cash flow. CAUTION: Technology sector is already over the 25% cap -- lower priority this tranche. (Momentum/FCF screen, 8/30/26)</t>
  </si>
  <si>
    <t xml:space="preserve">CMG</t>
  </si>
  <si>
    <t xml:space="preserve">Chipotle Mexican Grill, Inc.</t>
  </si>
  <si>
    <t xml:space="preserve">Restaurants</t>
  </si>
  <si>
    <t xml:space="preserve">COLD</t>
  </si>
  <si>
    <t xml:space="preserve">Americold Realty Trust, Inc.</t>
  </si>
  <si>
    <t xml:space="preserve">REIT - Industrial</t>
  </si>
  <si>
    <t xml:space="preserve">CRK</t>
  </si>
  <si>
    <t xml:space="preserve">Comstock Resources, Inc.</t>
  </si>
  <si>
    <t xml:space="preserve">Oil &amp; Gas E&amp;P</t>
  </si>
  <si>
    <t xml:space="preserve">DEO</t>
  </si>
  <si>
    <t xml:space="preserve">Diageo plc</t>
  </si>
  <si>
    <t xml:space="preserve">Beverages - Wineries &amp; Distilleries</t>
  </si>
  <si>
    <t xml:space="preserve">DIS</t>
  </si>
  <si>
    <t xml:space="preserve">The Walt Disney Company</t>
  </si>
  <si>
    <t xml:space="preserve">Entertainment</t>
  </si>
  <si>
    <t xml:space="preserve">DPZ</t>
  </si>
  <si>
    <t xml:space="preserve">Domino's Pizza, Inc.</t>
  </si>
  <si>
    <t xml:space="preserve">EL</t>
  </si>
  <si>
    <t xml:space="preserve">The Estée Lauder Companies Inc.</t>
  </si>
  <si>
    <t xml:space="preserve">Household &amp; Personal Products</t>
  </si>
  <si>
    <t xml:space="preserve">ET</t>
  </si>
  <si>
    <t xml:space="preserve">Energy Transfer LP</t>
  </si>
  <si>
    <t xml:space="preserve">Oil &amp; Gas Midstream</t>
  </si>
  <si>
    <t xml:space="preserve">ETSY</t>
  </si>
  <si>
    <t xml:space="preserve">Etsy, Inc.</t>
  </si>
  <si>
    <t xml:space="preserve">GEV</t>
  </si>
  <si>
    <t xml:space="preserve">GE Vernova Inc.</t>
  </si>
  <si>
    <t xml:space="preserve">Specialty Industrial Machinery</t>
  </si>
  <si>
    <t xml:space="preserve">3-yr FCF growth &gt;26% (GE Vernova). Powerful electrification/order-cycle momentum and improving cash conversion. Diversification fit -- Industrials has ample headroom. (Momentum/FCF screen, 8/30/26) Genuine large-dollar FCF increase, not a small-base artifact -- still worth confirming it isn't boosted by one-time items (M&amp;A, litigation proceeds, etc.) before treating as a repeatable trend.</t>
  </si>
  <si>
    <t xml:space="preserve">GOOS</t>
  </si>
  <si>
    <t xml:space="preserve">Canada Goose Holdings Inc.</t>
  </si>
  <si>
    <t xml:space="preserve">Apparel Manufacturing</t>
  </si>
  <si>
    <t xml:space="preserve">GXO</t>
  </si>
  <si>
    <t xml:space="preserve">GXO Logistics, Inc.</t>
  </si>
  <si>
    <t xml:space="preserve">Integrated Freight &amp; Logistics</t>
  </si>
  <si>
    <t xml:space="preserve">Initial quant Tier 1 screen 9/13/26: floor failure (~2.67 quant-only) -- FCF margin 0.5% and contracting, weak ROIC (2.3% vs 6.3% WACC). No sector adaptation exists for asset-light 3PL margin structure. See Journal row 60.</t>
  </si>
  <si>
    <t xml:space="preserve">HRL</t>
  </si>
  <si>
    <t xml:space="preserve">Hormel Foods Corporation</t>
  </si>
  <si>
    <t xml:space="preserve">Packaged Foods</t>
  </si>
  <si>
    <t xml:space="preserve">HWM</t>
  </si>
  <si>
    <t xml:space="preserve">Howmet Aerospace Inc.</t>
  </si>
  <si>
    <t xml:space="preserve">Aerospace &amp; Defense</t>
  </si>
  <si>
    <t xml:space="preserve">3-yr FCF growth &gt;26% (Howmet Aerospace). Aerospace pricing, volume and margin expansion support an improving FCF trend. Diversification fit -- Industrials has ample headroom. (Momentum/FCF screen, 8/30/26)</t>
  </si>
  <si>
    <t xml:space="preserve">ICLR</t>
  </si>
  <si>
    <t xml:space="preserve">ICON Public Limited Company</t>
  </si>
  <si>
    <t xml:space="preserve">Diagnostics &amp; Research</t>
  </si>
  <si>
    <t xml:space="preserve">INTU</t>
  </si>
  <si>
    <t xml:space="preserve">Intuit Inc.</t>
  </si>
  <si>
    <t xml:space="preserve">Software - Application</t>
  </si>
  <si>
    <t xml:space="preserve">Initial quant Tier 1 screen 10/1/26: ~3.56 (fundamentals excellent -- fcf_yield 5, fcf_margin 5 expanding, valuation 5 [PEG 0.93], ROIC 5 [21.0% vs WACC 9.6%], revenue growth 4). relative_strength=1 AND technical_trend=1 both hit the floor simultaneously, triggering Rule 5. Full Fidelity review completed: Equity Summary Score is a decisive Bearish 1.6/10 (not neutral) -- individual firms split 2 Sell/3 Neutral/3 Buy but the aggregate lands clearly bearish. This confirms, not just leaves unexplained, the most severe fundamentals-vs-price divergence found all engagement: a sustained multi-year decline (YTD -57.31%, 1yr -58.59%, 2yr -54.46%, 5yr -47.59%), barely above its 52-week low ($252.84) vs a high of $689.17, P/E only 16.71 despite pristine quant scores. Professional sentiment agreeing with the price action is a materially stronger signal than price divergence alone. Held at Watch -- review complete; per Rule 5's own text this is a review requirement, not an automatic reclassification, so final disposition (hold watch vs. something firmer) is explicitly Alan's call, not decided here. Reports Q1 earnings ~11/18/26 (unconfirmed). See Journal rows 73-74.</t>
  </si>
  <si>
    <t xml:space="preserve">KGS</t>
  </si>
  <si>
    <t xml:space="preserve">Kodiak Gas Services, Inc.</t>
  </si>
  <si>
    <t xml:space="preserve">Oil &amp; Gas Equipment &amp; Services</t>
  </si>
  <si>
    <t xml:space="preserve">Fresh Tier 1 quant screen 9/11/26: FCF Yield=4, Rev Growth=4, FCF Margin=4 (Tier1 Wtd Avg=4.0 on known indicators). Moat/Rev Visibility not yet assessed (Part 12, qualitative). Added to Scoring (row 48) and Monitor &amp; Recheck Triggers as Watch List.</t>
  </si>
  <si>
    <t xml:space="preserve">LBRT</t>
  </si>
  <si>
    <t xml:space="preserve">Liberty Energy Inc.</t>
  </si>
  <si>
    <t xml:space="preserve">LIN</t>
  </si>
  <si>
    <t xml:space="preserve">Linde plc</t>
  </si>
  <si>
    <t xml:space="preserve">Specialty Chemicals</t>
  </si>
  <si>
    <t xml:space="preserve">MIR</t>
  </si>
  <si>
    <t xml:space="preserve">Mirion Technologies, Inc.</t>
  </si>
  <si>
    <t xml:space="preserve">Prior-year FCF base is very small in dollar terms -- the % growth figure isn't a meaningful growth rate on its own; look at the dollar trend instead.</t>
  </si>
  <si>
    <t xml:space="preserve">MRVL</t>
  </si>
  <si>
    <t xml:space="preserve">Marvell Technology, Inc.</t>
  </si>
  <si>
    <t xml:space="preserve">3-yr FCF growth &gt;26% (Marvell Technology). AI networking/custom silicon momentum; cash conversion improving but more volatile. Alan flagged as highest-risk/highest-beta. CAUTION: Technology sector already over cap -- lower priority this tranche. (Momentum/FCF screen, 8/30/26)</t>
  </si>
  <si>
    <t xml:space="preserve">NBIX</t>
  </si>
  <si>
    <t xml:space="preserve">Neurocrine Biosciences, Inc.</t>
  </si>
  <si>
    <t xml:space="preserve">Drug Manufacturers - Specialty &amp; Generic</t>
  </si>
  <si>
    <t xml:space="preserve">FCF growth ~69% (Neurocrine Biosciences). Multiple years of double-digit revenue and FCF growth; less crowded than AI names. Healthcare has ample headroom. (Momentum/FCF screen, 8/30/26)</t>
  </si>
  <si>
    <t xml:space="preserve">NFLX</t>
  </si>
  <si>
    <t xml:space="preserve">Netflix, Inc.</t>
  </si>
  <si>
    <t xml:space="preserve">purchased 9/30/26</t>
  </si>
  <si>
    <t xml:space="preserve">NKE</t>
  </si>
  <si>
    <t xml:space="preserve">NIKE, Inc.</t>
  </si>
  <si>
    <t xml:space="preserve">Footwear &amp; Accessories</t>
  </si>
  <si>
    <t xml:space="preserve">NOV</t>
  </si>
  <si>
    <t xml:space="preserve">NOV Inc.</t>
  </si>
  <si>
    <t xml:space="preserve">NOW</t>
  </si>
  <si>
    <t xml:space="preserve">ServiceNow, Inc.</t>
  </si>
  <si>
    <t xml:space="preserve">NRG</t>
  </si>
  <si>
    <t xml:space="preserve">NRG Energy, Inc.</t>
  </si>
  <si>
    <t xml:space="preserve">Utilities - Independent Power Producers</t>
  </si>
  <si>
    <t xml:space="preserve">NTRA</t>
  </si>
  <si>
    <t xml:space="preserve">Natera, Inc.</t>
  </si>
  <si>
    <t xml:space="preserve">OKE</t>
  </si>
  <si>
    <t xml:space="preserve">ONEOK, Inc.</t>
  </si>
  <si>
    <t xml:space="preserve">Initial quant Tier 1 screen 10/1/26: ~2.89, clean Rule 3 auto-Avoid -- two Tier 1 indicators at 2.0 (revenue_growth_consistency=2, CAGR 14.5% but CV 1.65 [inconsistent]; fcf_margin_trend=2, margin 7.3% and contracting). ROIC also weak (8.8% vs WACC 6.8%, only +1.9pp spread). Rejected -- fundamental, a real Hard Rule trigger, not a data-quality artifact; no Fidelity scan needed given the floor failure is concrete and rule-driven. See Journal row 73.</t>
  </si>
  <si>
    <t xml:space="preserve">PFE</t>
  </si>
  <si>
    <t xml:space="preserve">Pfizer Inc.</t>
  </si>
  <si>
    <t xml:space="preserve">Initial quant Tier 1 screen 9/30/26: ~2.56 quant-only, decisive floor failure -- two indicators at the literal floor: revenue_growth_consistency=1 (negative CAGR -14.8%) and roic_vs_wacc=1 (ROIC 5.1% vs WACC 6.2%, actually value-destroying, spread -1.1pp). Same territory as GXO's rejection. Analyst consensus also weak (36% buy-equivalent, 7% negative). Rejected -- fundamental, not a data-quality artifact. See Journal row 70.</t>
  </si>
  <si>
    <t xml:space="preserve">PG</t>
  </si>
  <si>
    <t xml:space="preserve">The Procter &amp; Gamble Company</t>
  </si>
  <si>
    <t xml:space="preserve">PYPL</t>
  </si>
  <si>
    <t xml:space="preserve">PayPal Holdings, Inc.</t>
  </si>
  <si>
    <t xml:space="preserve">Credit Services</t>
  </si>
  <si>
    <t xml:space="preserve">Initial quant Tier 1 screen 9/13/26 cleared comfortably (~3.89 quant-only), but PayPal is an active acquisition target -- Stripe/Advent $60.50/share joint offer (~$53B), talks ongoing as of the most recent reporting. Out of scope while the situation is live (Part 1.3 excludes sub-12-month horizons); current pricing/technicals are deal-distorted. Revisit as a fresh candidate only after it resolves. See Journal row 60.</t>
  </si>
  <si>
    <t xml:space="preserve">PZZA</t>
  </si>
  <si>
    <t xml:space="preserve">Papa John's International, Inc.</t>
  </si>
  <si>
    <t xml:space="preserve">QXO</t>
  </si>
  <si>
    <t xml:space="preserve">QXO, Inc.</t>
  </si>
  <si>
    <t xml:space="preserve">Industrial Distribution</t>
  </si>
  <si>
    <t xml:space="preserve">SLB</t>
  </si>
  <si>
    <t xml:space="preserve">SLB N.V.</t>
  </si>
  <si>
    <t xml:space="preserve">Full Tier 1-3 scored 9/13/26: Composite 72.4, BUY. See Journal, Scoring row 50.</t>
  </si>
  <si>
    <t xml:space="preserve">SMR</t>
  </si>
  <si>
    <t xml:space="preserve">NuScale Power Corporation</t>
  </si>
  <si>
    <t xml:space="preserve">SPOT</t>
  </si>
  <si>
    <t xml:space="preserve">Spotify Technology S.A.</t>
  </si>
  <si>
    <t xml:space="preserve">Internet Content &amp; Information</t>
  </si>
  <si>
    <t xml:space="preserve">Initial quant Tier 1 screen 9/30/26: ~3.67 quant-only (strong -- fcf_yield 4, rev growth 4, fcf margin 4 expanding, valuation 4 discount, analyst consensus 5, technical 4, ROIC 5 [44.6% vs WACC 11.1%, +33.5pp spread]; only weak spot relative_strength=1, blended -29.7% vs SPY). Same fundamentals-strong-but-price-lagging pattern as ACN -- ran the Fidelity scan on it specifically. Unlike ACN/ADBE/UNH, this one reinforced rather than undercut the quant read: Equity Summary Score Bullish (7.2/10), zero Sell ratings across 6 firms, Evercore ISI raised its price target to $700 on 9/29, short interest declining (6.12M -&gt; 4.52M). Price weakness reads as giving back part of a large 2yr (+32%) / 5yr (+121%) run after a Q2 EPS miss, not a structural deterioration -- meaningfully different pattern from ADBE's multi-year decline. Cleared to Ready for Tier 1; full Tier 1-3 scoring not done yet (separate pass, like ABT/SLB). Reports Q3 earnings 10/22/26. See Journal row 70.</t>
  </si>
  <si>
    <t xml:space="preserve">SUNB</t>
  </si>
  <si>
    <t xml:space="preserve">Sunbelt Rentals Holdings, Inc.</t>
  </si>
  <si>
    <t xml:space="preserve">Rental &amp; Leasing Services</t>
  </si>
  <si>
    <t xml:space="preserve">SWK</t>
  </si>
  <si>
    <t xml:space="preserve">Stanley Black &amp; Decker, Inc.</t>
  </si>
  <si>
    <t xml:space="preserve">Tools &amp; Accessories</t>
  </si>
  <si>
    <t xml:space="preserve">UBER</t>
  </si>
  <si>
    <t xml:space="preserve">Uber Technologies, Inc.</t>
  </si>
  <si>
    <t xml:space="preserve">UNH</t>
  </si>
  <si>
    <t xml:space="preserve">UnitedHealth Group Incorporated</t>
  </si>
  <si>
    <t xml:space="preserve">Healthcare Plans</t>
  </si>
  <si>
    <t xml:space="preserve">PENDING</t>
  </si>
  <si>
    <t xml:space="preserve">Watch - Pending Litigation</t>
  </si>
  <si>
    <t xml:space="preserve">Initial quant Tier 1 screen 9/30/26: ~3.33 quant-only (no severe outlier -- fcf_yield 3, rev growth 4, fcf margin 2, valuation 3, analyst consensus 5, technical 4, volume 2, relative strength 4, ROIC 3), clears the floor on its own. But a Fidelity info-tab scan (new practice, see Journal 9/30/26) surfaced real qualitative red flags the quant screen can't see: Equity Summary Score genuinely Bearish (1.5/10, not just mixed), and active litigation -- judge denied in part UnitedHealth's motion to dismiss a CalPERS suit the same day this was screened. TTM EPS -32.67% vs industry +8.94% (real trailing decline), though the most recent single quarter beat and grew faster than industry (+61.5% vs +51.1%), suggesting possible stabilization. Alan's call: flag to score further only after the litigation situation settles -- not a floor-failure rejection like XRAY/GXO/CCI, just not proceeding to full Tier 1-3 now. Revisit on a clearer CalPERS resolution or after Q3 earnings (10/13/26). See Journal row 69.</t>
  </si>
  <si>
    <t xml:space="preserve">UPS</t>
  </si>
  <si>
    <t xml:space="preserve">United Parcel Service, Inc.</t>
  </si>
  <si>
    <t xml:space="preserve">Initial quant Tier 1 screen 9/30/26: ~2.44 quant-only, decisive floor failure -- two indicators at the literal floor: revenue_growth_consistency=1 (negative CAGR -4.0%) and technical_trend=1 (200w MA below, MACD not ok, Supertrend bearish -- broadly negative across the board). Same territory as GXO's rejection. Rejected -- fundamental, not a data-quality artifact. See Journal row 70.</t>
  </si>
  <si>
    <t xml:space="preserve">V</t>
  </si>
  <si>
    <t xml:space="preserve">Visa Inc.</t>
  </si>
  <si>
    <t xml:space="preserve">VEEV</t>
  </si>
  <si>
    <t xml:space="preserve">Veeva Systems Inc.</t>
  </si>
  <si>
    <t xml:space="preserve">Health Information Services</t>
  </si>
  <si>
    <t xml:space="preserve">VFC</t>
  </si>
  <si>
    <t xml:space="preserve">V.F. Corporation</t>
  </si>
  <si>
    <t xml:space="preserve">Close call per initial screen -- flagged by Alan for recheck.</t>
  </si>
  <si>
    <t xml:space="preserve">VST</t>
  </si>
  <si>
    <t xml:space="preserve">Vistra Corp.</t>
  </si>
  <si>
    <t xml:space="preserve">XRAY</t>
  </si>
  <si>
    <t xml:space="preserve">DENTSPLY SIRONA Inc.</t>
  </si>
  <si>
    <t xml:space="preserve">Initial quant Tier 1 screen 9/13/26: decisive floor failure (~1.67 quant-only) -- revenue shrinking (-2.1% CAGR), FCF margin 1.9% and contracting, ROIC negative. No further research warranted. See Journal row 60.</t>
  </si>
  <si>
    <t xml:space="preserve">YUM</t>
  </si>
  <si>
    <t xml:space="preserve">Yum! Brands, Inc.</t>
  </si>
  <si>
    <t xml:space="preserve">Tier 1
Rank</t>
  </si>
  <si>
    <t xml:space="preserve">Consumer Cyclical/ Discretionary</t>
  </si>
  <si>
    <t xml:space="preserve">Consumer Defensive/ Staples</t>
  </si>
  <si>
    <t xml:space="preserve">Total</t>
  </si>
  <si>
    <t xml:space="preserve">Ticker Count</t>
  </si>
  <si>
    <t xml:space="preserve">Tickers</t>
  </si>
  <si>
    <t xml:space="preserve">CE, CLF, LIN</t>
  </si>
  <si>
    <t xml:space="preserve">Restaurants/QSR</t>
  </si>
  <si>
    <t xml:space="preserve">DIS, NFLX, SPOT</t>
  </si>
  <si>
    <t xml:space="preserve">Consumer Cyclical/Discretionary</t>
  </si>
  <si>
    <t xml:space="preserve">AAP, BABA, CMG, DPZ, ETSY, GOOS, NKE, PZZA, VFC, YUM</t>
  </si>
  <si>
    <t xml:space="preserve"> DPZ</t>
  </si>
  <si>
    <t xml:space="preserve">Consumer Defensive/Staples</t>
  </si>
  <si>
    <t xml:space="preserve">DEO, EL, HRL, PG</t>
  </si>
  <si>
    <t xml:space="preserve"> PZZA</t>
  </si>
  <si>
    <t xml:space="preserve">CRK, ET, LBRT, NOV, OKE, SLB</t>
  </si>
  <si>
    <t xml:space="preserve"> YUM</t>
  </si>
  <si>
    <t xml:space="preserve">PYPL, V</t>
  </si>
  <si>
    <t xml:space="preserve">Apparel</t>
  </si>
  <si>
    <t xml:space="preserve">ABT, AZN, BAX, BSX, ICLR, NTRA, PFE, UNH, VEEV, XRAY</t>
  </si>
  <si>
    <t xml:space="preserve">BE, GXO, MIR, QXO, SMR, SUNB, SWK, UPS</t>
  </si>
  <si>
    <t xml:space="preserve"> VFC</t>
  </si>
  <si>
    <t xml:space="preserve">Avoid*</t>
  </si>
  <si>
    <t xml:space="preserve">CCI, COLD</t>
  </si>
  <si>
    <t xml:space="preserve"> GOOS</t>
  </si>
  <si>
    <t xml:space="preserve">ACN, CBRS, INTU, NOW, UBER</t>
  </si>
  <si>
    <t xml:space="preserve">Divers. retail/e-commerce</t>
  </si>
  <si>
    <t xml:space="preserve">NRG, VST</t>
  </si>
  <si>
    <t xml:space="preserve">Index/ETF</t>
  </si>
  <si>
    <t xml:space="preserve">IWM</t>
  </si>
  <si>
    <t xml:space="preserve"> BABA</t>
  </si>
  <si>
    <t xml:space="preserve"> ETSY</t>
  </si>
  <si>
    <t xml:space="preserve">SCREENED:</t>
  </si>
  <si>
    <t xml:space="preserve">REMAINING:</t>
  </si>
  <si>
    <t xml:space="preserve"> </t>
  </si>
  <si>
    <t xml:space="preserve">Total PASS</t>
  </si>
  <si>
    <t xml:space="preserve">= Watch, pending earnings or other near-term element</t>
  </si>
  <si>
    <t xml:space="preserve">Total AVOID</t>
  </si>
  <si>
    <t xml:space="preserve">TOTAL ANALYZED</t>
  </si>
  <si>
    <t xml:space="preserve">*Close-reconfirm next QTR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</si>
</sst>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%"/>
    <numFmt numFmtId="166" formatCode="0.0%;[RED]\-0.0%"/>
    <numFmt numFmtId="167" formatCode="mm/dd/yyyy"/>
    <numFmt numFmtId="168" formatCode="0%"/>
    <numFmt numFmtId="169" formatCode="0"/>
  </numFmts>
  <fonts count="17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 Narrow"/>
      <family val="2"/>
      <charset val="1"/>
    </font>
    <font>
      <i val="true"/>
      <sz val="9"/>
      <name val="Arial Narrow"/>
      <family val="2"/>
      <charset val="1"/>
    </font>
    <font>
      <b val="true"/>
      <sz val="12"/>
      <name val="Arial Narrow"/>
      <family val="2"/>
      <charset val="1"/>
    </font>
    <font>
      <sz val="12"/>
      <name val="Arial Narrow"/>
      <family val="2"/>
      <charset val="1"/>
    </font>
    <font>
      <sz val="10"/>
      <name val="Arial"/>
      <family val="2"/>
    </font>
    <font>
      <sz val="12"/>
      <color theme="1"/>
      <name val="Arial Narrow"/>
      <family val="2"/>
      <charset val="1"/>
    </font>
    <font>
      <b val="true"/>
      <sz val="12"/>
      <color theme="1"/>
      <name val="Arial Narrow"/>
      <family val="2"/>
      <charset val="1"/>
    </font>
    <font>
      <b val="true"/>
      <sz val="11"/>
      <color theme="1"/>
      <name val="Arial Narrow"/>
      <family val="2"/>
      <charset val="1"/>
    </font>
    <font>
      <b val="true"/>
      <sz val="11"/>
      <color rgb="FFFFFFFF"/>
      <name val="Aptos"/>
      <family val="0"/>
      <charset val="1"/>
    </font>
    <font>
      <sz val="11"/>
      <color theme="1"/>
      <name val="Aptos"/>
      <family val="0"/>
      <charset val="1"/>
    </font>
    <font>
      <sz val="12"/>
      <color rgb="FF0432FF"/>
      <name val="Arial Narrow"/>
      <family val="2"/>
      <charset val="1"/>
    </font>
    <font>
      <b val="true"/>
      <sz val="12"/>
      <color rgb="FF0432FF"/>
      <name val="Arial Narrow"/>
      <family val="2"/>
      <charset val="1"/>
    </font>
    <font>
      <sz val="10"/>
      <color theme="1"/>
      <name val="Arial Narrow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1F4E78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theme="7" tint="0.7998"/>
        <bgColor rgb="FFC6EFCE"/>
      </patternFill>
    </fill>
    <fill>
      <patternFill patternType="solid">
        <fgColor rgb="FF1F4E78"/>
        <bgColor rgb="FF1F3864"/>
      </patternFill>
    </fill>
    <fill>
      <patternFill patternType="solid">
        <fgColor theme="9" tint="0.7998"/>
        <bgColor rgb="FFC6EFCE"/>
      </patternFill>
    </fill>
  </fills>
  <borders count="2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 style="medium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10" fillId="7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right" vertical="center" textRotation="0" wrapText="false" indent="2" shrinkToFit="false"/>
      <protection locked="true" hidden="false"/>
    </xf>
    <xf numFmtId="164" fontId="9" fillId="5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3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5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5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3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7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9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4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5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9" fillId="0" borderId="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AEE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FCE"/>
      <rgbColor rgb="FFD9F2D0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SectorTickerExtract34" displayName="SectorTickerExtract34" ref="Z1:AB13" headerRowCount="1" totalsRowCount="0" totalsRowShown="0">
  <autoFilter ref="Z1:AB13"/>
  <tableColumns count="3">
    <tableColumn id="1" name="Sector"/>
    <tableColumn id="2" name="Ticker Count"/>
    <tableColumn id="3" name="Ticker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O66"/>
  <sheetViews>
    <sheetView showFormulas="false" showGridLines="false" showRowColHeaders="true" showZeros="true" rightToLeft="false" tabSelected="true" showOutlineSymbols="true" defaultGridColor="true" view="pageBreakPreview" topLeftCell="A1" colorId="64" zoomScale="100" zoomScaleNormal="90" zoomScalePageLayoutView="100" workbookViewId="0">
      <pane xSplit="0" ySplit="1" topLeftCell="A15" activePane="bottomLeft" state="frozen"/>
      <selection pane="topLeft" activeCell="A1" activeCellId="0" sqref="A1"/>
      <selection pane="bottomLeft" activeCell="I4" activeCellId="0" sqref="I4"/>
    </sheetView>
  </sheetViews>
  <sheetFormatPr defaultColWidth="8.6640625" defaultRowHeight="15.75" customHeight="false" zeroHeight="false" outlineLevelRow="0" outlineLevelCol="1"/>
  <cols>
    <col collapsed="false" customWidth="true" hidden="false" outlineLevel="0" max="1" min="1" style="1" width="8"/>
    <col collapsed="false" customWidth="true" hidden="false" outlineLevel="1" max="2" min="2" style="0" width="24.5"/>
    <col collapsed="false" customWidth="true" hidden="false" outlineLevel="1" max="3" min="3" style="1" width="19.84"/>
    <col collapsed="false" customWidth="true" hidden="false" outlineLevel="1" max="4" min="4" style="1" width="32"/>
    <col collapsed="false" customWidth="true" hidden="false" outlineLevel="1" max="6" min="5" style="1" width="12"/>
    <col collapsed="false" customWidth="true" hidden="false" outlineLevel="0" max="7" min="7" style="2" width="14.66"/>
    <col collapsed="false" customWidth="true" hidden="false" outlineLevel="0" max="8" min="8" style="1" width="9.33"/>
    <col collapsed="false" customWidth="true" hidden="false" outlineLevel="0" max="9" min="9" style="1" width="20"/>
    <col collapsed="false" customWidth="true" hidden="false" outlineLevel="0" max="10" min="10" style="1" width="9.5"/>
    <col collapsed="false" customWidth="true" hidden="false" outlineLevel="0" max="11" min="11" style="0" width="60"/>
    <col collapsed="false" customWidth="true" hidden="false" outlineLevel="0" max="14" min="14" style="0" width="24"/>
    <col collapsed="false" customWidth="true" hidden="false" outlineLevel="0" max="15" min="15" style="0" width="11"/>
  </cols>
  <sheetData>
    <row r="1" customFormat="false" ht="39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N1" s="4" t="s">
        <v>11</v>
      </c>
    </row>
    <row r="2" customFormat="false" ht="41.25" hidden="false" customHeight="true" outlineLevel="0" collapsed="false">
      <c r="A2" s="5" t="s">
        <v>12</v>
      </c>
      <c r="B2" s="6" t="s">
        <v>13</v>
      </c>
      <c r="C2" s="7" t="s">
        <v>14</v>
      </c>
      <c r="D2" s="7" t="s">
        <v>15</v>
      </c>
      <c r="E2" s="8" t="n">
        <f aca="false">IFERROR(0.25-INDEX($O$3:$O$13,MATCH(C2,$N$3:$N$13,0)),0.25)</f>
        <v>0.25</v>
      </c>
      <c r="F2" s="9" t="n">
        <v>-2.10416666666667</v>
      </c>
      <c r="G2" s="10" t="s">
        <v>16</v>
      </c>
      <c r="H2" s="7" t="s">
        <v>17</v>
      </c>
      <c r="I2" s="7" t="s">
        <v>18</v>
      </c>
      <c r="J2" s="11" t="n">
        <v>46244</v>
      </c>
      <c r="K2" s="12" t="s">
        <v>19</v>
      </c>
      <c r="N2" s="13" t="s">
        <v>2</v>
      </c>
      <c r="O2" s="13" t="s">
        <v>20</v>
      </c>
    </row>
    <row r="3" customFormat="false" ht="33.75" hidden="false" customHeight="true" outlineLevel="0" collapsed="false">
      <c r="A3" s="5" t="s">
        <v>21</v>
      </c>
      <c r="B3" s="6" t="s">
        <v>22</v>
      </c>
      <c r="C3" s="7" t="s">
        <v>23</v>
      </c>
      <c r="D3" s="7" t="s">
        <v>24</v>
      </c>
      <c r="E3" s="8" t="n">
        <f aca="false">IFERROR(0.25-INDEX($O$3:$O$13,MATCH(C3,$N$3:$N$13,0)),0.25)</f>
        <v>0.2158</v>
      </c>
      <c r="F3" s="9" t="n">
        <v>0.164383561643836</v>
      </c>
      <c r="G3" s="10" t="s">
        <v>16</v>
      </c>
      <c r="H3" s="7" t="s">
        <v>25</v>
      </c>
      <c r="I3" s="7" t="s">
        <v>26</v>
      </c>
      <c r="J3" s="11" t="n">
        <v>46244</v>
      </c>
      <c r="K3" s="12" t="s">
        <v>27</v>
      </c>
      <c r="N3" s="14" t="s">
        <v>28</v>
      </c>
      <c r="O3" s="15" t="n">
        <v>0</v>
      </c>
    </row>
    <row r="4" customFormat="false" ht="186.75" hidden="false" customHeight="true" outlineLevel="0" collapsed="false">
      <c r="A4" s="5" t="s">
        <v>29</v>
      </c>
      <c r="B4" s="6" t="s">
        <v>30</v>
      </c>
      <c r="C4" s="7" t="s">
        <v>31</v>
      </c>
      <c r="D4" s="7" t="s">
        <v>32</v>
      </c>
      <c r="E4" s="8" t="n">
        <f aca="false">IFERROR(0.25-INDEX($O$3:$O$13,MATCH(C4,$N$3:$N$13,0)),0.25)</f>
        <v>-0.0086</v>
      </c>
      <c r="F4" s="9" t="n">
        <v>0.26232947682041</v>
      </c>
      <c r="G4" s="10" t="s">
        <v>16</v>
      </c>
      <c r="H4" s="16"/>
      <c r="I4" s="17" t="s">
        <v>33</v>
      </c>
      <c r="J4" s="11" t="n">
        <v>46244</v>
      </c>
      <c r="K4" s="12" t="s">
        <v>34</v>
      </c>
      <c r="N4" s="14" t="s">
        <v>35</v>
      </c>
      <c r="O4" s="15" t="n">
        <v>0</v>
      </c>
    </row>
    <row r="5" customFormat="false" ht="68.25" hidden="true" customHeight="true" outlineLevel="0" collapsed="false">
      <c r="A5" s="5" t="s">
        <v>36</v>
      </c>
      <c r="B5" s="6" t="s">
        <v>37</v>
      </c>
      <c r="C5" s="7" t="s">
        <v>28</v>
      </c>
      <c r="D5" s="7" t="s">
        <v>38</v>
      </c>
      <c r="E5" s="8" t="n">
        <f aca="false">IFERROR(0.25-INDEX($O$3:$O$13,MATCH(C5,$N$3:$N$13,0)),0.25)</f>
        <v>0.25</v>
      </c>
      <c r="F5" s="9" t="n">
        <v>0.149703138252757</v>
      </c>
      <c r="G5" s="10" t="s">
        <v>39</v>
      </c>
      <c r="H5" s="6"/>
      <c r="I5" s="7" t="s">
        <v>40</v>
      </c>
      <c r="J5" s="11" t="n">
        <v>46264</v>
      </c>
      <c r="K5" s="12" t="s">
        <v>41</v>
      </c>
      <c r="N5" s="14" t="s">
        <v>14</v>
      </c>
      <c r="O5" s="15" t="n">
        <v>0</v>
      </c>
    </row>
    <row r="6" customFormat="false" ht="15" hidden="true" customHeight="true" outlineLevel="0" collapsed="false">
      <c r="A6" s="5" t="s">
        <v>42</v>
      </c>
      <c r="B6" s="6" t="s">
        <v>43</v>
      </c>
      <c r="C6" s="7" t="s">
        <v>31</v>
      </c>
      <c r="D6" s="7" t="s">
        <v>44</v>
      </c>
      <c r="E6" s="8" t="n">
        <f aca="false">IFERROR(0.25-INDEX($O$3:$O$13,MATCH(C6,$N$3:$N$13,0)),0.25)</f>
        <v>-0.0086</v>
      </c>
      <c r="F6" s="9" t="n">
        <v>1.75074928488446</v>
      </c>
      <c r="G6" s="10" t="s">
        <v>39</v>
      </c>
      <c r="H6" s="6"/>
      <c r="I6" s="7" t="s">
        <v>40</v>
      </c>
      <c r="J6" s="11" t="n">
        <v>46264</v>
      </c>
      <c r="K6" s="12" t="s">
        <v>45</v>
      </c>
      <c r="N6" s="14" t="s">
        <v>46</v>
      </c>
      <c r="O6" s="15" t="n">
        <v>0</v>
      </c>
    </row>
    <row r="7" customFormat="false" ht="15" hidden="true" customHeight="true" outlineLevel="0" collapsed="false">
      <c r="A7" s="5" t="s">
        <v>47</v>
      </c>
      <c r="B7" s="6" t="s">
        <v>48</v>
      </c>
      <c r="C7" s="7" t="s">
        <v>31</v>
      </c>
      <c r="D7" s="7" t="s">
        <v>49</v>
      </c>
      <c r="E7" s="8" t="n">
        <f aca="false">IFERROR(0.25-INDEX($O$3:$O$13,MATCH(C7,$N$3:$N$13,0)),0.25)</f>
        <v>-0.0086</v>
      </c>
      <c r="F7" s="9" t="n">
        <v>1.03698878704695</v>
      </c>
      <c r="G7" s="10" t="s">
        <v>39</v>
      </c>
      <c r="H7" s="6"/>
      <c r="I7" s="7" t="s">
        <v>40</v>
      </c>
      <c r="J7" s="11" t="n">
        <v>46264</v>
      </c>
      <c r="K7" s="12" t="s">
        <v>50</v>
      </c>
      <c r="N7" s="14" t="s">
        <v>51</v>
      </c>
      <c r="O7" s="15" t="n">
        <v>0</v>
      </c>
    </row>
    <row r="8" customFormat="false" ht="15" hidden="true" customHeight="true" outlineLevel="0" collapsed="false">
      <c r="A8" s="5" t="s">
        <v>52</v>
      </c>
      <c r="B8" s="6" t="s">
        <v>53</v>
      </c>
      <c r="C8" s="7" t="s">
        <v>35</v>
      </c>
      <c r="D8" s="7" t="s">
        <v>54</v>
      </c>
      <c r="E8" s="8" t="n">
        <f aca="false">IFERROR(0.25-INDEX($O$3:$O$13,MATCH(C8,$N$3:$N$13,0)),0.25)</f>
        <v>0.25</v>
      </c>
      <c r="F8" s="9" t="n">
        <v>0.901546112822155</v>
      </c>
      <c r="G8" s="10" t="s">
        <v>39</v>
      </c>
      <c r="H8" s="6"/>
      <c r="I8" s="7" t="s">
        <v>40</v>
      </c>
      <c r="J8" s="11" t="n">
        <v>46264</v>
      </c>
      <c r="K8" s="12" t="s">
        <v>55</v>
      </c>
      <c r="N8" s="14" t="s">
        <v>56</v>
      </c>
      <c r="O8" s="15" t="n">
        <v>0</v>
      </c>
    </row>
    <row r="9" customFormat="false" ht="220.5" hidden="false" customHeight="true" outlineLevel="0" collapsed="false">
      <c r="A9" s="5" t="s">
        <v>57</v>
      </c>
      <c r="B9" s="6" t="s">
        <v>58</v>
      </c>
      <c r="C9" s="7" t="s">
        <v>23</v>
      </c>
      <c r="D9" s="7" t="s">
        <v>59</v>
      </c>
      <c r="E9" s="8" t="n">
        <f aca="false">IFERROR(0.25-INDEX($O$3:$O$13,MATCH(C9,$N$3:$N$13,0)),0.25)</f>
        <v>0.2158</v>
      </c>
      <c r="F9" s="9" t="n">
        <v>0.191752577319588</v>
      </c>
      <c r="G9" s="10" t="s">
        <v>16</v>
      </c>
      <c r="H9" s="7"/>
      <c r="I9" s="17" t="s">
        <v>33</v>
      </c>
      <c r="J9" s="11" t="n">
        <v>46244</v>
      </c>
      <c r="K9" s="12" t="s">
        <v>60</v>
      </c>
      <c r="N9" s="14" t="s">
        <v>23</v>
      </c>
      <c r="O9" s="15" t="n">
        <v>0.0342</v>
      </c>
    </row>
    <row r="10" customFormat="false" ht="33.75" hidden="false" customHeight="true" outlineLevel="0" collapsed="false">
      <c r="A10" s="5" t="s">
        <v>61</v>
      </c>
      <c r="B10" s="6" t="s">
        <v>62</v>
      </c>
      <c r="C10" s="7" t="s">
        <v>14</v>
      </c>
      <c r="D10" s="7" t="s">
        <v>63</v>
      </c>
      <c r="E10" s="8" t="n">
        <f aca="false">IFERROR(0.25-INDEX($O$3:$O$13,MATCH(C10,$N$3:$N$13,0)),0.25)</f>
        <v>0.25</v>
      </c>
      <c r="F10" s="9" t="n">
        <v>-1.65419090240788</v>
      </c>
      <c r="G10" s="10" t="s">
        <v>16</v>
      </c>
      <c r="H10" s="7" t="s">
        <v>17</v>
      </c>
      <c r="I10" s="7" t="s">
        <v>18</v>
      </c>
      <c r="J10" s="11" t="n">
        <v>46244</v>
      </c>
      <c r="K10" s="12" t="s">
        <v>64</v>
      </c>
      <c r="N10" s="14" t="s">
        <v>65</v>
      </c>
      <c r="O10" s="15" t="n">
        <v>0.0119</v>
      </c>
    </row>
    <row r="11" customFormat="false" ht="15" hidden="false" customHeight="true" outlineLevel="0" collapsed="false">
      <c r="A11" s="5" t="s">
        <v>66</v>
      </c>
      <c r="B11" s="6" t="s">
        <v>67</v>
      </c>
      <c r="C11" s="7" t="s">
        <v>23</v>
      </c>
      <c r="D11" s="7" t="s">
        <v>68</v>
      </c>
      <c r="E11" s="8" t="n">
        <f aca="false">IFERROR(0.25-INDEX($O$3:$O$13,MATCH(C11,$N$3:$N$13,0)),0.25)</f>
        <v>0.2158</v>
      </c>
      <c r="F11" s="9" t="n">
        <v>-0.422182468694097</v>
      </c>
      <c r="G11" s="10" t="s">
        <v>16</v>
      </c>
      <c r="H11" s="7"/>
      <c r="I11" s="7" t="s">
        <v>40</v>
      </c>
      <c r="J11" s="11" t="n">
        <v>46244</v>
      </c>
      <c r="K11" s="12"/>
      <c r="N11" s="14" t="s">
        <v>69</v>
      </c>
      <c r="O11" s="15" t="n">
        <v>0.0249</v>
      </c>
    </row>
    <row r="12" customFormat="false" ht="15" hidden="false" customHeight="true" outlineLevel="0" collapsed="false">
      <c r="A12" s="5" t="s">
        <v>70</v>
      </c>
      <c r="B12" s="6" t="s">
        <v>71</v>
      </c>
      <c r="C12" s="7" t="s">
        <v>65</v>
      </c>
      <c r="D12" s="7" t="s">
        <v>72</v>
      </c>
      <c r="E12" s="8" t="n">
        <f aca="false">IFERROR(0.25-INDEX($O$3:$O$13,MATCH(C12,$N$3:$N$13,0)),0.25)</f>
        <v>0.2381</v>
      </c>
      <c r="F12" s="9" t="n">
        <v>0.725396729620467</v>
      </c>
      <c r="G12" s="10" t="s">
        <v>16</v>
      </c>
      <c r="H12" s="7"/>
      <c r="I12" s="7" t="s">
        <v>40</v>
      </c>
      <c r="J12" s="11" t="n">
        <v>46244</v>
      </c>
      <c r="K12" s="12"/>
      <c r="N12" s="14" t="s">
        <v>31</v>
      </c>
      <c r="O12" s="15" t="n">
        <v>0.2586</v>
      </c>
    </row>
    <row r="13" customFormat="false" ht="15" hidden="false" customHeight="true" outlineLevel="0" collapsed="false">
      <c r="A13" s="5" t="s">
        <v>73</v>
      </c>
      <c r="B13" s="6" t="s">
        <v>74</v>
      </c>
      <c r="C13" s="7" t="s">
        <v>23</v>
      </c>
      <c r="D13" s="7" t="s">
        <v>24</v>
      </c>
      <c r="E13" s="8" t="n">
        <f aca="false">IFERROR(0.25-INDEX($O$3:$O$13,MATCH(C13,$N$3:$N$13,0)),0.25)</f>
        <v>0.2158</v>
      </c>
      <c r="F13" s="9" t="n">
        <v>0.439323467230444</v>
      </c>
      <c r="G13" s="10" t="s">
        <v>16</v>
      </c>
      <c r="H13" s="7"/>
      <c r="I13" s="7" t="s">
        <v>40</v>
      </c>
      <c r="J13" s="11" t="n">
        <v>46244</v>
      </c>
      <c r="K13" s="12"/>
      <c r="N13" s="14" t="s">
        <v>75</v>
      </c>
      <c r="O13" s="15" t="n">
        <v>0</v>
      </c>
    </row>
    <row r="14" customFormat="false" ht="41.25" hidden="false" customHeight="true" outlineLevel="0" collapsed="false">
      <c r="A14" s="5" t="s">
        <v>76</v>
      </c>
      <c r="B14" s="6" t="s">
        <v>77</v>
      </c>
      <c r="C14" s="7" t="s">
        <v>31</v>
      </c>
      <c r="D14" s="7" t="s">
        <v>44</v>
      </c>
      <c r="E14" s="8" t="n">
        <f aca="false">IFERROR(0.25-INDEX($O$3:$O$13,MATCH(C14,$N$3:$N$13,0)),0.25)</f>
        <v>-0.0086</v>
      </c>
      <c r="F14" s="9" t="n">
        <v>-1.91656846570823</v>
      </c>
      <c r="G14" s="10" t="s">
        <v>16</v>
      </c>
      <c r="H14" s="7"/>
      <c r="I14" s="7" t="s">
        <v>40</v>
      </c>
      <c r="J14" s="11" t="n">
        <v>46244</v>
      </c>
      <c r="K14" s="12" t="s">
        <v>64</v>
      </c>
    </row>
    <row r="15" customFormat="false" ht="118.5" hidden="false" customHeight="true" outlineLevel="0" collapsed="false">
      <c r="A15" s="5" t="s">
        <v>78</v>
      </c>
      <c r="B15" s="6" t="s">
        <v>79</v>
      </c>
      <c r="C15" s="7" t="s">
        <v>69</v>
      </c>
      <c r="D15" s="7" t="s">
        <v>80</v>
      </c>
      <c r="E15" s="8" t="n">
        <f aca="false">IFERROR(0.25-INDEX($O$3:$O$13,MATCH(C15,$N$3:$N$13,0)),0.25)</f>
        <v>0.2251</v>
      </c>
      <c r="F15" s="9" t="n">
        <v>0.0390314419949404</v>
      </c>
      <c r="G15" s="10" t="s">
        <v>16</v>
      </c>
      <c r="H15" s="7" t="s">
        <v>17</v>
      </c>
      <c r="I15" s="7" t="s">
        <v>18</v>
      </c>
      <c r="J15" s="11" t="n">
        <v>46244</v>
      </c>
      <c r="K15" s="12" t="s">
        <v>81</v>
      </c>
    </row>
    <row r="16" customFormat="false" ht="15" hidden="false" customHeight="true" outlineLevel="0" collapsed="false">
      <c r="A16" s="5" t="s">
        <v>82</v>
      </c>
      <c r="B16" s="6" t="s">
        <v>83</v>
      </c>
      <c r="C16" s="7" t="s">
        <v>28</v>
      </c>
      <c r="D16" s="7" t="s">
        <v>84</v>
      </c>
      <c r="E16" s="8" t="n">
        <f aca="false">IFERROR(0.25-INDEX($O$3:$O$13,MATCH(C16,$N$3:$N$13,0)),0.25)</f>
        <v>0.25</v>
      </c>
      <c r="F16" s="9" t="n">
        <v>0.512241054613936</v>
      </c>
      <c r="G16" s="10" t="s">
        <v>16</v>
      </c>
      <c r="H16" s="7" t="s">
        <v>17</v>
      </c>
      <c r="I16" s="7" t="s">
        <v>18</v>
      </c>
      <c r="J16" s="11" t="n">
        <v>46244</v>
      </c>
      <c r="K16" s="12"/>
    </row>
    <row r="17" customFormat="false" ht="15" hidden="false" customHeight="true" outlineLevel="0" collapsed="false">
      <c r="A17" s="5" t="s">
        <v>85</v>
      </c>
      <c r="B17" s="6" t="s">
        <v>86</v>
      </c>
      <c r="C17" s="7" t="s">
        <v>28</v>
      </c>
      <c r="D17" s="7" t="s">
        <v>87</v>
      </c>
      <c r="E17" s="8" t="n">
        <f aca="false">IFERROR(0.25-INDEX($O$3:$O$13,MATCH(C17,$N$3:$N$13,0)),0.25)</f>
        <v>0.25</v>
      </c>
      <c r="F17" s="9" t="n">
        <v>-0.733898305084746</v>
      </c>
      <c r="G17" s="10" t="s">
        <v>16</v>
      </c>
      <c r="H17" s="7" t="s">
        <v>17</v>
      </c>
      <c r="I17" s="7" t="s">
        <v>18</v>
      </c>
      <c r="J17" s="11" t="n">
        <v>46244</v>
      </c>
      <c r="K17" s="12"/>
    </row>
    <row r="18" customFormat="false" ht="15" hidden="true" customHeight="true" outlineLevel="0" collapsed="false">
      <c r="A18" s="5" t="s">
        <v>88</v>
      </c>
      <c r="B18" s="6" t="s">
        <v>89</v>
      </c>
      <c r="C18" s="7" t="s">
        <v>31</v>
      </c>
      <c r="D18" s="7" t="s">
        <v>49</v>
      </c>
      <c r="E18" s="8" t="n">
        <f aca="false">IFERROR(0.25-INDEX($O$3:$O$13,MATCH(C18,$N$3:$N$13,0)),0.25)</f>
        <v>-0.0086</v>
      </c>
      <c r="F18" s="9" t="n">
        <v>0.512541254125413</v>
      </c>
      <c r="G18" s="10" t="s">
        <v>39</v>
      </c>
      <c r="H18" s="6"/>
      <c r="I18" s="7" t="s">
        <v>40</v>
      </c>
      <c r="J18" s="11" t="n">
        <v>46264</v>
      </c>
      <c r="K18" s="12" t="s">
        <v>90</v>
      </c>
    </row>
    <row r="19" customFormat="false" ht="15" hidden="false" customHeight="true" outlineLevel="0" collapsed="false">
      <c r="A19" s="5" t="s">
        <v>91</v>
      </c>
      <c r="B19" s="6" t="s">
        <v>92</v>
      </c>
      <c r="C19" s="7" t="s">
        <v>14</v>
      </c>
      <c r="D19" s="7" t="s">
        <v>93</v>
      </c>
      <c r="E19" s="8" t="n">
        <f aca="false">IFERROR(0.25-INDEX($O$3:$O$13,MATCH(C19,$N$3:$N$13,0)),0.25)</f>
        <v>0.25</v>
      </c>
      <c r="F19" s="9" t="n">
        <v>-0.0422653927658648</v>
      </c>
      <c r="G19" s="10" t="s">
        <v>16</v>
      </c>
      <c r="H19" s="7" t="s">
        <v>25</v>
      </c>
      <c r="I19" s="7" t="s">
        <v>26</v>
      </c>
      <c r="J19" s="11" t="n">
        <v>46244</v>
      </c>
      <c r="K19" s="12"/>
    </row>
    <row r="20" customFormat="false" ht="33.75" hidden="false" customHeight="true" outlineLevel="0" collapsed="false">
      <c r="A20" s="5" t="s">
        <v>94</v>
      </c>
      <c r="B20" s="6" t="s">
        <v>95</v>
      </c>
      <c r="C20" s="7" t="s">
        <v>69</v>
      </c>
      <c r="D20" s="7" t="s">
        <v>96</v>
      </c>
      <c r="E20" s="8" t="n">
        <f aca="false">IFERROR(0.25-INDEX($O$3:$O$13,MATCH(C20,$N$3:$N$13,0)),0.25)</f>
        <v>0.2251</v>
      </c>
      <c r="F20" s="9" t="n">
        <v>-3.12073931594724</v>
      </c>
      <c r="G20" s="10" t="s">
        <v>16</v>
      </c>
      <c r="H20" s="7"/>
      <c r="I20" s="7" t="s">
        <v>40</v>
      </c>
      <c r="J20" s="11" t="n">
        <v>46244</v>
      </c>
      <c r="K20" s="12" t="s">
        <v>64</v>
      </c>
    </row>
    <row r="21" customFormat="false" ht="81.75" hidden="false" customHeight="true" outlineLevel="0" collapsed="false">
      <c r="A21" s="5" t="s">
        <v>97</v>
      </c>
      <c r="B21" s="6" t="s">
        <v>98</v>
      </c>
      <c r="C21" s="7" t="s">
        <v>51</v>
      </c>
      <c r="D21" s="7" t="s">
        <v>99</v>
      </c>
      <c r="E21" s="8" t="n">
        <f aca="false">IFERROR(0.25-INDEX($O$3:$O$13,MATCH(C21,$N$3:$N$13,0)),0.25)</f>
        <v>0.25</v>
      </c>
      <c r="F21" s="9" t="n">
        <v>0.0575678887372915</v>
      </c>
      <c r="G21" s="10" t="s">
        <v>16</v>
      </c>
      <c r="H21" s="7" t="s">
        <v>17</v>
      </c>
      <c r="I21" s="7" t="s">
        <v>18</v>
      </c>
      <c r="J21" s="11" t="n">
        <v>46244</v>
      </c>
      <c r="K21" s="12"/>
    </row>
    <row r="22" customFormat="false" ht="15" hidden="false" customHeight="true" outlineLevel="0" collapsed="false">
      <c r="A22" s="5" t="s">
        <v>100</v>
      </c>
      <c r="B22" s="6" t="s">
        <v>101</v>
      </c>
      <c r="C22" s="7" t="s">
        <v>46</v>
      </c>
      <c r="D22" s="7" t="s">
        <v>102</v>
      </c>
      <c r="E22" s="8" t="n">
        <f aca="false">IFERROR(0.25-INDEX($O$3:$O$13,MATCH(C22,$N$3:$N$13,0)),0.25)</f>
        <v>0.25</v>
      </c>
      <c r="F22" s="9" t="n">
        <v>0.189944134078212</v>
      </c>
      <c r="G22" s="10" t="s">
        <v>16</v>
      </c>
      <c r="H22" s="7" t="s">
        <v>17</v>
      </c>
      <c r="I22" s="7" t="s">
        <v>18</v>
      </c>
      <c r="J22" s="11" t="n">
        <v>46244</v>
      </c>
      <c r="K22" s="12"/>
    </row>
    <row r="23" customFormat="false" ht="54.75" hidden="false" customHeight="true" outlineLevel="0" collapsed="false">
      <c r="A23" s="5" t="s">
        <v>103</v>
      </c>
      <c r="B23" s="6" t="s">
        <v>104</v>
      </c>
      <c r="C23" s="7" t="s">
        <v>35</v>
      </c>
      <c r="D23" s="7" t="s">
        <v>105</v>
      </c>
      <c r="E23" s="8" t="n">
        <f aca="false">IFERROR(0.25-INDEX($O$3:$O$13,MATCH(C23,$N$3:$N$13,0)),0.25)</f>
        <v>0.25</v>
      </c>
      <c r="F23" s="9" t="n">
        <v>0.177357167893446</v>
      </c>
      <c r="G23" s="10" t="s">
        <v>16</v>
      </c>
      <c r="H23" s="7" t="s">
        <v>17</v>
      </c>
      <c r="I23" s="7" t="s">
        <v>18</v>
      </c>
      <c r="J23" s="11" t="n">
        <v>46244</v>
      </c>
      <c r="K23" s="12"/>
    </row>
    <row r="24" customFormat="false" ht="41.25" hidden="false" customHeight="true" outlineLevel="0" collapsed="false">
      <c r="A24" s="5" t="s">
        <v>106</v>
      </c>
      <c r="B24" s="6" t="s">
        <v>107</v>
      </c>
      <c r="C24" s="7" t="s">
        <v>14</v>
      </c>
      <c r="D24" s="7" t="s">
        <v>93</v>
      </c>
      <c r="E24" s="8" t="n">
        <f aca="false">IFERROR(0.25-INDEX($O$3:$O$13,MATCH(C24,$N$3:$N$13,0)),0.25)</f>
        <v>0.25</v>
      </c>
      <c r="F24" s="9" t="n">
        <v>0.311500511706757</v>
      </c>
      <c r="G24" s="10" t="s">
        <v>16</v>
      </c>
      <c r="H24" s="7" t="s">
        <v>25</v>
      </c>
      <c r="I24" s="7" t="s">
        <v>26</v>
      </c>
      <c r="J24" s="11" t="n">
        <v>46244</v>
      </c>
      <c r="K24" s="12"/>
    </row>
    <row r="25" customFormat="false" ht="41.25" hidden="false" customHeight="true" outlineLevel="0" collapsed="false">
      <c r="A25" s="5" t="s">
        <v>108</v>
      </c>
      <c r="B25" s="6" t="s">
        <v>109</v>
      </c>
      <c r="C25" s="7" t="s">
        <v>46</v>
      </c>
      <c r="D25" s="7" t="s">
        <v>110</v>
      </c>
      <c r="E25" s="8" t="n">
        <f aca="false">IFERROR(0.25-INDEX($O$3:$O$13,MATCH(C25,$N$3:$N$13,0)),0.25)</f>
        <v>0.25</v>
      </c>
      <c r="F25" s="9" t="n">
        <v>0.964179104477612</v>
      </c>
      <c r="G25" s="10" t="s">
        <v>16</v>
      </c>
      <c r="H25" s="7" t="s">
        <v>17</v>
      </c>
      <c r="I25" s="7" t="s">
        <v>18</v>
      </c>
      <c r="J25" s="11" t="n">
        <v>46244</v>
      </c>
      <c r="K25" s="12"/>
    </row>
    <row r="26" customFormat="false" ht="27.75" hidden="false" customHeight="true" outlineLevel="0" collapsed="false">
      <c r="A26" s="5" t="s">
        <v>111</v>
      </c>
      <c r="B26" s="6" t="s">
        <v>112</v>
      </c>
      <c r="C26" s="7" t="s">
        <v>51</v>
      </c>
      <c r="D26" s="7" t="s">
        <v>113</v>
      </c>
      <c r="E26" s="8" t="n">
        <f aca="false">IFERROR(0.25-INDEX($O$3:$O$13,MATCH(C26,$N$3:$N$13,0)),0.25)</f>
        <v>0.25</v>
      </c>
      <c r="F26" s="9" t="n">
        <v>-0.476164532824843</v>
      </c>
      <c r="G26" s="10" t="s">
        <v>16</v>
      </c>
      <c r="H26" s="7" t="s">
        <v>25</v>
      </c>
      <c r="I26" s="7" t="s">
        <v>26</v>
      </c>
      <c r="J26" s="11" t="n">
        <v>46244</v>
      </c>
      <c r="K26" s="12"/>
    </row>
    <row r="27" customFormat="false" ht="15" hidden="false" customHeight="true" outlineLevel="0" collapsed="false">
      <c r="A27" s="5" t="s">
        <v>114</v>
      </c>
      <c r="B27" s="6" t="s">
        <v>115</v>
      </c>
      <c r="C27" s="7" t="s">
        <v>14</v>
      </c>
      <c r="D27" s="7" t="s">
        <v>63</v>
      </c>
      <c r="E27" s="8" t="n">
        <f aca="false">IFERROR(0.25-INDEX($O$3:$O$13,MATCH(C27,$N$3:$N$13,0)),0.25)</f>
        <v>0.25</v>
      </c>
      <c r="F27" s="9" t="n">
        <v>-0.0990463643787969</v>
      </c>
      <c r="G27" s="10" t="s">
        <v>16</v>
      </c>
      <c r="H27" s="7" t="s">
        <v>25</v>
      </c>
      <c r="I27" s="7" t="s">
        <v>26</v>
      </c>
      <c r="J27" s="11" t="n">
        <v>46244</v>
      </c>
      <c r="K27" s="12"/>
    </row>
    <row r="28" customFormat="false" ht="84.75" hidden="true" customHeight="true" outlineLevel="0" collapsed="false">
      <c r="A28" s="5" t="s">
        <v>116</v>
      </c>
      <c r="B28" s="6" t="s">
        <v>117</v>
      </c>
      <c r="C28" s="7" t="s">
        <v>65</v>
      </c>
      <c r="D28" s="7" t="s">
        <v>118</v>
      </c>
      <c r="E28" s="8" t="n">
        <f aca="false">IFERROR(0.25-INDEX($O$3:$O$13,MATCH(C28,$N$3:$N$13,0)),0.25)</f>
        <v>0.2381</v>
      </c>
      <c r="F28" s="9" t="n">
        <v>1.18235294117647</v>
      </c>
      <c r="G28" s="10" t="s">
        <v>39</v>
      </c>
      <c r="H28" s="6"/>
      <c r="I28" s="7" t="s">
        <v>40</v>
      </c>
      <c r="J28" s="11" t="n">
        <v>46264</v>
      </c>
      <c r="K28" s="12" t="s">
        <v>119</v>
      </c>
    </row>
    <row r="29" customFormat="false" ht="15" hidden="false" customHeight="true" outlineLevel="0" collapsed="false">
      <c r="A29" s="5" t="s">
        <v>120</v>
      </c>
      <c r="B29" s="6" t="s">
        <v>121</v>
      </c>
      <c r="C29" s="7" t="s">
        <v>14</v>
      </c>
      <c r="D29" s="7" t="s">
        <v>122</v>
      </c>
      <c r="E29" s="8" t="n">
        <f aca="false">IFERROR(0.25-INDEX($O$3:$O$13,MATCH(C29,$N$3:$N$13,0)),0.25)</f>
        <v>0.25</v>
      </c>
      <c r="F29" s="9" t="n">
        <v>-0.483941605839416</v>
      </c>
      <c r="G29" s="10" t="s">
        <v>16</v>
      </c>
      <c r="H29" s="7" t="s">
        <v>17</v>
      </c>
      <c r="I29" s="7" t="s">
        <v>18</v>
      </c>
      <c r="J29" s="11" t="n">
        <v>46244</v>
      </c>
      <c r="K29" s="12"/>
    </row>
    <row r="30" customFormat="false" ht="64.5" hidden="false" customHeight="true" outlineLevel="0" collapsed="false">
      <c r="A30" s="5" t="s">
        <v>123</v>
      </c>
      <c r="B30" s="6" t="s">
        <v>124</v>
      </c>
      <c r="C30" s="7" t="s">
        <v>65</v>
      </c>
      <c r="D30" s="7" t="s">
        <v>125</v>
      </c>
      <c r="E30" s="8" t="n">
        <f aca="false">IFERROR(0.25-INDEX($O$3:$O$13,MATCH(C30,$N$3:$N$13,0)),0.25)</f>
        <v>0.2381</v>
      </c>
      <c r="F30" s="9" t="n">
        <v>-0.421052631578947</v>
      </c>
      <c r="G30" s="10" t="s">
        <v>16</v>
      </c>
      <c r="H30" s="7" t="s">
        <v>17</v>
      </c>
      <c r="I30" s="7" t="s">
        <v>18</v>
      </c>
      <c r="J30" s="11" t="n">
        <v>46244</v>
      </c>
      <c r="K30" s="12" t="s">
        <v>126</v>
      </c>
    </row>
    <row r="31" customFormat="false" ht="27.75" hidden="false" customHeight="true" outlineLevel="0" collapsed="false">
      <c r="A31" s="5" t="s">
        <v>127</v>
      </c>
      <c r="B31" s="6" t="s">
        <v>128</v>
      </c>
      <c r="C31" s="7" t="s">
        <v>46</v>
      </c>
      <c r="D31" s="7" t="s">
        <v>129</v>
      </c>
      <c r="E31" s="8" t="n">
        <f aca="false">IFERROR(0.25-INDEX($O$3:$O$13,MATCH(C31,$N$3:$N$13,0)),0.25)</f>
        <v>0.25</v>
      </c>
      <c r="F31" s="9" t="n">
        <v>-0.471097113027159</v>
      </c>
      <c r="G31" s="10" t="s">
        <v>16</v>
      </c>
      <c r="H31" s="7" t="s">
        <v>17</v>
      </c>
      <c r="I31" s="7" t="s">
        <v>18</v>
      </c>
      <c r="J31" s="11" t="n">
        <v>46244</v>
      </c>
      <c r="K31" s="12"/>
    </row>
    <row r="32" customFormat="false" ht="15" hidden="true" customHeight="true" outlineLevel="0" collapsed="false">
      <c r="A32" s="5" t="s">
        <v>130</v>
      </c>
      <c r="B32" s="6" t="s">
        <v>131</v>
      </c>
      <c r="C32" s="7" t="s">
        <v>65</v>
      </c>
      <c r="D32" s="7" t="s">
        <v>132</v>
      </c>
      <c r="E32" s="8" t="n">
        <f aca="false">IFERROR(0.25-INDEX($O$3:$O$13,MATCH(C32,$N$3:$N$13,0)),0.25)</f>
        <v>0.2381</v>
      </c>
      <c r="F32" s="9" t="n">
        <v>0.464687819856704</v>
      </c>
      <c r="G32" s="10" t="s">
        <v>39</v>
      </c>
      <c r="H32" s="6"/>
      <c r="I32" s="7" t="s">
        <v>40</v>
      </c>
      <c r="J32" s="11" t="n">
        <v>46264</v>
      </c>
      <c r="K32" s="12" t="s">
        <v>133</v>
      </c>
    </row>
    <row r="33" customFormat="false" ht="68.25" hidden="false" customHeight="true" outlineLevel="0" collapsed="false">
      <c r="A33" s="5" t="s">
        <v>134</v>
      </c>
      <c r="B33" s="6" t="s">
        <v>135</v>
      </c>
      <c r="C33" s="7" t="s">
        <v>23</v>
      </c>
      <c r="D33" s="7" t="s">
        <v>136</v>
      </c>
      <c r="E33" s="8" t="n">
        <f aca="false">IFERROR(0.25-INDEX($O$3:$O$13,MATCH(C33,$N$3:$N$13,0)),0.25)</f>
        <v>0.2158</v>
      </c>
      <c r="F33" s="9" t="n">
        <v>-0.229396419784872</v>
      </c>
      <c r="G33" s="10" t="s">
        <v>16</v>
      </c>
      <c r="H33" s="7"/>
      <c r="I33" s="7" t="s">
        <v>40</v>
      </c>
      <c r="J33" s="11" t="n">
        <v>46244</v>
      </c>
      <c r="K33" s="12"/>
    </row>
    <row r="34" customFormat="false" ht="95.25" hidden="false" customHeight="true" outlineLevel="0" collapsed="false">
      <c r="A34" s="5" t="s">
        <v>137</v>
      </c>
      <c r="B34" s="6" t="s">
        <v>138</v>
      </c>
      <c r="C34" s="7" t="s">
        <v>31</v>
      </c>
      <c r="D34" s="7" t="s">
        <v>139</v>
      </c>
      <c r="E34" s="8" t="n">
        <f aca="false">IFERROR(0.25-INDEX($O$3:$O$13,MATCH(C34,$N$3:$N$13,0)),0.25)</f>
        <v>-0.0086</v>
      </c>
      <c r="F34" s="9" t="n">
        <v>0.312688821752266</v>
      </c>
      <c r="G34" s="10" t="s">
        <v>16</v>
      </c>
      <c r="H34" s="7"/>
      <c r="I34" s="18" t="s">
        <v>33</v>
      </c>
      <c r="J34" s="11" t="n">
        <v>46244</v>
      </c>
      <c r="K34" s="12" t="s">
        <v>140</v>
      </c>
    </row>
    <row r="35" customFormat="false" ht="27.75" hidden="true" customHeight="true" outlineLevel="0" collapsed="false">
      <c r="A35" s="5" t="s">
        <v>141</v>
      </c>
      <c r="B35" s="6" t="s">
        <v>142</v>
      </c>
      <c r="C35" s="7" t="s">
        <v>51</v>
      </c>
      <c r="D35" s="7" t="s">
        <v>143</v>
      </c>
      <c r="E35" s="8" t="n">
        <f aca="false">IFERROR(0.25-INDEX($O$3:$O$13,MATCH(C35,$N$3:$N$13,0)),0.25)</f>
        <v>0.25</v>
      </c>
      <c r="F35" s="9" t="n">
        <v>32.6945032891069</v>
      </c>
      <c r="G35" s="10" t="s">
        <v>39</v>
      </c>
      <c r="H35" s="6"/>
      <c r="I35" s="7" t="s">
        <v>26</v>
      </c>
      <c r="J35" s="11" t="n">
        <v>46264</v>
      </c>
      <c r="K35" s="12" t="s">
        <v>144</v>
      </c>
    </row>
    <row r="36" customFormat="false" ht="54.75" hidden="false" customHeight="true" outlineLevel="0" collapsed="false">
      <c r="A36" s="5" t="s">
        <v>145</v>
      </c>
      <c r="B36" s="6" t="s">
        <v>146</v>
      </c>
      <c r="C36" s="7" t="s">
        <v>51</v>
      </c>
      <c r="D36" s="7" t="s">
        <v>143</v>
      </c>
      <c r="E36" s="8" t="n">
        <f aca="false">IFERROR(0.25-INDEX($O$3:$O$13,MATCH(C36,$N$3:$N$13,0)),0.25)</f>
        <v>0.25</v>
      </c>
      <c r="F36" s="9" t="n">
        <v>-0.920909498710329</v>
      </c>
      <c r="G36" s="10" t="s">
        <v>16</v>
      </c>
      <c r="H36" s="7" t="s">
        <v>17</v>
      </c>
      <c r="I36" s="7" t="s">
        <v>18</v>
      </c>
      <c r="J36" s="11" t="n">
        <v>46244</v>
      </c>
      <c r="K36" s="12"/>
    </row>
    <row r="37" customFormat="false" ht="15" hidden="false" customHeight="true" outlineLevel="0" collapsed="false">
      <c r="A37" s="5" t="s">
        <v>147</v>
      </c>
      <c r="B37" s="6" t="s">
        <v>148</v>
      </c>
      <c r="C37" s="7" t="s">
        <v>28</v>
      </c>
      <c r="D37" s="7" t="s">
        <v>149</v>
      </c>
      <c r="E37" s="8" t="n">
        <f aca="false">IFERROR(0.25-INDEX($O$3:$O$13,MATCH(C37,$N$3:$N$13,0)),0.25)</f>
        <v>0.25</v>
      </c>
      <c r="F37" s="9" t="n">
        <v>0.0330897279740154</v>
      </c>
      <c r="G37" s="10" t="s">
        <v>16</v>
      </c>
      <c r="H37" s="7" t="s">
        <v>25</v>
      </c>
      <c r="I37" s="7" t="s">
        <v>26</v>
      </c>
      <c r="J37" s="11" t="n">
        <v>46244</v>
      </c>
      <c r="K37" s="12"/>
    </row>
    <row r="38" customFormat="false" ht="33.75" hidden="false" customHeight="true" outlineLevel="0" collapsed="false">
      <c r="A38" s="5" t="s">
        <v>150</v>
      </c>
      <c r="B38" s="6" t="s">
        <v>151</v>
      </c>
      <c r="C38" s="7" t="s">
        <v>65</v>
      </c>
      <c r="D38" s="7" t="s">
        <v>118</v>
      </c>
      <c r="E38" s="8" t="n">
        <f aca="false">IFERROR(0.25-INDEX($O$3:$O$13,MATCH(C38,$N$3:$N$13,0)),0.25)</f>
        <v>0.2381</v>
      </c>
      <c r="F38" s="9" t="n">
        <v>1.12524850894632</v>
      </c>
      <c r="G38" s="10" t="s">
        <v>16</v>
      </c>
      <c r="H38" s="7"/>
      <c r="I38" s="7" t="s">
        <v>40</v>
      </c>
      <c r="J38" s="11" t="n">
        <v>46244</v>
      </c>
      <c r="K38" s="12" t="s">
        <v>152</v>
      </c>
    </row>
    <row r="39" customFormat="false" ht="15" hidden="true" customHeight="true" outlineLevel="0" collapsed="false">
      <c r="A39" s="5" t="s">
        <v>153</v>
      </c>
      <c r="B39" s="6" t="s">
        <v>154</v>
      </c>
      <c r="C39" s="7" t="s">
        <v>31</v>
      </c>
      <c r="D39" s="7" t="s">
        <v>44</v>
      </c>
      <c r="E39" s="8" t="n">
        <f aca="false">IFERROR(0.25-INDEX($O$3:$O$13,MATCH(C39,$N$3:$N$13,0)),0.25)</f>
        <v>-0.0086</v>
      </c>
      <c r="F39" s="9" t="n">
        <v>0.00165515256188831</v>
      </c>
      <c r="G39" s="10" t="s">
        <v>39</v>
      </c>
      <c r="H39" s="6"/>
      <c r="I39" s="7" t="s">
        <v>40</v>
      </c>
      <c r="J39" s="11" t="n">
        <v>46264</v>
      </c>
      <c r="K39" s="12" t="s">
        <v>155</v>
      </c>
    </row>
    <row r="40" customFormat="false" ht="15" hidden="true" customHeight="true" outlineLevel="0" collapsed="false">
      <c r="A40" s="5" t="s">
        <v>156</v>
      </c>
      <c r="B40" s="6" t="s">
        <v>157</v>
      </c>
      <c r="C40" s="7" t="s">
        <v>23</v>
      </c>
      <c r="D40" s="7" t="s">
        <v>158</v>
      </c>
      <c r="E40" s="8" t="n">
        <f aca="false">IFERROR(0.25-INDEX($O$3:$O$13,MATCH(C40,$N$3:$N$13,0)),0.25)</f>
        <v>0.2158</v>
      </c>
      <c r="F40" s="9" t="n">
        <v>0.343682699210337</v>
      </c>
      <c r="G40" s="10" t="s">
        <v>39</v>
      </c>
      <c r="H40" s="6"/>
      <c r="I40" s="7" t="s">
        <v>40</v>
      </c>
      <c r="J40" s="11" t="n">
        <v>46264</v>
      </c>
      <c r="K40" s="12" t="s">
        <v>159</v>
      </c>
    </row>
    <row r="41" customFormat="false" ht="15" hidden="false" customHeight="true" outlineLevel="0" collapsed="false">
      <c r="A41" s="5" t="s">
        <v>160</v>
      </c>
      <c r="B41" s="6" t="s">
        <v>161</v>
      </c>
      <c r="C41" s="7" t="s">
        <v>35</v>
      </c>
      <c r="D41" s="7" t="s">
        <v>105</v>
      </c>
      <c r="E41" s="8" t="n">
        <f aca="false">IFERROR(0.25-INDEX($O$3:$O$13,MATCH(C41,$N$3:$N$13,0)),0.25)</f>
        <v>0.25</v>
      </c>
      <c r="F41" s="9" t="n">
        <v>0.366843517880975</v>
      </c>
      <c r="G41" s="10" t="s">
        <v>16</v>
      </c>
      <c r="H41" s="7" t="s">
        <v>25</v>
      </c>
      <c r="I41" s="7" t="s">
        <v>26</v>
      </c>
      <c r="J41" s="11" t="n">
        <v>46244</v>
      </c>
      <c r="K41" s="12" t="s">
        <v>162</v>
      </c>
    </row>
    <row r="42" customFormat="false" ht="15" hidden="false" customHeight="true" outlineLevel="0" collapsed="false">
      <c r="A42" s="5" t="s">
        <v>163</v>
      </c>
      <c r="B42" s="6" t="s">
        <v>164</v>
      </c>
      <c r="C42" s="7" t="s">
        <v>14</v>
      </c>
      <c r="D42" s="7" t="s">
        <v>165</v>
      </c>
      <c r="E42" s="8" t="n">
        <f aca="false">IFERROR(0.25-INDEX($O$3:$O$13,MATCH(C42,$N$3:$N$13,0)),0.25)</f>
        <v>0.25</v>
      </c>
      <c r="F42" s="9" t="n">
        <v>-0.331701346389229</v>
      </c>
      <c r="G42" s="10" t="s">
        <v>16</v>
      </c>
      <c r="H42" s="7" t="s">
        <v>17</v>
      </c>
      <c r="I42" s="7" t="s">
        <v>18</v>
      </c>
      <c r="J42" s="11" t="n">
        <v>46244</v>
      </c>
      <c r="K42" s="12"/>
    </row>
    <row r="43" customFormat="false" ht="15" hidden="false" customHeight="true" outlineLevel="0" collapsed="false">
      <c r="A43" s="5" t="s">
        <v>166</v>
      </c>
      <c r="B43" s="6" t="s">
        <v>167</v>
      </c>
      <c r="C43" s="7" t="s">
        <v>51</v>
      </c>
      <c r="D43" s="7" t="s">
        <v>143</v>
      </c>
      <c r="E43" s="8" t="n">
        <f aca="false">IFERROR(0.25-INDEX($O$3:$O$13,MATCH(C43,$N$3:$N$13,0)),0.25)</f>
        <v>0.25</v>
      </c>
      <c r="F43" s="9" t="n">
        <v>-0.080797481636936</v>
      </c>
      <c r="G43" s="10" t="s">
        <v>16</v>
      </c>
      <c r="H43" s="7" t="s">
        <v>17</v>
      </c>
      <c r="I43" s="7" t="s">
        <v>18</v>
      </c>
      <c r="J43" s="11" t="n">
        <v>46244</v>
      </c>
      <c r="K43" s="12"/>
    </row>
    <row r="44" customFormat="false" ht="15" hidden="false" customHeight="true" outlineLevel="0" collapsed="false">
      <c r="A44" s="5" t="s">
        <v>168</v>
      </c>
      <c r="B44" s="6" t="s">
        <v>169</v>
      </c>
      <c r="C44" s="7" t="s">
        <v>31</v>
      </c>
      <c r="D44" s="7" t="s">
        <v>139</v>
      </c>
      <c r="E44" s="8" t="n">
        <f aca="false">IFERROR(0.25-INDEX($O$3:$O$13,MATCH(C44,$N$3:$N$13,0)),0.25)</f>
        <v>-0.0086</v>
      </c>
      <c r="F44" s="9" t="n">
        <v>0.343111111111111</v>
      </c>
      <c r="G44" s="10" t="s">
        <v>16</v>
      </c>
      <c r="H44" s="7" t="s">
        <v>25</v>
      </c>
      <c r="I44" s="7" t="s">
        <v>26</v>
      </c>
      <c r="J44" s="11" t="n">
        <v>46244</v>
      </c>
      <c r="K44" s="12"/>
    </row>
    <row r="45" customFormat="false" ht="15" hidden="false" customHeight="true" outlineLevel="0" collapsed="false">
      <c r="A45" s="5" t="s">
        <v>170</v>
      </c>
      <c r="B45" s="6" t="s">
        <v>171</v>
      </c>
      <c r="C45" s="7" t="s">
        <v>75</v>
      </c>
      <c r="D45" s="7" t="s">
        <v>172</v>
      </c>
      <c r="E45" s="8" t="n">
        <f aca="false">IFERROR(0.25-INDEX($O$3:$O$13,MATCH(C45,$N$3:$N$13,0)),0.25)</f>
        <v>0.25</v>
      </c>
      <c r="F45" s="9" t="n">
        <v>-0.578744493392071</v>
      </c>
      <c r="G45" s="10" t="s">
        <v>16</v>
      </c>
      <c r="H45" s="7" t="s">
        <v>17</v>
      </c>
      <c r="I45" s="7" t="s">
        <v>18</v>
      </c>
      <c r="J45" s="11" t="n">
        <v>46244</v>
      </c>
      <c r="K45" s="12"/>
    </row>
    <row r="46" customFormat="false" ht="15" hidden="false" customHeight="true" outlineLevel="0" collapsed="false">
      <c r="A46" s="5" t="s">
        <v>173</v>
      </c>
      <c r="B46" s="6" t="s">
        <v>174</v>
      </c>
      <c r="C46" s="7" t="s">
        <v>23</v>
      </c>
      <c r="D46" s="7" t="s">
        <v>136</v>
      </c>
      <c r="E46" s="8" t="n">
        <f aca="false">IFERROR(0.25-INDEX($O$3:$O$13,MATCH(C46,$N$3:$N$13,0)),0.25)</f>
        <v>0.2158</v>
      </c>
      <c r="F46" s="9" t="n">
        <v>0.295628638545603</v>
      </c>
      <c r="G46" s="10" t="s">
        <v>16</v>
      </c>
      <c r="H46" s="7"/>
      <c r="I46" s="7" t="s">
        <v>40</v>
      </c>
      <c r="J46" s="11" t="n">
        <v>46244</v>
      </c>
      <c r="K46" s="12"/>
    </row>
    <row r="47" customFormat="false" ht="15" hidden="false" customHeight="true" outlineLevel="0" collapsed="false">
      <c r="A47" s="5" t="s">
        <v>175</v>
      </c>
      <c r="B47" s="6" t="s">
        <v>176</v>
      </c>
      <c r="C47" s="7" t="s">
        <v>51</v>
      </c>
      <c r="D47" s="7" t="s">
        <v>113</v>
      </c>
      <c r="E47" s="8" t="n">
        <f aca="false">IFERROR(0.25-INDEX($O$3:$O$13,MATCH(C47,$N$3:$N$13,0)),0.25)</f>
        <v>0.25</v>
      </c>
      <c r="F47" s="9" t="n">
        <v>-0.146494593651901</v>
      </c>
      <c r="G47" s="10" t="s">
        <v>16</v>
      </c>
      <c r="H47" s="7"/>
      <c r="I47" s="7" t="s">
        <v>18</v>
      </c>
      <c r="J47" s="11" t="n">
        <v>46244</v>
      </c>
      <c r="K47" s="12" t="s">
        <v>177</v>
      </c>
    </row>
    <row r="48" customFormat="false" ht="102" hidden="false" customHeight="true" outlineLevel="0" collapsed="false">
      <c r="A48" s="5" t="s">
        <v>178</v>
      </c>
      <c r="B48" s="6" t="s">
        <v>179</v>
      </c>
      <c r="C48" s="7" t="s">
        <v>23</v>
      </c>
      <c r="D48" s="7" t="s">
        <v>59</v>
      </c>
      <c r="E48" s="8" t="n">
        <f aca="false">IFERROR(0.25-INDEX($O$3:$O$13,MATCH(C48,$N$3:$N$13,0)),0.25)</f>
        <v>0.2158</v>
      </c>
      <c r="F48" s="9" t="n">
        <v>-0.0772750381291307</v>
      </c>
      <c r="G48" s="10" t="s">
        <v>16</v>
      </c>
      <c r="H48" s="7" t="s">
        <v>17</v>
      </c>
      <c r="I48" s="7" t="s">
        <v>18</v>
      </c>
      <c r="J48" s="11" t="n">
        <v>46244</v>
      </c>
      <c r="K48" s="12" t="s">
        <v>180</v>
      </c>
    </row>
    <row r="49" customFormat="false" ht="15" hidden="false" customHeight="true" outlineLevel="0" collapsed="false">
      <c r="A49" s="5" t="s">
        <v>181</v>
      </c>
      <c r="B49" s="6" t="s">
        <v>182</v>
      </c>
      <c r="C49" s="7" t="s">
        <v>46</v>
      </c>
      <c r="D49" s="7" t="s">
        <v>110</v>
      </c>
      <c r="E49" s="8" t="n">
        <f aca="false">IFERROR(0.25-INDEX($O$3:$O$13,MATCH(C49,$N$3:$N$13,0)),0.25)</f>
        <v>0.25</v>
      </c>
      <c r="F49" s="9" t="n">
        <v>0.078538877812589</v>
      </c>
      <c r="G49" s="10" t="s">
        <v>16</v>
      </c>
      <c r="H49" s="7" t="s">
        <v>25</v>
      </c>
      <c r="I49" s="7" t="s">
        <v>26</v>
      </c>
      <c r="J49" s="11" t="n">
        <v>46244</v>
      </c>
      <c r="K49" s="12"/>
    </row>
    <row r="50" customFormat="false" ht="102" hidden="false" customHeight="true" outlineLevel="0" collapsed="false">
      <c r="A50" s="5" t="s">
        <v>183</v>
      </c>
      <c r="B50" s="6" t="s">
        <v>184</v>
      </c>
      <c r="C50" s="7" t="s">
        <v>56</v>
      </c>
      <c r="D50" s="7" t="s">
        <v>185</v>
      </c>
      <c r="E50" s="8" t="n">
        <f aca="false">IFERROR(0.25-INDEX($O$3:$O$13,MATCH(C50,$N$3:$N$13,0)),0.25)</f>
        <v>0.25</v>
      </c>
      <c r="F50" s="9" t="n">
        <v>-0.177774493867297</v>
      </c>
      <c r="G50" s="10" t="s">
        <v>16</v>
      </c>
      <c r="H50" s="7" t="s">
        <v>17</v>
      </c>
      <c r="I50" s="7" t="s">
        <v>18</v>
      </c>
      <c r="J50" s="11" t="n">
        <v>46244</v>
      </c>
      <c r="K50" s="12" t="s">
        <v>186</v>
      </c>
    </row>
    <row r="51" customFormat="false" ht="15" hidden="false" customHeight="true" outlineLevel="0" collapsed="false">
      <c r="A51" s="5" t="s">
        <v>187</v>
      </c>
      <c r="B51" s="6" t="s">
        <v>188</v>
      </c>
      <c r="C51" s="7" t="s">
        <v>14</v>
      </c>
      <c r="D51" s="7" t="s">
        <v>93</v>
      </c>
      <c r="E51" s="8" t="n">
        <f aca="false">IFERROR(0.25-INDEX($O$3:$O$13,MATCH(C51,$N$3:$N$13,0)),0.25)</f>
        <v>0.25</v>
      </c>
      <c r="F51" s="9" t="n">
        <v>0.510044512123697</v>
      </c>
      <c r="G51" s="10" t="s">
        <v>16</v>
      </c>
      <c r="H51" s="7" t="s">
        <v>17</v>
      </c>
      <c r="I51" s="7" t="s">
        <v>18</v>
      </c>
      <c r="J51" s="11" t="n">
        <v>46244</v>
      </c>
      <c r="K51" s="12"/>
    </row>
    <row r="52" customFormat="false" ht="33.75" hidden="false" customHeight="true" outlineLevel="0" collapsed="false">
      <c r="A52" s="5" t="s">
        <v>189</v>
      </c>
      <c r="B52" s="6" t="s">
        <v>190</v>
      </c>
      <c r="C52" s="7" t="s">
        <v>65</v>
      </c>
      <c r="D52" s="7" t="s">
        <v>191</v>
      </c>
      <c r="E52" s="8" t="n">
        <f aca="false">IFERROR(0.25-INDEX($O$3:$O$13,MATCH(C52,$N$3:$N$13,0)),0.25)</f>
        <v>0.2381</v>
      </c>
      <c r="F52" s="9" t="n">
        <v>1.1629279811098</v>
      </c>
      <c r="G52" s="10" t="s">
        <v>16</v>
      </c>
      <c r="H52" s="7"/>
      <c r="I52" s="7" t="s">
        <v>40</v>
      </c>
      <c r="J52" s="11" t="n">
        <v>46244</v>
      </c>
      <c r="K52" s="12" t="s">
        <v>152</v>
      </c>
    </row>
    <row r="53" customFormat="false" ht="33.75" hidden="false" customHeight="true" outlineLevel="0" collapsed="false">
      <c r="A53" s="5" t="s">
        <v>192</v>
      </c>
      <c r="B53" s="6" t="s">
        <v>193</v>
      </c>
      <c r="C53" s="7" t="s">
        <v>51</v>
      </c>
      <c r="D53" s="7" t="s">
        <v>143</v>
      </c>
      <c r="E53" s="8" t="n">
        <f aca="false">IFERROR(0.25-INDEX($O$3:$O$13,MATCH(C53,$N$3:$N$13,0)),0.25)</f>
        <v>0.25</v>
      </c>
      <c r="F53" s="9" t="n">
        <v>0.0156494522691706</v>
      </c>
      <c r="G53" s="10" t="s">
        <v>16</v>
      </c>
      <c r="H53" s="7" t="s">
        <v>25</v>
      </c>
      <c r="I53" s="7" t="s">
        <v>26</v>
      </c>
      <c r="J53" s="11" t="n">
        <v>46244</v>
      </c>
      <c r="K53" s="12" t="s">
        <v>194</v>
      </c>
    </row>
    <row r="54" customFormat="false" ht="33.75" hidden="false" customHeight="true" outlineLevel="0" collapsed="false">
      <c r="A54" s="5" t="s">
        <v>195</v>
      </c>
      <c r="B54" s="6" t="s">
        <v>196</v>
      </c>
      <c r="C54" s="7" t="s">
        <v>65</v>
      </c>
      <c r="D54" s="7" t="s">
        <v>118</v>
      </c>
      <c r="E54" s="8" t="n">
        <f aca="false">IFERROR(0.25-INDEX($O$3:$O$13,MATCH(C54,$N$3:$N$13,0)),0.25)</f>
        <v>0.2381</v>
      </c>
      <c r="F54" s="9" t="n">
        <v>-3.23252690644835</v>
      </c>
      <c r="G54" s="10" t="s">
        <v>16</v>
      </c>
      <c r="H54" s="7"/>
      <c r="I54" s="7" t="s">
        <v>40</v>
      </c>
      <c r="J54" s="11" t="n">
        <v>46244</v>
      </c>
      <c r="K54" s="12" t="s">
        <v>19</v>
      </c>
    </row>
    <row r="55" customFormat="false" ht="220.5" hidden="false" customHeight="true" outlineLevel="0" collapsed="false">
      <c r="A55" s="5" t="s">
        <v>197</v>
      </c>
      <c r="B55" s="6" t="s">
        <v>198</v>
      </c>
      <c r="C55" s="7" t="s">
        <v>35</v>
      </c>
      <c r="D55" s="7" t="s">
        <v>199</v>
      </c>
      <c r="E55" s="8" t="n">
        <f aca="false">IFERROR(0.25-INDEX($O$3:$O$13,MATCH(C55,$N$3:$N$13,0)),0.25)</f>
        <v>0.25</v>
      </c>
      <c r="F55" s="9" t="n">
        <v>0.257443082311734</v>
      </c>
      <c r="G55" s="10" t="s">
        <v>16</v>
      </c>
      <c r="H55" s="7" t="s">
        <v>25</v>
      </c>
      <c r="I55" s="7" t="s">
        <v>26</v>
      </c>
      <c r="J55" s="11" t="n">
        <v>46244</v>
      </c>
      <c r="K55" s="12" t="s">
        <v>200</v>
      </c>
    </row>
    <row r="56" customFormat="false" ht="15" hidden="false" customHeight="true" outlineLevel="0" collapsed="false">
      <c r="A56" s="5" t="s">
        <v>201</v>
      </c>
      <c r="B56" s="6" t="s">
        <v>202</v>
      </c>
      <c r="C56" s="7" t="s">
        <v>65</v>
      </c>
      <c r="D56" s="7" t="s">
        <v>203</v>
      </c>
      <c r="E56" s="8" t="n">
        <f aca="false">IFERROR(0.25-INDEX($O$3:$O$13,MATCH(C56,$N$3:$N$13,0)),0.25)</f>
        <v>0.2381</v>
      </c>
      <c r="F56" s="9" t="n">
        <v>0.393139841688654</v>
      </c>
      <c r="G56" s="10" t="s">
        <v>16</v>
      </c>
      <c r="H56" s="7"/>
      <c r="I56" s="7" t="s">
        <v>40</v>
      </c>
      <c r="J56" s="11" t="n">
        <v>46244</v>
      </c>
      <c r="K56" s="12"/>
    </row>
    <row r="57" customFormat="false" ht="15" hidden="false" customHeight="true" outlineLevel="0" collapsed="false">
      <c r="A57" s="5" t="s">
        <v>204</v>
      </c>
      <c r="B57" s="6" t="s">
        <v>205</v>
      </c>
      <c r="C57" s="7" t="s">
        <v>65</v>
      </c>
      <c r="D57" s="7" t="s">
        <v>206</v>
      </c>
      <c r="E57" s="8" t="n">
        <f aca="false">IFERROR(0.25-INDEX($O$3:$O$13,MATCH(C57,$N$3:$N$13,0)),0.25)</f>
        <v>0.2381</v>
      </c>
      <c r="F57" s="9" t="n">
        <v>-0.0864541832669323</v>
      </c>
      <c r="G57" s="10" t="s">
        <v>16</v>
      </c>
      <c r="H57" s="7"/>
      <c r="I57" s="7" t="s">
        <v>40</v>
      </c>
      <c r="J57" s="11" t="n">
        <v>46244</v>
      </c>
      <c r="K57" s="12"/>
    </row>
    <row r="58" customFormat="false" ht="15" hidden="false" customHeight="true" outlineLevel="0" collapsed="false">
      <c r="A58" s="5" t="s">
        <v>207</v>
      </c>
      <c r="B58" s="6" t="s">
        <v>208</v>
      </c>
      <c r="C58" s="7" t="s">
        <v>31</v>
      </c>
      <c r="D58" s="7" t="s">
        <v>139</v>
      </c>
      <c r="E58" s="8" t="n">
        <f aca="false">IFERROR(0.25-INDEX($O$3:$O$13,MATCH(C58,$N$3:$N$13,0)),0.25)</f>
        <v>-0.0086</v>
      </c>
      <c r="F58" s="9" t="n">
        <v>0.415953589557651</v>
      </c>
      <c r="G58" s="10" t="s">
        <v>16</v>
      </c>
      <c r="H58" s="7"/>
      <c r="I58" s="7" t="s">
        <v>40</v>
      </c>
      <c r="J58" s="11" t="n">
        <v>46244</v>
      </c>
      <c r="K58" s="12"/>
    </row>
    <row r="59" customFormat="false" ht="220.5" hidden="false" customHeight="true" outlineLevel="0" collapsed="false">
      <c r="A59" s="5" t="s">
        <v>209</v>
      </c>
      <c r="B59" s="6" t="s">
        <v>210</v>
      </c>
      <c r="C59" s="7" t="s">
        <v>23</v>
      </c>
      <c r="D59" s="7" t="s">
        <v>211</v>
      </c>
      <c r="E59" s="8" t="n">
        <f aca="false">IFERROR(0.25-INDEX($O$3:$O$13,MATCH(C59,$N$3:$N$13,0)),0.25)</f>
        <v>0.2158</v>
      </c>
      <c r="F59" s="9" t="n">
        <v>-0.22361748369959</v>
      </c>
      <c r="G59" s="10" t="s">
        <v>16</v>
      </c>
      <c r="H59" s="18" t="s">
        <v>212</v>
      </c>
      <c r="I59" s="10" t="s">
        <v>213</v>
      </c>
      <c r="J59" s="11" t="n">
        <v>46244</v>
      </c>
      <c r="K59" s="12" t="s">
        <v>214</v>
      </c>
    </row>
    <row r="60" customFormat="false" ht="91.5" hidden="false" customHeight="true" outlineLevel="0" collapsed="false">
      <c r="A60" s="5" t="s">
        <v>215</v>
      </c>
      <c r="B60" s="6" t="s">
        <v>216</v>
      </c>
      <c r="C60" s="7" t="s">
        <v>65</v>
      </c>
      <c r="D60" s="7" t="s">
        <v>125</v>
      </c>
      <c r="E60" s="8" t="n">
        <f aca="false">IFERROR(0.25-INDEX($O$3:$O$13,MATCH(C60,$N$3:$N$13,0)),0.25)</f>
        <v>0.2381</v>
      </c>
      <c r="F60" s="9" t="n">
        <v>-0.233059713503943</v>
      </c>
      <c r="G60" s="10" t="s">
        <v>16</v>
      </c>
      <c r="H60" s="7" t="s">
        <v>17</v>
      </c>
      <c r="I60" s="7" t="s">
        <v>18</v>
      </c>
      <c r="J60" s="11" t="n">
        <v>46244</v>
      </c>
      <c r="K60" s="12" t="s">
        <v>217</v>
      </c>
    </row>
    <row r="61" customFormat="false" ht="15" hidden="false" customHeight="true" outlineLevel="0" collapsed="false">
      <c r="A61" s="5" t="s">
        <v>218</v>
      </c>
      <c r="B61" s="6" t="s">
        <v>219</v>
      </c>
      <c r="C61" s="7" t="s">
        <v>56</v>
      </c>
      <c r="D61" s="7" t="s">
        <v>185</v>
      </c>
      <c r="E61" s="8" t="n">
        <f aca="false">IFERROR(0.25-INDEX($O$3:$O$13,MATCH(C61,$N$3:$N$13,0)),0.25)</f>
        <v>0.25</v>
      </c>
      <c r="F61" s="9" t="n">
        <v>0.154282351682448</v>
      </c>
      <c r="G61" s="10" t="s">
        <v>16</v>
      </c>
      <c r="H61" s="7" t="s">
        <v>25</v>
      </c>
      <c r="I61" s="7" t="s">
        <v>26</v>
      </c>
      <c r="J61" s="11" t="n">
        <v>46244</v>
      </c>
      <c r="K61" s="12"/>
    </row>
    <row r="62" customFormat="false" ht="15" hidden="false" customHeight="true" outlineLevel="0" collapsed="false">
      <c r="A62" s="5" t="s">
        <v>220</v>
      </c>
      <c r="B62" s="6" t="s">
        <v>221</v>
      </c>
      <c r="C62" s="7" t="s">
        <v>23</v>
      </c>
      <c r="D62" s="7" t="s">
        <v>222</v>
      </c>
      <c r="E62" s="8" t="n">
        <f aca="false">IFERROR(0.25-INDEX($O$3:$O$13,MATCH(C62,$N$3:$N$13,0)),0.25)</f>
        <v>0.2158</v>
      </c>
      <c r="F62" s="9" t="n">
        <v>0.29831081298031</v>
      </c>
      <c r="G62" s="10" t="s">
        <v>16</v>
      </c>
      <c r="H62" s="7"/>
      <c r="I62" s="7" t="s">
        <v>40</v>
      </c>
      <c r="J62" s="11" t="n">
        <v>46244</v>
      </c>
      <c r="K62" s="12"/>
    </row>
    <row r="63" customFormat="false" ht="16.5" hidden="false" customHeight="true" outlineLevel="0" collapsed="false">
      <c r="A63" s="5" t="s">
        <v>223</v>
      </c>
      <c r="B63" s="6" t="s">
        <v>224</v>
      </c>
      <c r="C63" s="7" t="s">
        <v>14</v>
      </c>
      <c r="D63" s="7" t="s">
        <v>122</v>
      </c>
      <c r="E63" s="8" t="n">
        <f aca="false">IFERROR(0.25-INDEX($O$3:$O$13,MATCH(C63,$N$3:$N$13,0)),0.25)</f>
        <v>0.25</v>
      </c>
      <c r="F63" s="9" t="n">
        <v>0.490119777249103</v>
      </c>
      <c r="G63" s="10" t="s">
        <v>16</v>
      </c>
      <c r="H63" s="7" t="s">
        <v>17</v>
      </c>
      <c r="I63" s="7" t="s">
        <v>18</v>
      </c>
      <c r="J63" s="11" t="n">
        <v>46244</v>
      </c>
      <c r="K63" s="12" t="s">
        <v>225</v>
      </c>
    </row>
    <row r="64" customFormat="false" ht="15" hidden="false" customHeight="true" outlineLevel="0" collapsed="false">
      <c r="A64" s="5" t="s">
        <v>226</v>
      </c>
      <c r="B64" s="6" t="s">
        <v>227</v>
      </c>
      <c r="C64" s="7" t="s">
        <v>75</v>
      </c>
      <c r="D64" s="7" t="s">
        <v>172</v>
      </c>
      <c r="E64" s="8" t="n">
        <f aca="false">IFERROR(0.25-INDEX($O$3:$O$13,MATCH(C64,$N$3:$N$13,0)),0.25)</f>
        <v>0.25</v>
      </c>
      <c r="F64" s="9" t="n">
        <v>-0.469617706237425</v>
      </c>
      <c r="G64" s="10" t="s">
        <v>16</v>
      </c>
      <c r="H64" s="7" t="s">
        <v>25</v>
      </c>
      <c r="I64" s="7" t="s">
        <v>26</v>
      </c>
      <c r="J64" s="11" t="n">
        <v>46244</v>
      </c>
      <c r="K64" s="12"/>
    </row>
    <row r="65" customFormat="false" ht="51" hidden="false" customHeight="true" outlineLevel="0" collapsed="false">
      <c r="A65" s="5" t="s">
        <v>228</v>
      </c>
      <c r="B65" s="6" t="s">
        <v>229</v>
      </c>
      <c r="C65" s="7" t="s">
        <v>23</v>
      </c>
      <c r="D65" s="7" t="s">
        <v>68</v>
      </c>
      <c r="E65" s="8" t="n">
        <f aca="false">IFERROR(0.25-INDEX($O$3:$O$13,MATCH(C65,$N$3:$N$13,0)),0.25)</f>
        <v>0.2158</v>
      </c>
      <c r="F65" s="9" t="n">
        <v>-0.629893238434164</v>
      </c>
      <c r="G65" s="10" t="s">
        <v>16</v>
      </c>
      <c r="H65" s="7" t="s">
        <v>17</v>
      </c>
      <c r="I65" s="7" t="s">
        <v>18</v>
      </c>
      <c r="J65" s="11" t="n">
        <v>46244</v>
      </c>
      <c r="K65" s="12" t="s">
        <v>230</v>
      </c>
    </row>
    <row r="66" customFormat="false" ht="15" hidden="false" customHeight="true" outlineLevel="0" collapsed="false">
      <c r="A66" s="5" t="s">
        <v>231</v>
      </c>
      <c r="B66" s="6" t="s">
        <v>232</v>
      </c>
      <c r="C66" s="7" t="s">
        <v>14</v>
      </c>
      <c r="D66" s="7" t="s">
        <v>93</v>
      </c>
      <c r="E66" s="8" t="n">
        <f aca="false">IFERROR(0.25-INDEX($O$3:$O$13,MATCH(C66,$N$3:$N$13,0)),0.25)</f>
        <v>0.25</v>
      </c>
      <c r="F66" s="9" t="n">
        <v>0.144553072625698</v>
      </c>
      <c r="G66" s="10" t="s">
        <v>16</v>
      </c>
      <c r="H66" s="7" t="s">
        <v>25</v>
      </c>
      <c r="I66" s="7" t="s">
        <v>26</v>
      </c>
      <c r="J66" s="11" t="n">
        <v>46244</v>
      </c>
      <c r="K66" s="12"/>
    </row>
  </sheetData>
  <autoFilter ref="A1:K66">
    <filterColumn colId="6">
      <filters>
        <filter val="Darryl"/>
      </filters>
    </filterColumn>
    <sortState ref="A2:K66">
      <sortCondition ref="A2:A66"/>
    </sortState>
  </autoFilter>
  <conditionalFormatting sqref="I2:I66">
    <cfRule type="cellIs" priority="2" operator="equal" aboveAverage="0" equalAverage="0" bottom="0" percent="0" rank="0" text="" dxfId="10">
      <formula>"Ready for Tier 1"</formula>
    </cfRule>
    <cfRule type="cellIs" priority="3" operator="equal" aboveAverage="0" equalAverage="0" bottom="0" percent="0" rank="0" text="" dxfId="11">
      <formula>"Needs Initial Screen"</formula>
    </cfRule>
    <cfRule type="cellIs" priority="4" operator="equal" aboveAverage="0" equalAverage="0" bottom="0" percent="0" rank="0" text="" dxfId="12">
      <formula>"Rejected"</formula>
    </cfRule>
  </conditionalFormatting>
  <conditionalFormatting sqref="E2:F66">
    <cfRule type="cellIs" priority="5" operator="lessThan" aboveAverage="0" equalAverage="0" bottom="0" percent="0" rank="0" text="" dxfId="12">
      <formula>0</formula>
    </cfRule>
  </conditionalFormatting>
  <conditionalFormatting sqref="E2:E66">
    <cfRule type="cellIs" priority="6" operator="between" aboveAverage="0" equalAverage="0" bottom="0" percent="0" rank="0" text="" dxfId="11">
      <formula>0</formula>
      <formula>0.05</formula>
    </cfRule>
    <cfRule type="cellIs" priority="7" operator="greaterThan" aboveAverage="0" equalAverage="0" bottom="0" percent="0" rank="0" text="" dxfId="10">
      <formula>0.05</formula>
    </cfRule>
  </conditionalFormatting>
  <conditionalFormatting sqref="F2:F66">
    <cfRule type="cellIs" priority="8" operator="between" aboveAverage="0" equalAverage="0" bottom="0" percent="0" rank="0" text="" dxfId="11">
      <formula>0</formula>
      <formula>0.2</formula>
    </cfRule>
    <cfRule type="cellIs" priority="9" operator="greaterThan" aboveAverage="0" equalAverage="0" bottom="0" percent="0" rank="0" text="" dxfId="10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3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I21" activeCellId="0" sqref="I21"/>
    </sheetView>
  </sheetViews>
  <sheetFormatPr defaultColWidth="10.8359375" defaultRowHeight="15.75" customHeight="false" zeroHeight="false" outlineLevelRow="0" outlineLevelCol="0"/>
  <cols>
    <col collapsed="false" customWidth="true" hidden="false" outlineLevel="0" max="1" min="1" style="19" width="8.66"/>
    <col collapsed="false" customWidth="true" hidden="false" outlineLevel="0" max="2" min="2" style="19" width="6.33"/>
    <col collapsed="false" customWidth="true" hidden="false" outlineLevel="0" max="3" min="3" style="19" width="14.16"/>
    <col collapsed="false" customWidth="true" hidden="false" outlineLevel="0" max="4" min="4" style="19" width="6.33"/>
    <col collapsed="false" customWidth="true" hidden="false" outlineLevel="0" max="5" min="5" style="19" width="14"/>
    <col collapsed="false" customWidth="true" hidden="false" outlineLevel="0" max="6" min="6" style="19" width="6.33"/>
    <col collapsed="false" customWidth="false" hidden="false" outlineLevel="0" max="7" min="7" style="19" width="10.83"/>
    <col collapsed="false" customWidth="true" hidden="false" outlineLevel="0" max="8" min="8" style="19" width="6.33"/>
    <col collapsed="false" customWidth="true" hidden="false" outlineLevel="0" max="9" min="9" style="19" width="6.51"/>
    <col collapsed="false" customWidth="true" hidden="false" outlineLevel="0" max="10" min="10" style="19" width="6.33"/>
    <col collapsed="false" customWidth="true" hidden="false" outlineLevel="0" max="11" min="11" style="19" width="8.66"/>
    <col collapsed="false" customWidth="true" hidden="false" outlineLevel="0" max="12" min="12" style="19" width="6.33"/>
    <col collapsed="false" customWidth="true" hidden="false" outlineLevel="0" max="13" min="13" style="19" width="10.33"/>
    <col collapsed="false" customWidth="true" hidden="false" outlineLevel="0" max="14" min="14" style="19" width="6.33"/>
    <col collapsed="false" customWidth="true" hidden="false" outlineLevel="0" max="15" min="15" style="19" width="9.66"/>
    <col collapsed="false" customWidth="true" hidden="false" outlineLevel="0" max="16" min="16" style="19" width="6.33"/>
    <col collapsed="false" customWidth="true" hidden="false" outlineLevel="0" max="17" min="17" style="19" width="8"/>
    <col collapsed="false" customWidth="true" hidden="false" outlineLevel="0" max="18" min="18" style="19" width="6.33"/>
    <col collapsed="false" customWidth="true" hidden="false" outlineLevel="0" max="19" min="19" style="19" width="10.16"/>
    <col collapsed="false" customWidth="true" hidden="false" outlineLevel="0" max="20" min="20" style="19" width="6.33"/>
    <col collapsed="false" customWidth="true" hidden="false" outlineLevel="0" max="21" min="21" style="19" width="7.51"/>
    <col collapsed="false" customWidth="true" hidden="false" outlineLevel="0" max="22" min="22" style="19" width="6.33"/>
    <col collapsed="false" customWidth="true" hidden="false" outlineLevel="0" max="23" min="23" style="20" width="5"/>
    <col collapsed="false" customWidth="true" hidden="false" outlineLevel="0" max="24" min="24" style="21" width="5.16"/>
    <col collapsed="false" customWidth="true" hidden="false" outlineLevel="0" max="25" min="25" style="21" width="3"/>
    <col collapsed="false" customWidth="true" hidden="false" outlineLevel="0" max="26" min="26" style="1" width="28.66"/>
    <col collapsed="false" customWidth="true" hidden="false" outlineLevel="0" max="27" min="27" style="0" width="8.66"/>
    <col collapsed="false" customWidth="true" hidden="false" outlineLevel="0" max="28" min="28" style="0" width="47.84"/>
    <col collapsed="false" customWidth="false" hidden="false" outlineLevel="0" max="16384" min="29" style="21" width="10.83"/>
  </cols>
  <sheetData>
    <row r="1" s="27" customFormat="true" ht="16.5" hidden="false" customHeight="true" outlineLevel="0" collapsed="false">
      <c r="A1" s="22" t="s">
        <v>28</v>
      </c>
      <c r="B1" s="23" t="s">
        <v>233</v>
      </c>
      <c r="C1" s="24" t="s">
        <v>35</v>
      </c>
      <c r="D1" s="25" t="s">
        <v>233</v>
      </c>
      <c r="E1" s="22" t="s">
        <v>234</v>
      </c>
      <c r="F1" s="23" t="s">
        <v>233</v>
      </c>
      <c r="G1" s="24" t="s">
        <v>235</v>
      </c>
      <c r="H1" s="25" t="s">
        <v>233</v>
      </c>
      <c r="I1" s="22" t="s">
        <v>51</v>
      </c>
      <c r="J1" s="23" t="s">
        <v>233</v>
      </c>
      <c r="K1" s="24" t="s">
        <v>56</v>
      </c>
      <c r="L1" s="25" t="s">
        <v>233</v>
      </c>
      <c r="M1" s="22" t="s">
        <v>23</v>
      </c>
      <c r="N1" s="23" t="s">
        <v>233</v>
      </c>
      <c r="O1" s="24" t="s">
        <v>65</v>
      </c>
      <c r="P1" s="25" t="s">
        <v>233</v>
      </c>
      <c r="Q1" s="22" t="s">
        <v>69</v>
      </c>
      <c r="R1" s="23" t="s">
        <v>233</v>
      </c>
      <c r="S1" s="24" t="s">
        <v>31</v>
      </c>
      <c r="T1" s="25" t="s">
        <v>233</v>
      </c>
      <c r="U1" s="22" t="s">
        <v>75</v>
      </c>
      <c r="V1" s="23" t="s">
        <v>233</v>
      </c>
      <c r="W1" s="26" t="s">
        <v>236</v>
      </c>
      <c r="Z1" s="28" t="s">
        <v>2</v>
      </c>
      <c r="AA1" s="28" t="s">
        <v>237</v>
      </c>
      <c r="AB1" s="28" t="s">
        <v>238</v>
      </c>
    </row>
    <row r="2" s="27" customFormat="true" ht="27.75" hidden="false" customHeight="true" outlineLevel="0" collapsed="false">
      <c r="A2" s="22"/>
      <c r="B2" s="23"/>
      <c r="C2" s="24"/>
      <c r="D2" s="25"/>
      <c r="E2" s="22"/>
      <c r="F2" s="23"/>
      <c r="G2" s="24"/>
      <c r="H2" s="25"/>
      <c r="I2" s="22"/>
      <c r="J2" s="23"/>
      <c r="K2" s="24"/>
      <c r="L2" s="25"/>
      <c r="M2" s="22"/>
      <c r="N2" s="23"/>
      <c r="O2" s="24"/>
      <c r="P2" s="25"/>
      <c r="Q2" s="22"/>
      <c r="R2" s="23"/>
      <c r="S2" s="24"/>
      <c r="T2" s="25"/>
      <c r="U2" s="22"/>
      <c r="V2" s="23"/>
      <c r="W2" s="29" t="n">
        <f aca="false">SUM(A16,C16,E16,G16,I16,K16,M16,O16,Q16,S16,U16)</f>
        <v>55</v>
      </c>
      <c r="X2" s="30" t="n">
        <f aca="false">W2/W2</f>
        <v>1</v>
      </c>
      <c r="Z2" s="31" t="s">
        <v>28</v>
      </c>
      <c r="AA2" s="32" t="n">
        <v>3</v>
      </c>
      <c r="AB2" s="33" t="s">
        <v>239</v>
      </c>
    </row>
    <row r="3" s="27" customFormat="true" ht="16.5" hidden="false" customHeight="true" outlineLevel="0" collapsed="false">
      <c r="A3" s="34" t="s">
        <v>82</v>
      </c>
      <c r="B3" s="35" t="s">
        <v>17</v>
      </c>
      <c r="C3" s="36" t="s">
        <v>103</v>
      </c>
      <c r="D3" s="37" t="s">
        <v>17</v>
      </c>
      <c r="E3" s="38"/>
      <c r="F3" s="39" t="s">
        <v>240</v>
      </c>
      <c r="G3" s="36" t="s">
        <v>100</v>
      </c>
      <c r="H3" s="37" t="s">
        <v>17</v>
      </c>
      <c r="I3" s="34" t="s">
        <v>97</v>
      </c>
      <c r="J3" s="35" t="s">
        <v>17</v>
      </c>
      <c r="K3" s="36" t="s">
        <v>183</v>
      </c>
      <c r="L3" s="37" t="s">
        <v>17</v>
      </c>
      <c r="M3" s="40" t="s">
        <v>21</v>
      </c>
      <c r="N3" s="41" t="s">
        <v>25</v>
      </c>
      <c r="O3" s="36" t="s">
        <v>70</v>
      </c>
      <c r="P3" s="37"/>
      <c r="Q3" s="34" t="s">
        <v>78</v>
      </c>
      <c r="R3" s="35" t="s">
        <v>17</v>
      </c>
      <c r="S3" s="42" t="s">
        <v>29</v>
      </c>
      <c r="T3" s="43"/>
      <c r="U3" s="34" t="s">
        <v>170</v>
      </c>
      <c r="V3" s="35" t="s">
        <v>17</v>
      </c>
      <c r="W3" s="44"/>
      <c r="Z3" s="31" t="s">
        <v>35</v>
      </c>
      <c r="AA3" s="32" t="n">
        <v>2</v>
      </c>
      <c r="AB3" s="33" t="s">
        <v>241</v>
      </c>
    </row>
    <row r="4" customFormat="false" ht="16.5" hidden="false" customHeight="true" outlineLevel="0" collapsed="false">
      <c r="A4" s="45" t="s">
        <v>85</v>
      </c>
      <c r="B4" s="46" t="s">
        <v>17</v>
      </c>
      <c r="C4" s="47" t="s">
        <v>160</v>
      </c>
      <c r="D4" s="48" t="s">
        <v>25</v>
      </c>
      <c r="E4" s="49" t="s">
        <v>91</v>
      </c>
      <c r="F4" s="50" t="s">
        <v>25</v>
      </c>
      <c r="G4" s="51" t="s">
        <v>108</v>
      </c>
      <c r="H4" s="37" t="s">
        <v>17</v>
      </c>
      <c r="I4" s="49" t="s">
        <v>111</v>
      </c>
      <c r="J4" s="50" t="s">
        <v>25</v>
      </c>
      <c r="K4" s="49" t="s">
        <v>218</v>
      </c>
      <c r="L4" s="52" t="s">
        <v>25</v>
      </c>
      <c r="M4" s="53" t="s">
        <v>57</v>
      </c>
      <c r="N4" s="54"/>
      <c r="O4" s="51" t="s">
        <v>123</v>
      </c>
      <c r="P4" s="55" t="s">
        <v>17</v>
      </c>
      <c r="Q4" s="45" t="s">
        <v>94</v>
      </c>
      <c r="R4" s="46"/>
      <c r="S4" s="51" t="s">
        <v>76</v>
      </c>
      <c r="T4" s="55"/>
      <c r="U4" s="49" t="s">
        <v>226</v>
      </c>
      <c r="V4" s="52" t="s">
        <v>25</v>
      </c>
      <c r="Z4" s="31" t="s">
        <v>242</v>
      </c>
      <c r="AA4" s="32" t="n">
        <v>10</v>
      </c>
      <c r="AB4" s="33" t="s">
        <v>243</v>
      </c>
    </row>
    <row r="5" customFormat="false" ht="16.5" hidden="false" customHeight="true" outlineLevel="0" collapsed="false">
      <c r="A5" s="49" t="s">
        <v>147</v>
      </c>
      <c r="B5" s="50" t="s">
        <v>25</v>
      </c>
      <c r="C5" s="47" t="s">
        <v>197</v>
      </c>
      <c r="D5" s="48" t="s">
        <v>25</v>
      </c>
      <c r="E5" s="49" t="s">
        <v>244</v>
      </c>
      <c r="F5" s="50" t="s">
        <v>25</v>
      </c>
      <c r="G5" s="51" t="s">
        <v>127</v>
      </c>
      <c r="H5" s="37" t="s">
        <v>17</v>
      </c>
      <c r="I5" s="45" t="s">
        <v>145</v>
      </c>
      <c r="J5" s="46" t="s">
        <v>17</v>
      </c>
      <c r="K5" s="51"/>
      <c r="L5" s="55"/>
      <c r="M5" s="45" t="s">
        <v>66</v>
      </c>
      <c r="N5" s="46"/>
      <c r="O5" s="51" t="s">
        <v>150</v>
      </c>
      <c r="P5" s="55"/>
      <c r="Q5" s="45"/>
      <c r="R5" s="46"/>
      <c r="S5" s="53" t="s">
        <v>137</v>
      </c>
      <c r="T5" s="56"/>
      <c r="U5" s="45"/>
      <c r="V5" s="46"/>
      <c r="Z5" s="31" t="s">
        <v>245</v>
      </c>
      <c r="AA5" s="32" t="n">
        <v>4</v>
      </c>
      <c r="AB5" s="33" t="s">
        <v>246</v>
      </c>
    </row>
    <row r="6" customFormat="false" ht="15.75" hidden="false" customHeight="true" outlineLevel="0" collapsed="false">
      <c r="A6" s="45"/>
      <c r="B6" s="46"/>
      <c r="C6" s="51"/>
      <c r="D6" s="55"/>
      <c r="E6" s="45" t="s">
        <v>247</v>
      </c>
      <c r="F6" s="46" t="s">
        <v>17</v>
      </c>
      <c r="G6" s="49" t="s">
        <v>181</v>
      </c>
      <c r="H6" s="52" t="s">
        <v>25</v>
      </c>
      <c r="I6" s="45" t="s">
        <v>166</v>
      </c>
      <c r="J6" s="46" t="s">
        <v>17</v>
      </c>
      <c r="K6" s="51"/>
      <c r="L6" s="55"/>
      <c r="M6" s="45" t="s">
        <v>73</v>
      </c>
      <c r="N6" s="46"/>
      <c r="O6" s="51" t="s">
        <v>189</v>
      </c>
      <c r="P6" s="55"/>
      <c r="Q6" s="45"/>
      <c r="R6" s="46"/>
      <c r="S6" s="49" t="s">
        <v>168</v>
      </c>
      <c r="T6" s="52" t="s">
        <v>25</v>
      </c>
      <c r="U6" s="45"/>
      <c r="V6" s="46"/>
      <c r="Z6" s="31" t="s">
        <v>51</v>
      </c>
      <c r="AA6" s="32" t="n">
        <v>6</v>
      </c>
      <c r="AB6" s="33" t="s">
        <v>248</v>
      </c>
    </row>
    <row r="7" customFormat="false" ht="15.75" hidden="false" customHeight="true" outlineLevel="0" collapsed="false">
      <c r="A7" s="45"/>
      <c r="B7" s="46"/>
      <c r="C7" s="51"/>
      <c r="D7" s="55"/>
      <c r="E7" s="57" t="s">
        <v>249</v>
      </c>
      <c r="F7" s="58" t="s">
        <v>25</v>
      </c>
      <c r="G7" s="51"/>
      <c r="H7" s="55"/>
      <c r="I7" s="45" t="s">
        <v>175</v>
      </c>
      <c r="J7" s="46" t="s">
        <v>17</v>
      </c>
      <c r="K7" s="51"/>
      <c r="L7" s="55"/>
      <c r="M7" s="45" t="s">
        <v>134</v>
      </c>
      <c r="N7" s="46"/>
      <c r="O7" s="51" t="s">
        <v>195</v>
      </c>
      <c r="P7" s="55"/>
      <c r="Q7" s="45"/>
      <c r="R7" s="46"/>
      <c r="S7" s="51" t="s">
        <v>207</v>
      </c>
      <c r="T7" s="55"/>
      <c r="U7" s="45"/>
      <c r="V7" s="46"/>
      <c r="Z7" s="31" t="s">
        <v>56</v>
      </c>
      <c r="AA7" s="32" t="n">
        <v>2</v>
      </c>
      <c r="AB7" s="33" t="s">
        <v>250</v>
      </c>
    </row>
    <row r="8" customFormat="false" ht="16.5" hidden="false" customHeight="true" outlineLevel="0" collapsed="false">
      <c r="A8" s="45"/>
      <c r="B8" s="46"/>
      <c r="C8" s="51"/>
      <c r="D8" s="55"/>
      <c r="E8" s="59"/>
      <c r="F8" s="60" t="s">
        <v>251</v>
      </c>
      <c r="G8" s="51"/>
      <c r="H8" s="55"/>
      <c r="I8" s="49" t="s">
        <v>192</v>
      </c>
      <c r="J8" s="50" t="s">
        <v>25</v>
      </c>
      <c r="K8" s="51"/>
      <c r="L8" s="55"/>
      <c r="M8" s="45" t="s">
        <v>173</v>
      </c>
      <c r="N8" s="46"/>
      <c r="O8" s="51" t="s">
        <v>201</v>
      </c>
      <c r="P8" s="55"/>
      <c r="Q8" s="45"/>
      <c r="R8" s="46"/>
      <c r="S8" s="51"/>
      <c r="T8" s="55"/>
      <c r="U8" s="45"/>
      <c r="V8" s="46"/>
      <c r="Z8" s="31" t="s">
        <v>23</v>
      </c>
      <c r="AA8" s="32" t="n">
        <v>9</v>
      </c>
      <c r="AB8" s="33" t="s">
        <v>252</v>
      </c>
    </row>
    <row r="9" customFormat="false" ht="15.75" hidden="false" customHeight="true" outlineLevel="0" collapsed="false">
      <c r="A9" s="45"/>
      <c r="B9" s="46"/>
      <c r="C9" s="51"/>
      <c r="D9" s="55"/>
      <c r="E9" s="61" t="s">
        <v>163</v>
      </c>
      <c r="F9" s="62" t="s">
        <v>17</v>
      </c>
      <c r="G9" s="51"/>
      <c r="H9" s="55"/>
      <c r="I9" s="45"/>
      <c r="J9" s="46"/>
      <c r="K9" s="51"/>
      <c r="L9" s="55"/>
      <c r="M9" s="45" t="s">
        <v>178</v>
      </c>
      <c r="N9" s="46" t="s">
        <v>17</v>
      </c>
      <c r="O9" s="51" t="s">
        <v>204</v>
      </c>
      <c r="P9" s="55"/>
      <c r="Q9" s="45"/>
      <c r="R9" s="46"/>
      <c r="S9" s="51"/>
      <c r="T9" s="55"/>
      <c r="U9" s="45"/>
      <c r="V9" s="46"/>
      <c r="Z9" s="31" t="s">
        <v>65</v>
      </c>
      <c r="AA9" s="32" t="n">
        <v>8</v>
      </c>
      <c r="AB9" s="33" t="s">
        <v>253</v>
      </c>
    </row>
    <row r="10" customFormat="false" ht="15.75" hidden="false" customHeight="true" outlineLevel="0" collapsed="false">
      <c r="A10" s="45"/>
      <c r="B10" s="46"/>
      <c r="C10" s="51"/>
      <c r="D10" s="55"/>
      <c r="E10" s="45" t="s">
        <v>254</v>
      </c>
      <c r="F10" s="62" t="s">
        <v>255</v>
      </c>
      <c r="G10" s="51"/>
      <c r="H10" s="55"/>
      <c r="I10" s="45"/>
      <c r="J10" s="46"/>
      <c r="K10" s="51"/>
      <c r="L10" s="55"/>
      <c r="M10" s="53" t="s">
        <v>209</v>
      </c>
      <c r="N10" s="54"/>
      <c r="O10" s="51" t="s">
        <v>215</v>
      </c>
      <c r="P10" s="55" t="s">
        <v>17</v>
      </c>
      <c r="Q10" s="45"/>
      <c r="R10" s="46"/>
      <c r="S10" s="51"/>
      <c r="T10" s="55"/>
      <c r="U10" s="45"/>
      <c r="V10" s="46"/>
      <c r="Z10" s="31" t="s">
        <v>69</v>
      </c>
      <c r="AA10" s="32" t="n">
        <v>2</v>
      </c>
      <c r="AB10" s="33" t="s">
        <v>256</v>
      </c>
    </row>
    <row r="11" customFormat="false" ht="15.75" hidden="false" customHeight="true" outlineLevel="0" collapsed="false">
      <c r="A11" s="45"/>
      <c r="B11" s="46"/>
      <c r="C11" s="51"/>
      <c r="D11" s="55"/>
      <c r="E11" s="45" t="s">
        <v>257</v>
      </c>
      <c r="F11" s="62" t="s">
        <v>17</v>
      </c>
      <c r="G11" s="51"/>
      <c r="H11" s="55"/>
      <c r="I11" s="45"/>
      <c r="J11" s="46"/>
      <c r="K11" s="51"/>
      <c r="L11" s="55"/>
      <c r="M11" s="45" t="s">
        <v>220</v>
      </c>
      <c r="N11" s="46"/>
      <c r="O11" s="51"/>
      <c r="P11" s="55"/>
      <c r="Q11" s="45"/>
      <c r="R11" s="46"/>
      <c r="S11" s="51"/>
      <c r="T11" s="55"/>
      <c r="U11" s="45"/>
      <c r="V11" s="46"/>
      <c r="Z11" s="31" t="s">
        <v>31</v>
      </c>
      <c r="AA11" s="32" t="n">
        <v>5</v>
      </c>
      <c r="AB11" s="33" t="s">
        <v>258</v>
      </c>
    </row>
    <row r="12" customFormat="false" ht="16.5" hidden="false" customHeight="true" outlineLevel="0" collapsed="false">
      <c r="A12" s="45"/>
      <c r="B12" s="46"/>
      <c r="C12" s="51"/>
      <c r="D12" s="55"/>
      <c r="E12" s="59"/>
      <c r="F12" s="63" t="s">
        <v>259</v>
      </c>
      <c r="G12" s="51"/>
      <c r="H12" s="55"/>
      <c r="I12" s="45"/>
      <c r="J12" s="46"/>
      <c r="K12" s="51"/>
      <c r="L12" s="55"/>
      <c r="M12" s="45" t="s">
        <v>228</v>
      </c>
      <c r="N12" s="46" t="s">
        <v>17</v>
      </c>
      <c r="O12" s="51"/>
      <c r="P12" s="55"/>
      <c r="Q12" s="45"/>
      <c r="R12" s="46"/>
      <c r="S12" s="51"/>
      <c r="T12" s="55"/>
      <c r="U12" s="45"/>
      <c r="V12" s="46"/>
      <c r="Z12" s="31" t="s">
        <v>75</v>
      </c>
      <c r="AA12" s="32" t="n">
        <v>2</v>
      </c>
      <c r="AB12" s="33" t="s">
        <v>260</v>
      </c>
    </row>
    <row r="13" customFormat="false" ht="15.75" hidden="false" customHeight="true" outlineLevel="0" collapsed="false">
      <c r="A13" s="45"/>
      <c r="B13" s="46"/>
      <c r="C13" s="51"/>
      <c r="D13" s="55"/>
      <c r="E13" s="61" t="s">
        <v>12</v>
      </c>
      <c r="F13" s="62" t="s">
        <v>17</v>
      </c>
      <c r="G13" s="51"/>
      <c r="H13" s="55"/>
      <c r="I13" s="45"/>
      <c r="J13" s="46"/>
      <c r="K13" s="51"/>
      <c r="L13" s="55"/>
      <c r="M13" s="45"/>
      <c r="N13" s="46"/>
      <c r="O13" s="51"/>
      <c r="P13" s="55"/>
      <c r="Q13" s="45"/>
      <c r="R13" s="46"/>
      <c r="S13" s="51"/>
      <c r="T13" s="55"/>
      <c r="U13" s="45"/>
      <c r="V13" s="46"/>
      <c r="Z13" s="64" t="s">
        <v>261</v>
      </c>
      <c r="AA13" s="65" t="n">
        <v>1</v>
      </c>
      <c r="AB13" s="66" t="s">
        <v>262</v>
      </c>
    </row>
    <row r="14" customFormat="false" ht="15.75" hidden="false" customHeight="true" outlineLevel="0" collapsed="false">
      <c r="A14" s="45"/>
      <c r="B14" s="46"/>
      <c r="C14" s="51"/>
      <c r="D14" s="55"/>
      <c r="E14" s="45" t="s">
        <v>263</v>
      </c>
      <c r="F14" s="46" t="s">
        <v>17</v>
      </c>
      <c r="G14" s="51"/>
      <c r="H14" s="55"/>
      <c r="I14" s="45"/>
      <c r="J14" s="46"/>
      <c r="K14" s="51"/>
      <c r="L14" s="55"/>
      <c r="M14" s="45"/>
      <c r="N14" s="46"/>
      <c r="O14" s="51"/>
      <c r="P14" s="55"/>
      <c r="Q14" s="45"/>
      <c r="R14" s="46"/>
      <c r="S14" s="51"/>
      <c r="T14" s="55"/>
      <c r="U14" s="45"/>
      <c r="V14" s="46"/>
    </row>
    <row r="15" customFormat="false" ht="16.5" hidden="false" customHeight="true" outlineLevel="0" collapsed="false">
      <c r="A15" s="67"/>
      <c r="B15" s="68"/>
      <c r="C15" s="69"/>
      <c r="D15" s="70"/>
      <c r="E15" s="71" t="s">
        <v>264</v>
      </c>
      <c r="F15" s="72" t="s">
        <v>25</v>
      </c>
      <c r="G15" s="69"/>
      <c r="H15" s="70"/>
      <c r="I15" s="67"/>
      <c r="J15" s="68"/>
      <c r="K15" s="69"/>
      <c r="L15" s="70"/>
      <c r="M15" s="67"/>
      <c r="N15" s="68"/>
      <c r="O15" s="69"/>
      <c r="P15" s="70"/>
      <c r="Q15" s="67"/>
      <c r="R15" s="68"/>
      <c r="S15" s="69"/>
      <c r="T15" s="70"/>
      <c r="U15" s="67"/>
      <c r="V15" s="68"/>
    </row>
    <row r="16" s="73" customFormat="true" ht="16.5" hidden="false" customHeight="true" outlineLevel="0" collapsed="false">
      <c r="A16" s="20" t="n">
        <f aca="false">COUNTA(A3:A15)</f>
        <v>3</v>
      </c>
      <c r="C16" s="20" t="n">
        <f aca="false">COUNTA(C3:C15)</f>
        <v>3</v>
      </c>
      <c r="E16" s="20" t="n">
        <f aca="false">COUNTA(E3:E15)</f>
        <v>10</v>
      </c>
      <c r="G16" s="20" t="n">
        <f aca="false">COUNTA(G3:G15)</f>
        <v>4</v>
      </c>
      <c r="I16" s="20" t="n">
        <f aca="false">COUNTA(I3:I15)</f>
        <v>6</v>
      </c>
      <c r="K16" s="20" t="n">
        <f aca="false">COUNTA(K3:K15)</f>
        <v>2</v>
      </c>
      <c r="M16" s="20" t="n">
        <f aca="false">COUNTA(M3:M15)</f>
        <v>10</v>
      </c>
      <c r="O16" s="20" t="n">
        <f aca="false">COUNTA(O3:O15)</f>
        <v>8</v>
      </c>
      <c r="Q16" s="20" t="n">
        <f aca="false">COUNTA(Q3:Q15)</f>
        <v>2</v>
      </c>
      <c r="S16" s="20" t="n">
        <f aca="false">COUNTA(S3:S15)</f>
        <v>5</v>
      </c>
      <c r="U16" s="20" t="n">
        <f aca="false">COUNTA(U3:U15)</f>
        <v>2</v>
      </c>
      <c r="Z16" s="20"/>
    </row>
    <row r="17" customFormat="false" ht="16.5" hidden="false" customHeight="true" outlineLevel="0" collapsed="false">
      <c r="A17" s="74" t="s">
        <v>265</v>
      </c>
      <c r="B17" s="75" t="n">
        <f aca="false">COUNTA(B3:B15)</f>
        <v>3</v>
      </c>
      <c r="D17" s="75" t="n">
        <f aca="false">COUNTA(D3:D15)</f>
        <v>3</v>
      </c>
      <c r="F17" s="75" t="n">
        <f aca="false">COUNTA(F4:F7,F9:F11,F13:F15)</f>
        <v>10</v>
      </c>
      <c r="G17" s="75"/>
      <c r="H17" s="75" t="n">
        <f aca="false">COUNTA(H3:H15)</f>
        <v>4</v>
      </c>
      <c r="I17" s="75"/>
      <c r="J17" s="75" t="n">
        <f aca="false">COUNTA(J3:J15)</f>
        <v>6</v>
      </c>
      <c r="K17" s="75"/>
      <c r="L17" s="75" t="n">
        <f aca="false">COUNTA(L3:L15)</f>
        <v>2</v>
      </c>
      <c r="M17" s="75"/>
      <c r="N17" s="75" t="n">
        <f aca="false">COUNTA(N3:N15)</f>
        <v>3</v>
      </c>
      <c r="O17" s="75"/>
      <c r="P17" s="75" t="n">
        <f aca="false">COUNTA(P3:P15)</f>
        <v>2</v>
      </c>
      <c r="Q17" s="75"/>
      <c r="R17" s="75" t="n">
        <f aca="false">COUNTA(R3:R15)</f>
        <v>1</v>
      </c>
      <c r="S17" s="75"/>
      <c r="T17" s="75" t="n">
        <f aca="false">COUNTA(T3:T15)</f>
        <v>1</v>
      </c>
      <c r="U17" s="75"/>
      <c r="V17" s="75" t="n">
        <f aca="false">COUNTA(V3:V15)</f>
        <v>2</v>
      </c>
      <c r="W17" s="29" t="n">
        <f aca="false">SUM(B17,D17,F17,H17,J17,L17,N17,P17,R17,T17,V17)</f>
        <v>37</v>
      </c>
      <c r="X17" s="30" t="n">
        <f aca="false">W17/W2</f>
        <v>0.672727272727273</v>
      </c>
    </row>
    <row r="18" customFormat="false" ht="15.75" hidden="false" customHeight="true" outlineLevel="0" collapsed="false">
      <c r="A18" s="75"/>
      <c r="B18" s="76" t="n">
        <f aca="false">B17/A16</f>
        <v>1</v>
      </c>
      <c r="C18" s="75"/>
      <c r="D18" s="76" t="n">
        <f aca="false">D17/C16</f>
        <v>1</v>
      </c>
      <c r="E18" s="75"/>
      <c r="F18" s="76" t="n">
        <f aca="false">F17/E16</f>
        <v>1</v>
      </c>
      <c r="H18" s="76" t="n">
        <f aca="false">H17/G16</f>
        <v>1</v>
      </c>
      <c r="J18" s="76" t="n">
        <f aca="false">J17/I16</f>
        <v>1</v>
      </c>
      <c r="L18" s="76" t="n">
        <f aca="false">L17/K16</f>
        <v>1</v>
      </c>
      <c r="N18" s="76" t="n">
        <f aca="false">N17/M16</f>
        <v>0.3</v>
      </c>
      <c r="P18" s="76" t="n">
        <f aca="false">P17/O16</f>
        <v>0.25</v>
      </c>
      <c r="R18" s="76" t="n">
        <f aca="false">R17/Q16</f>
        <v>0.5</v>
      </c>
      <c r="T18" s="76" t="n">
        <f aca="false">T17/S16</f>
        <v>0.2</v>
      </c>
      <c r="V18" s="76" t="n">
        <f aca="false">V17/U16</f>
        <v>1</v>
      </c>
    </row>
    <row r="19" customFormat="false" ht="15.75" hidden="false" customHeight="true" outlineLevel="0" collapsed="false">
      <c r="A19" s="77" t="s">
        <v>266</v>
      </c>
      <c r="B19" s="19" t="n">
        <f aca="false">A16-B17</f>
        <v>0</v>
      </c>
      <c r="D19" s="19" t="n">
        <f aca="false">C16-D17</f>
        <v>0</v>
      </c>
      <c r="F19" s="19" t="n">
        <f aca="false">E16-F17</f>
        <v>0</v>
      </c>
      <c r="H19" s="19" t="n">
        <f aca="false">G16-H17</f>
        <v>0</v>
      </c>
      <c r="J19" s="19" t="n">
        <f aca="false">I16-J17</f>
        <v>0</v>
      </c>
      <c r="L19" s="19" t="n">
        <f aca="false">K16-L17</f>
        <v>0</v>
      </c>
      <c r="N19" s="19" t="n">
        <f aca="false">M16-N17</f>
        <v>7</v>
      </c>
      <c r="P19" s="19" t="n">
        <f aca="false">O16-P17</f>
        <v>6</v>
      </c>
      <c r="R19" s="19" t="n">
        <f aca="false">Q16-R17</f>
        <v>1</v>
      </c>
      <c r="T19" s="19" t="n">
        <f aca="false">S16-T17</f>
        <v>4</v>
      </c>
      <c r="W19" s="29" t="n">
        <f aca="false">SUM(B19,D19,F19,H19,J19,L19,N19,P19,R19,T19,V19)</f>
        <v>18</v>
      </c>
      <c r="X19" s="78" t="n">
        <f aca="false">W19/W2</f>
        <v>0.327272727272727</v>
      </c>
    </row>
    <row r="20" customFormat="false" ht="16.5" hidden="false" customHeight="true" outlineLevel="0" collapsed="false">
      <c r="E20" s="19" t="s">
        <v>267</v>
      </c>
      <c r="V20" s="79" t="s">
        <v>268</v>
      </c>
      <c r="W20" s="80" t="n">
        <f aca="false">COUNTIF($A$1:$V$15,"PASS")</f>
        <v>14</v>
      </c>
      <c r="X20" s="81" t="n">
        <f aca="false">W20/W2</f>
        <v>0.254545454545455</v>
      </c>
    </row>
    <row r="21" customFormat="false" ht="16.5" hidden="false" customHeight="true" outlineLevel="0" collapsed="false">
      <c r="A21" s="82"/>
      <c r="B21" s="83" t="s">
        <v>269</v>
      </c>
      <c r="V21" s="79" t="s">
        <v>270</v>
      </c>
      <c r="W21" s="84" t="n">
        <f aca="false">COUNTIF($A$1:$V$15,"Avoid")</f>
        <v>22</v>
      </c>
      <c r="X21" s="85" t="n">
        <f aca="false">W21/W2</f>
        <v>0.4</v>
      </c>
    </row>
    <row r="22" customFormat="false" ht="16.5" hidden="false" customHeight="true" outlineLevel="0" collapsed="false">
      <c r="V22" s="79" t="s">
        <v>271</v>
      </c>
      <c r="W22" s="86" t="n">
        <f aca="false">SUM(W20:W21)</f>
        <v>36</v>
      </c>
      <c r="X22" s="87" t="n">
        <f aca="false">W22/W2</f>
        <v>0.654545454545455</v>
      </c>
    </row>
    <row r="23" customFormat="false" ht="16.5" hidden="false" customHeight="true" outlineLevel="0" collapsed="false">
      <c r="E23" s="83" t="s">
        <v>272</v>
      </c>
    </row>
  </sheetData>
  <mergeCells count="2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6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4" man="true" max="65535" min="0"/>
  </colBreaks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2026-08-10T18:13:39Z</dcterms:created>
  <dc:creator>Alan Landry</dc:creator>
  <dc:description/>
  <dc:language>en-US</dc:language>
  <cp:lastModifiedBy>Alan Landry</cp:lastModifiedBy>
  <dcterms:modified xsi:type="dcterms:W3CDTF">2026-10-02T14:15:32Z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