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an/Library/CloudStorage/Dropbox/1 Personal/Financial/1 AI Optimization/"/>
    </mc:Choice>
  </mc:AlternateContent>
  <xr:revisionPtr revIDLastSave="0" documentId="13_ncr:1_{E9F0FC26-FC57-FC49-BB29-140F3FB18A3C}" xr6:coauthVersionLast="47" xr6:coauthVersionMax="47" xr10:uidLastSave="{00000000-0000-0000-0000-000000000000}"/>
  <bookViews>
    <workbookView xWindow="880" yWindow="600" windowWidth="24640" windowHeight="13760" xr2:uid="{96A70C8C-F21C-AA4E-8F9A-A824A72EB71C}"/>
  </bookViews>
  <sheets>
    <sheet name="8-10-26 Screen_Candidates (4)" sheetId="4" r:id="rId1"/>
    <sheet name="8-10-26 Screen_Candidates (3)" sheetId="3" state="hidden" r:id="rId2"/>
    <sheet name="8-10-26 Screen_Candidates (2)" sheetId="2" state="hidden" r:id="rId3"/>
    <sheet name="8-10-26 Screen_Candidates" sheetId="1" state="hidden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6" i="4" l="1"/>
  <c r="F17" i="4" s="1"/>
  <c r="C16" i="4"/>
  <c r="D17" i="4" s="1"/>
  <c r="D16" i="4"/>
  <c r="E16" i="4"/>
  <c r="G16" i="4"/>
  <c r="H16" i="4"/>
  <c r="I16" i="4"/>
  <c r="J16" i="4"/>
  <c r="K16" i="4"/>
  <c r="L16" i="4"/>
  <c r="M16" i="4"/>
  <c r="N16" i="4"/>
  <c r="N17" i="4" s="1"/>
  <c r="O16" i="4"/>
  <c r="P16" i="4"/>
  <c r="Q16" i="4"/>
  <c r="R16" i="4"/>
  <c r="R17" i="4" s="1"/>
  <c r="S16" i="4"/>
  <c r="T17" i="4" s="1"/>
  <c r="T16" i="4"/>
  <c r="U16" i="4"/>
  <c r="V16" i="4"/>
  <c r="H17" i="4"/>
  <c r="J17" i="4"/>
  <c r="L17" i="4"/>
  <c r="P17" i="4"/>
  <c r="V17" i="4"/>
  <c r="B17" i="4"/>
  <c r="B16" i="4"/>
  <c r="A16" i="4"/>
  <c r="W19" i="4"/>
  <c r="W20" i="4"/>
  <c r="X20" i="4" s="1"/>
  <c r="W2" i="4"/>
  <c r="X2" i="4" s="1"/>
  <c r="W2" i="3"/>
  <c r="W16" i="4" l="1"/>
  <c r="X16" i="4" s="1"/>
  <c r="W21" i="4"/>
  <c r="X21" i="4" s="1"/>
  <c r="X19" i="4"/>
</calcChain>
</file>

<file path=xl/sharedStrings.xml><?xml version="1.0" encoding="utf-8"?>
<sst xmlns="http://schemas.openxmlformats.org/spreadsheetml/2006/main" count="301" uniqueCount="106">
  <si>
    <t>Sector</t>
  </si>
  <si>
    <t>Ticker Count</t>
  </si>
  <si>
    <t>Tickers</t>
  </si>
  <si>
    <t>Basic Materials</t>
  </si>
  <si>
    <t>CE, CLF, LIN</t>
  </si>
  <si>
    <t>Communication Services</t>
  </si>
  <si>
    <t>DIS, NFLX, SPOT</t>
  </si>
  <si>
    <t>Consumer Cyclical/Discretionary</t>
  </si>
  <si>
    <t>AAP, BABA, CMG, DPZ, ETSY, GOOS, NKE, PZZA, VFC, YUM</t>
  </si>
  <si>
    <t>Consumer Defensive/Staples</t>
  </si>
  <si>
    <t>DEO, EL, HRL, PG</t>
  </si>
  <si>
    <t>Energy</t>
  </si>
  <si>
    <t>CRK, ET, LBRT, NOV, OKE, SLB</t>
  </si>
  <si>
    <t>Financial Services</t>
  </si>
  <si>
    <t>PYPL, V</t>
  </si>
  <si>
    <t>Healthcare</t>
  </si>
  <si>
    <t>ABT, AZN, BAX, BSX, ICLR, NTRA, PFE, UNH, VEEV, XRAY</t>
  </si>
  <si>
    <t>Industrials</t>
  </si>
  <si>
    <t>BE, GXO, MIR, QXO, SMR, SUNB, SWK, UPS</t>
  </si>
  <si>
    <t>Real Estate</t>
  </si>
  <si>
    <t>CCI, COLD</t>
  </si>
  <si>
    <t>Technology</t>
  </si>
  <si>
    <t>ACN, CBRS, INTU, NOW, UBER</t>
  </si>
  <si>
    <t>Utilities</t>
  </si>
  <si>
    <t>NRG, VST</t>
  </si>
  <si>
    <t>Index/ETF</t>
  </si>
  <si>
    <t>IWM</t>
  </si>
  <si>
    <t>CE</t>
  </si>
  <si>
    <t>DIS</t>
  </si>
  <si>
    <t>AAP</t>
  </si>
  <si>
    <t>DEO</t>
  </si>
  <si>
    <t>CRK</t>
  </si>
  <si>
    <t>PYPL</t>
  </si>
  <si>
    <t>ABT</t>
  </si>
  <si>
    <t>BE</t>
  </si>
  <si>
    <t>CCI</t>
  </si>
  <si>
    <t>ACN</t>
  </si>
  <si>
    <t>NRG</t>
  </si>
  <si>
    <t>CLF</t>
  </si>
  <si>
    <t>NFLX</t>
  </si>
  <si>
    <t>BABA</t>
  </si>
  <si>
    <t>EL</t>
  </si>
  <si>
    <t>ET</t>
  </si>
  <si>
    <t>V</t>
  </si>
  <si>
    <t>AZN</t>
  </si>
  <si>
    <t>GXO</t>
  </si>
  <si>
    <t>COLD</t>
  </si>
  <si>
    <t>CBRS</t>
  </si>
  <si>
    <t>VST</t>
  </si>
  <si>
    <t>LIN</t>
  </si>
  <si>
    <t>SPOT</t>
  </si>
  <si>
    <t>CMG</t>
  </si>
  <si>
    <t>HRL</t>
  </si>
  <si>
    <t>LBRT</t>
  </si>
  <si>
    <t>BAX</t>
  </si>
  <si>
    <t>MIR</t>
  </si>
  <si>
    <t>INTU</t>
  </si>
  <si>
    <t>DPZ</t>
  </si>
  <si>
    <t>PG</t>
  </si>
  <si>
    <t>NOV</t>
  </si>
  <si>
    <t>BSX</t>
  </si>
  <si>
    <t>QXO</t>
  </si>
  <si>
    <t>NOW</t>
  </si>
  <si>
    <t>ETSY</t>
  </si>
  <si>
    <t>OKE</t>
  </si>
  <si>
    <t>ICLR</t>
  </si>
  <si>
    <t>SMR</t>
  </si>
  <si>
    <t>UBER</t>
  </si>
  <si>
    <t>GOOS</t>
  </si>
  <si>
    <t>SLB</t>
  </si>
  <si>
    <t>NTRA</t>
  </si>
  <si>
    <t>SUNB</t>
  </si>
  <si>
    <t>NKE</t>
  </si>
  <si>
    <t>PFE</t>
  </si>
  <si>
    <t>SWK</t>
  </si>
  <si>
    <t>PZZA</t>
  </si>
  <si>
    <t>UNH</t>
  </si>
  <si>
    <t>UPS</t>
  </si>
  <si>
    <t>VFC</t>
  </si>
  <si>
    <t>VEEV</t>
  </si>
  <si>
    <t>YUM</t>
  </si>
  <si>
    <t>XRAY</t>
  </si>
  <si>
    <t>Consumer Cyclical/ Discretionary</t>
  </si>
  <si>
    <t>Consumer Defensive/ Staples</t>
  </si>
  <si>
    <t>Tier 1
Rank</t>
  </si>
  <si>
    <t>Avoid</t>
  </si>
  <si>
    <t>PASS</t>
  </si>
  <si>
    <t>Total</t>
  </si>
  <si>
    <t>Total PASS</t>
  </si>
  <si>
    <t>Total AVOID</t>
  </si>
  <si>
    <t>Theme</t>
  </si>
  <si>
    <t>Restaurants/QSR</t>
  </si>
  <si>
    <t>Apparel</t>
  </si>
  <si>
    <t>Diversified retail/e-commerce</t>
  </si>
  <si>
    <t xml:space="preserve"> DPZ</t>
  </si>
  <si>
    <t xml:space="preserve"> PZZA</t>
  </si>
  <si>
    <t xml:space="preserve"> YUM</t>
  </si>
  <si>
    <t xml:space="preserve"> VFC</t>
  </si>
  <si>
    <t xml:space="preserve"> GOOS</t>
  </si>
  <si>
    <t xml:space="preserve"> BABA</t>
  </si>
  <si>
    <t xml:space="preserve"> ETSY</t>
  </si>
  <si>
    <t>Divers. retail/e-commerce</t>
  </si>
  <si>
    <t>TOTAL ANALYZED</t>
  </si>
  <si>
    <t>Avoid*</t>
  </si>
  <si>
    <t>*Close-reconfirm next QTR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</si>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</sst>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FFFFFF"/>
      <name val="Aptos"/>
    </font>
    <font>
      <sz val="11"/>
      <color theme="1"/>
      <name val="Aptos"/>
    </font>
    <font>
      <b/>
      <sz val="11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Arial Narrow"/>
      <family val="2"/>
    </font>
    <font>
      <sz val="11"/>
      <color rgb="FF0432FF"/>
      <name val="Arial Narrow"/>
      <family val="2"/>
    </font>
    <font>
      <sz val="12"/>
      <color rgb="FF0432FF"/>
      <name val="Arial Narrow"/>
      <family val="2"/>
    </font>
    <font>
      <b/>
      <sz val="12"/>
      <color theme="1"/>
      <name val="Arial Narrow"/>
      <family val="2"/>
    </font>
    <font>
      <b/>
      <sz val="12"/>
      <color rgb="FF0432FF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1" fontId="4" fillId="4" borderId="0" xfId="0" applyNumberFormat="1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" fontId="4" fillId="0" borderId="2" xfId="0" applyNumberFormat="1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1" fontId="7" fillId="5" borderId="6" xfId="0" applyNumberFormat="1" applyFont="1" applyFill="1" applyBorder="1" applyAlignment="1">
      <alignment horizontal="center" vertical="center" wrapText="1"/>
    </xf>
    <xf numFmtId="1" fontId="7" fillId="0" borderId="6" xfId="0" applyNumberFormat="1" applyFont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8" fillId="7" borderId="17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9" fillId="8" borderId="10" xfId="0" applyFont="1" applyFill="1" applyBorder="1" applyAlignment="1">
      <alignment horizontal="center"/>
    </xf>
    <xf numFmtId="0" fontId="6" fillId="0" borderId="0" xfId="0" applyFont="1"/>
    <xf numFmtId="0" fontId="6" fillId="6" borderId="6" xfId="0" applyFont="1" applyFill="1" applyBorder="1" applyAlignment="1">
      <alignment horizontal="center"/>
    </xf>
    <xf numFmtId="0" fontId="9" fillId="6" borderId="12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right"/>
    </xf>
    <xf numFmtId="0" fontId="2" fillId="0" borderId="0" xfId="0" applyFont="1"/>
    <xf numFmtId="0" fontId="6" fillId="6" borderId="11" xfId="0" applyFont="1" applyFill="1" applyBorder="1" applyAlignment="1">
      <alignment horizontal="center"/>
    </xf>
    <xf numFmtId="0" fontId="9" fillId="6" borderId="13" xfId="0" applyFont="1" applyFill="1" applyBorder="1" applyAlignment="1">
      <alignment horizontal="center"/>
    </xf>
    <xf numFmtId="1" fontId="10" fillId="0" borderId="23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wrapText="1"/>
    </xf>
    <xf numFmtId="0" fontId="10" fillId="0" borderId="18" xfId="0" applyFont="1" applyBorder="1" applyAlignment="1">
      <alignment horizontal="center" wrapText="1"/>
    </xf>
    <xf numFmtId="9" fontId="6" fillId="0" borderId="22" xfId="1" applyFont="1" applyBorder="1" applyAlignment="1">
      <alignment horizontal="left" wrapText="1"/>
    </xf>
    <xf numFmtId="1" fontId="10" fillId="0" borderId="22" xfId="0" applyNumberFormat="1" applyFont="1" applyBorder="1" applyAlignment="1">
      <alignment horizontal="center" wrapText="1"/>
    </xf>
    <xf numFmtId="9" fontId="6" fillId="0" borderId="22" xfId="1" applyFont="1" applyBorder="1" applyAlignment="1">
      <alignment horizontal="left"/>
    </xf>
    <xf numFmtId="9" fontId="6" fillId="0" borderId="24" xfId="1" applyFont="1" applyBorder="1" applyAlignment="1">
      <alignment horizontal="left"/>
    </xf>
    <xf numFmtId="9" fontId="6" fillId="0" borderId="25" xfId="1" applyFont="1" applyBorder="1" applyAlignment="1">
      <alignment horizontal="left"/>
    </xf>
    <xf numFmtId="0" fontId="5" fillId="5" borderId="21" xfId="0" applyFont="1" applyFill="1" applyBorder="1" applyAlignment="1">
      <alignment horizontal="right" vertical="center"/>
    </xf>
    <xf numFmtId="0" fontId="6" fillId="6" borderId="19" xfId="0" applyFont="1" applyFill="1" applyBorder="1" applyAlignment="1">
      <alignment horizontal="center"/>
    </xf>
    <xf numFmtId="0" fontId="6" fillId="6" borderId="0" xfId="0" applyFont="1" applyFill="1" applyAlignment="1">
      <alignment horizontal="center" wrapText="1"/>
    </xf>
    <xf numFmtId="0" fontId="10" fillId="0" borderId="0" xfId="0" applyFont="1" applyAlignment="1">
      <alignment horizontal="center"/>
    </xf>
    <xf numFmtId="0" fontId="10" fillId="0" borderId="22" xfId="0" applyFont="1" applyBorder="1" applyAlignment="1">
      <alignment horizontal="center"/>
    </xf>
    <xf numFmtId="0" fontId="5" fillId="5" borderId="18" xfId="0" applyFont="1" applyFill="1" applyBorder="1" applyAlignment="1">
      <alignment horizontal="right" vertical="center" indent="2"/>
    </xf>
    <xf numFmtId="0" fontId="5" fillId="5" borderId="19" xfId="0" applyFont="1" applyFill="1" applyBorder="1" applyAlignment="1">
      <alignment horizontal="right" vertical="center" indent="2"/>
    </xf>
    <xf numFmtId="0" fontId="11" fillId="0" borderId="0" xfId="0" applyFont="1" applyAlignment="1">
      <alignment horizontal="center"/>
    </xf>
    <xf numFmtId="9" fontId="11" fillId="0" borderId="0" xfId="1" applyFont="1" applyAlignment="1">
      <alignment horizontal="center"/>
    </xf>
    <xf numFmtId="0" fontId="6" fillId="0" borderId="0" xfId="0" applyFont="1" applyAlignment="1">
      <alignment horizontal="left"/>
    </xf>
    <xf numFmtId="1" fontId="10" fillId="0" borderId="26" xfId="0" applyNumberFormat="1" applyFont="1" applyBorder="1" applyAlignment="1">
      <alignment horizontal="center" wrapText="1"/>
    </xf>
    <xf numFmtId="0" fontId="10" fillId="9" borderId="9" xfId="0" applyFont="1" applyFill="1" applyBorder="1" applyAlignment="1">
      <alignment horizontal="center"/>
    </xf>
    <xf numFmtId="0" fontId="11" fillId="9" borderId="14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11" fillId="9" borderId="20" xfId="0" applyFont="1" applyFill="1" applyBorder="1" applyAlignment="1">
      <alignment horizontal="center"/>
    </xf>
    <xf numFmtId="0" fontId="10" fillId="9" borderId="6" xfId="0" applyFont="1" applyFill="1" applyBorder="1" applyAlignment="1">
      <alignment horizontal="center"/>
    </xf>
    <xf numFmtId="0" fontId="11" fillId="9" borderId="12" xfId="0" applyFont="1" applyFill="1" applyBorder="1" applyAlignment="1">
      <alignment horizontal="center"/>
    </xf>
    <xf numFmtId="0" fontId="11" fillId="9" borderId="10" xfId="0" applyFont="1" applyFill="1" applyBorder="1" applyAlignment="1">
      <alignment horizontal="center"/>
    </xf>
    <xf numFmtId="0" fontId="5" fillId="5" borderId="27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wrapText="1"/>
    </xf>
    <xf numFmtId="0" fontId="5" fillId="7" borderId="16" xfId="0" applyFont="1" applyFill="1" applyBorder="1" applyAlignment="1">
      <alignment horizontal="center" wrapText="1"/>
    </xf>
    <xf numFmtId="0" fontId="5" fillId="5" borderId="15" xfId="0" applyFont="1" applyFill="1" applyBorder="1" applyAlignment="1">
      <alignment horizontal="center" wrapText="1"/>
    </xf>
    <xf numFmtId="0" fontId="5" fillId="5" borderId="16" xfId="0" applyFont="1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left" vertical="center" textRotation="0" wrapText="0" indent="0" justifyLastLine="0" shrinkToFit="0" readingOrder="0"/>
    </dxf>
    <dxf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FB474C-3678-2545-AB16-CC9423735C58}" name="SectorTickerExtract33" displayName="SectorTickerExtract33" ref="A1:C13" totalsRowShown="0" headerRowDxfId="9" dataDxfId="8">
  <autoFilter ref="A1:C13" xr:uid="{772300D4-9C30-CB45-9F86-6941D745BF7E}"/>
  <tableColumns count="3">
    <tableColumn id="1" xr3:uid="{378E0B79-D6F5-F048-B654-598AEE66E8B5}" name="Sector" dataDxfId="7"/>
    <tableColumn id="2" xr3:uid="{5BAAB9CA-2F30-9743-AF0F-40BB48F45CA2}" name="Ticker Count" dataDxfId="6"/>
    <tableColumn id="3" xr3:uid="{15943EDF-659B-6040-9206-0F33C1E197EA}" name="Tickers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962BBC-1A3B-BE42-B469-BDB38AEE7E2B}" name="SectorTickerExtract3" displayName="SectorTickerExtract3" ref="A1:C13" totalsRowShown="0" headerRowDxfId="4" dataDxfId="3">
  <autoFilter ref="A1:C13" xr:uid="{772300D4-9C30-CB45-9F86-6941D745BF7E}"/>
  <tableColumns count="3">
    <tableColumn id="1" xr3:uid="{FBEF13AE-E3DB-2A4C-AB6A-95BB65052AAF}" name="Sector" dataDxfId="2"/>
    <tableColumn id="2" xr3:uid="{4FA30489-AB10-9D43-9CD8-BD6F16E2516D}" name="Ticker Count" dataDxfId="1"/>
    <tableColumn id="3" xr3:uid="{55F448A7-3EC9-3A41-9BF0-B18DC8785DC5}" name="Ticker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2FD48-B66E-8948-8A8E-58C344D95807}">
  <dimension ref="A1:X25"/>
  <sheetViews>
    <sheetView tabSelected="1" workbookViewId="0">
      <selection activeCell="E22" sqref="E22"/>
    </sheetView>
  </sheetViews>
  <sheetFormatPr baseColWidth="10" defaultRowHeight="16" x14ac:dyDescent="0.2"/>
  <cols>
    <col min="1" max="1" width="8.6640625" style="32" customWidth="1"/>
    <col min="2" max="2" width="6.33203125" style="32" customWidth="1"/>
    <col min="3" max="3" width="14.1640625" style="32" bestFit="1" customWidth="1"/>
    <col min="4" max="4" width="6.33203125" style="32" customWidth="1"/>
    <col min="5" max="5" width="14" style="32" customWidth="1"/>
    <col min="6" max="6" width="6.33203125" style="32" customWidth="1"/>
    <col min="7" max="7" width="10.83203125" style="32"/>
    <col min="8" max="8" width="6.33203125" style="32" customWidth="1"/>
    <col min="9" max="9" width="6.5" style="32" bestFit="1" customWidth="1"/>
    <col min="10" max="10" width="6.33203125" style="32" customWidth="1"/>
    <col min="11" max="11" width="8.6640625" style="32" bestFit="1" customWidth="1"/>
    <col min="12" max="12" width="6.33203125" style="32" customWidth="1"/>
    <col min="13" max="13" width="10.33203125" style="32" bestFit="1" customWidth="1"/>
    <col min="14" max="14" width="6.33203125" style="32" customWidth="1"/>
    <col min="15" max="15" width="9.6640625" style="32" bestFit="1" customWidth="1"/>
    <col min="16" max="16" width="6.33203125" style="32" customWidth="1"/>
    <col min="17" max="17" width="8" style="32" customWidth="1"/>
    <col min="18" max="18" width="6.33203125" style="32" customWidth="1"/>
    <col min="19" max="19" width="10.1640625" style="32" bestFit="1" customWidth="1"/>
    <col min="20" max="20" width="6.33203125" style="32" customWidth="1"/>
    <col min="21" max="21" width="7.5" style="32" bestFit="1" customWidth="1"/>
    <col min="22" max="22" width="6.33203125" style="32" customWidth="1"/>
    <col min="23" max="23" width="5" style="50" bestFit="1" customWidth="1"/>
    <col min="24" max="24" width="5.1640625" style="27" bestFit="1" customWidth="1"/>
    <col min="25" max="16384" width="10.83203125" style="27"/>
  </cols>
  <sheetData>
    <row r="1" spans="1:24" s="16" customFormat="1" ht="17" x14ac:dyDescent="0.2">
      <c r="A1" s="65" t="s">
        <v>3</v>
      </c>
      <c r="B1" s="71" t="s">
        <v>84</v>
      </c>
      <c r="C1" s="67" t="s">
        <v>5</v>
      </c>
      <c r="D1" s="69" t="s">
        <v>84</v>
      </c>
      <c r="E1" s="65" t="s">
        <v>82</v>
      </c>
      <c r="F1" s="71" t="s">
        <v>84</v>
      </c>
      <c r="G1" s="67" t="s">
        <v>83</v>
      </c>
      <c r="H1" s="69" t="s">
        <v>84</v>
      </c>
      <c r="I1" s="65" t="s">
        <v>11</v>
      </c>
      <c r="J1" s="71" t="s">
        <v>84</v>
      </c>
      <c r="K1" s="67" t="s">
        <v>13</v>
      </c>
      <c r="L1" s="69" t="s">
        <v>84</v>
      </c>
      <c r="M1" s="65" t="s">
        <v>15</v>
      </c>
      <c r="N1" s="71" t="s">
        <v>84</v>
      </c>
      <c r="O1" s="67" t="s">
        <v>17</v>
      </c>
      <c r="P1" s="69" t="s">
        <v>84</v>
      </c>
      <c r="Q1" s="65" t="s">
        <v>19</v>
      </c>
      <c r="R1" s="71" t="s">
        <v>84</v>
      </c>
      <c r="S1" s="67" t="s">
        <v>21</v>
      </c>
      <c r="T1" s="69" t="s">
        <v>84</v>
      </c>
      <c r="U1" s="65" t="s">
        <v>23</v>
      </c>
      <c r="V1" s="71" t="s">
        <v>84</v>
      </c>
      <c r="W1" s="41" t="s">
        <v>87</v>
      </c>
    </row>
    <row r="2" spans="1:24" s="16" customFormat="1" ht="28" customHeight="1" thickBot="1" x14ac:dyDescent="0.25">
      <c r="A2" s="66"/>
      <c r="B2" s="72"/>
      <c r="C2" s="68"/>
      <c r="D2" s="70"/>
      <c r="E2" s="66">
        <v>10</v>
      </c>
      <c r="F2" s="72"/>
      <c r="G2" s="68">
        <v>4</v>
      </c>
      <c r="H2" s="70"/>
      <c r="I2" s="66">
        <v>6</v>
      </c>
      <c r="J2" s="72"/>
      <c r="K2" s="68">
        <v>2</v>
      </c>
      <c r="L2" s="70"/>
      <c r="M2" s="66">
        <v>10</v>
      </c>
      <c r="N2" s="72"/>
      <c r="O2" s="68">
        <v>8</v>
      </c>
      <c r="P2" s="70"/>
      <c r="Q2" s="66">
        <v>2</v>
      </c>
      <c r="R2" s="72"/>
      <c r="S2" s="68">
        <v>5</v>
      </c>
      <c r="T2" s="70"/>
      <c r="U2" s="66">
        <v>2</v>
      </c>
      <c r="V2" s="72"/>
      <c r="W2" s="40">
        <f>SUM(A1:U2)</f>
        <v>49</v>
      </c>
      <c r="X2" s="42">
        <f>W2/W2</f>
        <v>1</v>
      </c>
    </row>
    <row r="3" spans="1:24" s="16" customFormat="1" x14ac:dyDescent="0.2">
      <c r="A3" s="19" t="s">
        <v>27</v>
      </c>
      <c r="B3" s="20" t="s">
        <v>85</v>
      </c>
      <c r="C3" s="21" t="s">
        <v>28</v>
      </c>
      <c r="D3" s="22"/>
      <c r="E3" s="49"/>
      <c r="F3" s="52" t="s">
        <v>91</v>
      </c>
      <c r="G3" s="21" t="s">
        <v>30</v>
      </c>
      <c r="H3" s="22" t="s">
        <v>85</v>
      </c>
      <c r="I3" s="19" t="s">
        <v>31</v>
      </c>
      <c r="J3" s="20" t="s">
        <v>85</v>
      </c>
      <c r="K3" s="21" t="s">
        <v>32</v>
      </c>
      <c r="L3" s="22"/>
      <c r="M3" s="19" t="s">
        <v>33</v>
      </c>
      <c r="N3" s="20"/>
      <c r="O3" s="21" t="s">
        <v>34</v>
      </c>
      <c r="P3" s="22"/>
      <c r="Q3" s="19" t="s">
        <v>35</v>
      </c>
      <c r="R3" s="20"/>
      <c r="S3" s="21" t="s">
        <v>36</v>
      </c>
      <c r="T3" s="22"/>
      <c r="U3" s="19" t="s">
        <v>37</v>
      </c>
      <c r="V3" s="20"/>
      <c r="W3" s="33"/>
    </row>
    <row r="4" spans="1:24" x14ac:dyDescent="0.2">
      <c r="A4" s="23" t="s">
        <v>38</v>
      </c>
      <c r="B4" s="24" t="s">
        <v>85</v>
      </c>
      <c r="C4" s="25" t="s">
        <v>39</v>
      </c>
      <c r="D4" s="26"/>
      <c r="E4" s="58" t="s">
        <v>51</v>
      </c>
      <c r="F4" s="59" t="s">
        <v>86</v>
      </c>
      <c r="G4" s="25" t="s">
        <v>41</v>
      </c>
      <c r="H4" s="22" t="s">
        <v>85</v>
      </c>
      <c r="I4" s="58" t="s">
        <v>42</v>
      </c>
      <c r="J4" s="59" t="s">
        <v>86</v>
      </c>
      <c r="K4" s="58" t="s">
        <v>43</v>
      </c>
      <c r="L4" s="64" t="s">
        <v>86</v>
      </c>
      <c r="M4" s="23" t="s">
        <v>44</v>
      </c>
      <c r="N4" s="24"/>
      <c r="O4" s="25" t="s">
        <v>45</v>
      </c>
      <c r="P4" s="26"/>
      <c r="Q4" s="23" t="s">
        <v>46</v>
      </c>
      <c r="R4" s="24"/>
      <c r="S4" s="25" t="s">
        <v>47</v>
      </c>
      <c r="T4" s="26"/>
      <c r="U4" s="23" t="s">
        <v>48</v>
      </c>
      <c r="V4" s="24"/>
    </row>
    <row r="5" spans="1:24" x14ac:dyDescent="0.2">
      <c r="A5" s="58" t="s">
        <v>49</v>
      </c>
      <c r="B5" s="59" t="s">
        <v>86</v>
      </c>
      <c r="C5" s="25" t="s">
        <v>50</v>
      </c>
      <c r="D5" s="26"/>
      <c r="E5" s="58" t="s">
        <v>94</v>
      </c>
      <c r="F5" s="59" t="s">
        <v>86</v>
      </c>
      <c r="G5" s="25" t="s">
        <v>52</v>
      </c>
      <c r="H5" s="22" t="s">
        <v>85</v>
      </c>
      <c r="I5" s="23" t="s">
        <v>53</v>
      </c>
      <c r="J5" s="24" t="s">
        <v>85</v>
      </c>
      <c r="K5" s="25"/>
      <c r="L5" s="26"/>
      <c r="M5" s="23" t="s">
        <v>54</v>
      </c>
      <c r="N5" s="24"/>
      <c r="O5" s="25" t="s">
        <v>55</v>
      </c>
      <c r="P5" s="26"/>
      <c r="Q5" s="23"/>
      <c r="R5" s="24"/>
      <c r="S5" s="25" t="s">
        <v>56</v>
      </c>
      <c r="T5" s="26"/>
      <c r="U5" s="23"/>
      <c r="V5" s="24"/>
    </row>
    <row r="6" spans="1:24" x14ac:dyDescent="0.2">
      <c r="A6" s="23"/>
      <c r="B6" s="24"/>
      <c r="C6" s="25"/>
      <c r="D6" s="26"/>
      <c r="E6" s="23" t="s">
        <v>95</v>
      </c>
      <c r="F6" s="24" t="s">
        <v>85</v>
      </c>
      <c r="G6" s="58" t="s">
        <v>58</v>
      </c>
      <c r="H6" s="64" t="s">
        <v>86</v>
      </c>
      <c r="I6" s="23" t="s">
        <v>59</v>
      </c>
      <c r="J6" s="24" t="s">
        <v>85</v>
      </c>
      <c r="K6" s="25"/>
      <c r="L6" s="26"/>
      <c r="M6" s="23" t="s">
        <v>60</v>
      </c>
      <c r="N6" s="24"/>
      <c r="O6" s="25" t="s">
        <v>61</v>
      </c>
      <c r="P6" s="26"/>
      <c r="Q6" s="23"/>
      <c r="R6" s="24"/>
      <c r="S6" s="58" t="s">
        <v>62</v>
      </c>
      <c r="T6" s="64" t="s">
        <v>86</v>
      </c>
      <c r="U6" s="23"/>
      <c r="V6" s="24"/>
    </row>
    <row r="7" spans="1:24" x14ac:dyDescent="0.2">
      <c r="A7" s="23"/>
      <c r="B7" s="24"/>
      <c r="C7" s="25"/>
      <c r="D7" s="26"/>
      <c r="E7" s="60" t="s">
        <v>96</v>
      </c>
      <c r="F7" s="61" t="s">
        <v>86</v>
      </c>
      <c r="G7" s="25"/>
      <c r="H7" s="26"/>
      <c r="I7" s="23" t="s">
        <v>64</v>
      </c>
      <c r="J7" s="24"/>
      <c r="K7" s="25"/>
      <c r="L7" s="26"/>
      <c r="M7" s="23" t="s">
        <v>65</v>
      </c>
      <c r="N7" s="24"/>
      <c r="O7" s="25" t="s">
        <v>66</v>
      </c>
      <c r="P7" s="26"/>
      <c r="Q7" s="23"/>
      <c r="R7" s="24"/>
      <c r="S7" s="25" t="s">
        <v>67</v>
      </c>
      <c r="T7" s="26"/>
      <c r="U7" s="23"/>
      <c r="V7" s="24"/>
    </row>
    <row r="8" spans="1:24" ht="17" thickBot="1" x14ac:dyDescent="0.25">
      <c r="A8" s="23"/>
      <c r="B8" s="24"/>
      <c r="C8" s="25"/>
      <c r="D8" s="26"/>
      <c r="E8" s="48"/>
      <c r="F8" s="53" t="s">
        <v>92</v>
      </c>
      <c r="G8" s="25"/>
      <c r="H8" s="26"/>
      <c r="I8" s="23" t="s">
        <v>69</v>
      </c>
      <c r="J8" s="24"/>
      <c r="K8" s="25"/>
      <c r="L8" s="26"/>
      <c r="M8" s="23" t="s">
        <v>70</v>
      </c>
      <c r="N8" s="24"/>
      <c r="O8" s="25" t="s">
        <v>71</v>
      </c>
      <c r="P8" s="26"/>
      <c r="Q8" s="23"/>
      <c r="R8" s="24"/>
      <c r="S8" s="25"/>
      <c r="T8" s="26"/>
      <c r="U8" s="23"/>
      <c r="V8" s="24"/>
    </row>
    <row r="9" spans="1:24" x14ac:dyDescent="0.2">
      <c r="A9" s="23"/>
      <c r="B9" s="24"/>
      <c r="C9" s="25"/>
      <c r="D9" s="26"/>
      <c r="E9" s="37" t="s">
        <v>72</v>
      </c>
      <c r="F9" s="38" t="s">
        <v>85</v>
      </c>
      <c r="G9" s="25"/>
      <c r="H9" s="26"/>
      <c r="I9" s="23"/>
      <c r="J9" s="24"/>
      <c r="K9" s="25"/>
      <c r="L9" s="26"/>
      <c r="M9" s="23" t="s">
        <v>73</v>
      </c>
      <c r="N9" s="24"/>
      <c r="O9" s="25" t="s">
        <v>74</v>
      </c>
      <c r="P9" s="26"/>
      <c r="Q9" s="23"/>
      <c r="R9" s="24"/>
      <c r="S9" s="25"/>
      <c r="T9" s="26"/>
      <c r="U9" s="23"/>
      <c r="V9" s="24"/>
    </row>
    <row r="10" spans="1:24" x14ac:dyDescent="0.2">
      <c r="A10" s="23"/>
      <c r="B10" s="24"/>
      <c r="C10" s="25"/>
      <c r="D10" s="26"/>
      <c r="E10" s="23" t="s">
        <v>97</v>
      </c>
      <c r="F10" s="38" t="s">
        <v>103</v>
      </c>
      <c r="G10" s="25"/>
      <c r="H10" s="26"/>
      <c r="I10" s="23"/>
      <c r="J10" s="24"/>
      <c r="K10" s="25"/>
      <c r="L10" s="26"/>
      <c r="M10" s="23" t="s">
        <v>76</v>
      </c>
      <c r="N10" s="24"/>
      <c r="O10" s="25" t="s">
        <v>77</v>
      </c>
      <c r="P10" s="26"/>
      <c r="Q10" s="23"/>
      <c r="R10" s="24"/>
      <c r="S10" s="25"/>
      <c r="T10" s="26"/>
      <c r="U10" s="23"/>
      <c r="V10" s="24"/>
    </row>
    <row r="11" spans="1:24" x14ac:dyDescent="0.2">
      <c r="A11" s="23"/>
      <c r="B11" s="24"/>
      <c r="C11" s="25"/>
      <c r="D11" s="26"/>
      <c r="E11" s="23" t="s">
        <v>98</v>
      </c>
      <c r="F11" s="38" t="s">
        <v>85</v>
      </c>
      <c r="G11" s="25"/>
      <c r="H11" s="26"/>
      <c r="I11" s="23"/>
      <c r="J11" s="24"/>
      <c r="K11" s="25"/>
      <c r="L11" s="26"/>
      <c r="M11" s="23" t="s">
        <v>79</v>
      </c>
      <c r="N11" s="24"/>
      <c r="O11" s="25"/>
      <c r="P11" s="26"/>
      <c r="Q11" s="23"/>
      <c r="R11" s="24"/>
      <c r="S11" s="25"/>
      <c r="T11" s="26"/>
      <c r="U11" s="23"/>
      <c r="V11" s="24"/>
    </row>
    <row r="12" spans="1:24" ht="17" customHeight="1" thickBot="1" x14ac:dyDescent="0.25">
      <c r="A12" s="23"/>
      <c r="B12" s="24"/>
      <c r="C12" s="25"/>
      <c r="D12" s="26"/>
      <c r="E12" s="48"/>
      <c r="F12" s="47" t="s">
        <v>101</v>
      </c>
      <c r="G12" s="25"/>
      <c r="H12" s="26"/>
      <c r="I12" s="23"/>
      <c r="J12" s="24"/>
      <c r="K12" s="25"/>
      <c r="L12" s="26"/>
      <c r="M12" s="23" t="s">
        <v>81</v>
      </c>
      <c r="N12" s="24"/>
      <c r="O12" s="25"/>
      <c r="P12" s="26"/>
      <c r="Q12" s="23"/>
      <c r="R12" s="24"/>
      <c r="S12" s="25"/>
      <c r="T12" s="26"/>
      <c r="U12" s="23"/>
      <c r="V12" s="24"/>
    </row>
    <row r="13" spans="1:24" x14ac:dyDescent="0.2">
      <c r="A13" s="23"/>
      <c r="B13" s="24"/>
      <c r="C13" s="25"/>
      <c r="D13" s="26"/>
      <c r="E13" s="37" t="s">
        <v>29</v>
      </c>
      <c r="F13" s="38" t="s">
        <v>85</v>
      </c>
      <c r="G13" s="25"/>
      <c r="H13" s="26"/>
      <c r="I13" s="23"/>
      <c r="J13" s="24"/>
      <c r="K13" s="25"/>
      <c r="L13" s="26"/>
      <c r="M13" s="23"/>
      <c r="N13" s="24"/>
      <c r="O13" s="25"/>
      <c r="P13" s="26"/>
      <c r="Q13" s="23"/>
      <c r="R13" s="24"/>
      <c r="S13" s="25"/>
      <c r="T13" s="26"/>
      <c r="U13" s="23"/>
      <c r="V13" s="24"/>
    </row>
    <row r="14" spans="1:24" x14ac:dyDescent="0.2">
      <c r="A14" s="23"/>
      <c r="B14" s="24"/>
      <c r="C14" s="25"/>
      <c r="D14" s="26"/>
      <c r="E14" s="23" t="s">
        <v>99</v>
      </c>
      <c r="F14" s="24" t="s">
        <v>85</v>
      </c>
      <c r="G14" s="25"/>
      <c r="H14" s="26"/>
      <c r="I14" s="23"/>
      <c r="J14" s="24"/>
      <c r="K14" s="25"/>
      <c r="L14" s="26"/>
      <c r="M14" s="23"/>
      <c r="N14" s="24"/>
      <c r="O14" s="25"/>
      <c r="P14" s="26"/>
      <c r="Q14" s="23"/>
      <c r="R14" s="24"/>
      <c r="S14" s="25"/>
      <c r="T14" s="26"/>
      <c r="U14" s="23"/>
      <c r="V14" s="24"/>
    </row>
    <row r="15" spans="1:24" ht="17" thickBot="1" x14ac:dyDescent="0.25">
      <c r="A15" s="28"/>
      <c r="B15" s="29"/>
      <c r="C15" s="30"/>
      <c r="D15" s="31"/>
      <c r="E15" s="62" t="s">
        <v>100</v>
      </c>
      <c r="F15" s="63" t="s">
        <v>86</v>
      </c>
      <c r="G15" s="30"/>
      <c r="H15" s="31"/>
      <c r="I15" s="28"/>
      <c r="J15" s="29"/>
      <c r="K15" s="30"/>
      <c r="L15" s="31"/>
      <c r="M15" s="28"/>
      <c r="N15" s="29"/>
      <c r="O15" s="30"/>
      <c r="P15" s="31"/>
      <c r="Q15" s="28"/>
      <c r="R15" s="29"/>
      <c r="S15" s="30"/>
      <c r="T15" s="31"/>
      <c r="U15" s="28"/>
      <c r="V15" s="29"/>
    </row>
    <row r="16" spans="1:24" s="34" customFormat="1" ht="17" thickBot="1" x14ac:dyDescent="0.25">
      <c r="A16" s="50">
        <f>COUNTA(A3:A15)</f>
        <v>3</v>
      </c>
      <c r="B16" s="54">
        <f>COUNTA(B3:B15)</f>
        <v>3</v>
      </c>
      <c r="C16" s="50">
        <f t="shared" ref="C16:V16" si="0">COUNTA(C3:C15)</f>
        <v>3</v>
      </c>
      <c r="D16" s="54">
        <f t="shared" si="0"/>
        <v>0</v>
      </c>
      <c r="E16" s="50">
        <f t="shared" si="0"/>
        <v>10</v>
      </c>
      <c r="F16" s="54">
        <f>COUNTA(F4:F7,F9:F11,F13:F15)</f>
        <v>10</v>
      </c>
      <c r="G16" s="50">
        <f t="shared" si="0"/>
        <v>4</v>
      </c>
      <c r="H16" s="54">
        <f t="shared" si="0"/>
        <v>4</v>
      </c>
      <c r="I16" s="50">
        <f t="shared" si="0"/>
        <v>6</v>
      </c>
      <c r="J16" s="54">
        <f t="shared" si="0"/>
        <v>4</v>
      </c>
      <c r="K16" s="50">
        <f t="shared" si="0"/>
        <v>2</v>
      </c>
      <c r="L16" s="54">
        <f t="shared" si="0"/>
        <v>1</v>
      </c>
      <c r="M16" s="50">
        <f t="shared" si="0"/>
        <v>10</v>
      </c>
      <c r="N16" s="54">
        <f t="shared" si="0"/>
        <v>0</v>
      </c>
      <c r="O16" s="50">
        <f t="shared" si="0"/>
        <v>8</v>
      </c>
      <c r="P16" s="54">
        <f t="shared" si="0"/>
        <v>0</v>
      </c>
      <c r="Q16" s="50">
        <f t="shared" si="0"/>
        <v>2</v>
      </c>
      <c r="R16" s="54">
        <f t="shared" si="0"/>
        <v>0</v>
      </c>
      <c r="S16" s="50">
        <f t="shared" si="0"/>
        <v>5</v>
      </c>
      <c r="T16" s="54">
        <f t="shared" si="0"/>
        <v>1</v>
      </c>
      <c r="U16" s="50">
        <f t="shared" si="0"/>
        <v>2</v>
      </c>
      <c r="V16" s="54">
        <f t="shared" si="0"/>
        <v>0</v>
      </c>
      <c r="W16" s="51">
        <f>SUM(B16,D16,F16,H16,J16,L16,N16,P16,R16,T16,V16)</f>
        <v>23</v>
      </c>
      <c r="X16" s="42">
        <f>W16/W16</f>
        <v>1</v>
      </c>
    </row>
    <row r="17" spans="1:24" x14ac:dyDescent="0.2">
      <c r="A17" s="54"/>
      <c r="B17" s="55">
        <f>B16/A16</f>
        <v>1</v>
      </c>
      <c r="C17" s="54"/>
      <c r="D17" s="55">
        <f t="shared" ref="D17" si="1">D16/C16</f>
        <v>0</v>
      </c>
      <c r="E17" s="54"/>
      <c r="F17" s="55">
        <f t="shared" ref="F17" si="2">F16/E16</f>
        <v>1</v>
      </c>
      <c r="G17" s="54"/>
      <c r="H17" s="55">
        <f t="shared" ref="H17" si="3">H16/G16</f>
        <v>1</v>
      </c>
      <c r="I17" s="54"/>
      <c r="J17" s="55">
        <f t="shared" ref="J17" si="4">J16/I16</f>
        <v>0.66666666666666663</v>
      </c>
      <c r="K17" s="54"/>
      <c r="L17" s="55">
        <f t="shared" ref="L17" si="5">L16/K16</f>
        <v>0.5</v>
      </c>
      <c r="M17" s="54"/>
      <c r="N17" s="55">
        <f t="shared" ref="N17" si="6">N16/M16</f>
        <v>0</v>
      </c>
      <c r="O17" s="54"/>
      <c r="P17" s="55">
        <f t="shared" ref="P17" si="7">P16/O16</f>
        <v>0</v>
      </c>
      <c r="Q17" s="54"/>
      <c r="R17" s="55">
        <f t="shared" ref="R17" si="8">R16/Q16</f>
        <v>0</v>
      </c>
      <c r="S17" s="54"/>
      <c r="T17" s="55">
        <f t="shared" ref="T17" si="9">T16/S16</f>
        <v>0.2</v>
      </c>
      <c r="U17" s="54"/>
      <c r="V17" s="55">
        <f t="shared" ref="V17" si="10">V16/U16</f>
        <v>0</v>
      </c>
    </row>
    <row r="18" spans="1:24" x14ac:dyDescent="0.2">
      <c r="E18" s="56" t="s">
        <v>104</v>
      </c>
    </row>
    <row r="19" spans="1:24" x14ac:dyDescent="0.2">
      <c r="E19" s="32" t="s">
        <v>105</v>
      </c>
      <c r="V19" s="35" t="s">
        <v>88</v>
      </c>
      <c r="W19" s="57">
        <f>COUNTIF($A$1:$V$15,"PASS")</f>
        <v>9</v>
      </c>
      <c r="X19" s="45">
        <f>W19/W2</f>
        <v>0.18367346938775511</v>
      </c>
    </row>
    <row r="20" spans="1:24" ht="17" thickBot="1" x14ac:dyDescent="0.25">
      <c r="E20"/>
      <c r="F20"/>
      <c r="V20" s="35" t="s">
        <v>89</v>
      </c>
      <c r="W20" s="43">
        <f>COUNTIF($A$1:$V$15,"Avoid")</f>
        <v>13</v>
      </c>
      <c r="X20" s="44">
        <f>W20/W2</f>
        <v>0.26530612244897961</v>
      </c>
    </row>
    <row r="21" spans="1:24" ht="17" thickBot="1" x14ac:dyDescent="0.25">
      <c r="E21"/>
      <c r="V21" s="35" t="s">
        <v>102</v>
      </c>
      <c r="W21" s="39">
        <f>SUM(W19:W20)</f>
        <v>22</v>
      </c>
      <c r="X21" s="46">
        <f>W21/W2</f>
        <v>0.44897959183673469</v>
      </c>
    </row>
    <row r="22" spans="1:24" ht="17" thickTop="1" x14ac:dyDescent="0.2"/>
    <row r="24" spans="1:24" x14ac:dyDescent="0.2">
      <c r="E24"/>
      <c r="F24"/>
    </row>
    <row r="25" spans="1:24" x14ac:dyDescent="0.2">
      <c r="E25"/>
    </row>
  </sheetData>
  <mergeCells count="22">
    <mergeCell ref="P1:P2"/>
    <mergeCell ref="R1:R2"/>
    <mergeCell ref="T1:T2"/>
    <mergeCell ref="V1:V2"/>
    <mergeCell ref="U1:U2"/>
    <mergeCell ref="S1:S2"/>
    <mergeCell ref="A1:A2"/>
    <mergeCell ref="E1:E2"/>
    <mergeCell ref="I1:I2"/>
    <mergeCell ref="M1:M2"/>
    <mergeCell ref="Q1:Q2"/>
    <mergeCell ref="C1:C2"/>
    <mergeCell ref="G1:G2"/>
    <mergeCell ref="K1:K2"/>
    <mergeCell ref="O1:O2"/>
    <mergeCell ref="L1:L2"/>
    <mergeCell ref="B1:B2"/>
    <mergeCell ref="D1:D2"/>
    <mergeCell ref="F1:F2"/>
    <mergeCell ref="H1:H2"/>
    <mergeCell ref="J1:J2"/>
    <mergeCell ref="N1:N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1B2E5-5EE6-DE43-9430-42D1A43AC60C}">
  <dimension ref="A1:W27"/>
  <sheetViews>
    <sheetView topLeftCell="A6" workbookViewId="0">
      <selection activeCell="E15" sqref="E15:E27"/>
    </sheetView>
  </sheetViews>
  <sheetFormatPr baseColWidth="10" defaultRowHeight="16" x14ac:dyDescent="0.2"/>
  <cols>
    <col min="1" max="1" width="8.6640625" style="32" customWidth="1"/>
    <col min="2" max="2" width="6.33203125" style="32" customWidth="1"/>
    <col min="3" max="3" width="14.1640625" style="32" bestFit="1" customWidth="1"/>
    <col min="4" max="4" width="6.33203125" style="32" customWidth="1"/>
    <col min="5" max="5" width="14" style="32" customWidth="1"/>
    <col min="6" max="6" width="6.33203125" style="32" customWidth="1"/>
    <col min="7" max="7" width="10.83203125" style="32"/>
    <col min="8" max="8" width="6.33203125" style="32" customWidth="1"/>
    <col min="9" max="9" width="6.5" style="32" bestFit="1" customWidth="1"/>
    <col min="10" max="10" width="6.33203125" style="32" customWidth="1"/>
    <col min="11" max="11" width="8.6640625" style="32" bestFit="1" customWidth="1"/>
    <col min="12" max="12" width="6.33203125" style="32" customWidth="1"/>
    <col min="13" max="13" width="10.33203125" style="32" bestFit="1" customWidth="1"/>
    <col min="14" max="14" width="6.33203125" style="32" customWidth="1"/>
    <col min="15" max="15" width="9.6640625" style="32" bestFit="1" customWidth="1"/>
    <col min="16" max="16" width="6.33203125" style="32" customWidth="1"/>
    <col min="17" max="17" width="8" style="32" customWidth="1"/>
    <col min="18" max="18" width="6.33203125" style="32" customWidth="1"/>
    <col min="19" max="19" width="10.1640625" style="32" bestFit="1" customWidth="1"/>
    <col min="20" max="20" width="6.33203125" style="32" customWidth="1"/>
    <col min="21" max="21" width="7.5" style="32" bestFit="1" customWidth="1"/>
    <col min="22" max="22" width="6.33203125" style="32" customWidth="1"/>
    <col min="23" max="23" width="5" style="34" bestFit="1" customWidth="1"/>
    <col min="24" max="16384" width="10.83203125" style="27"/>
  </cols>
  <sheetData>
    <row r="1" spans="1:23" s="16" customFormat="1" ht="45" x14ac:dyDescent="0.2">
      <c r="A1" s="14" t="s">
        <v>3</v>
      </c>
      <c r="B1" s="71" t="s">
        <v>84</v>
      </c>
      <c r="C1" s="15" t="s">
        <v>5</v>
      </c>
      <c r="D1" s="69" t="s">
        <v>84</v>
      </c>
      <c r="E1" s="14" t="s">
        <v>82</v>
      </c>
      <c r="F1" s="71" t="s">
        <v>84</v>
      </c>
      <c r="G1" s="15" t="s">
        <v>83</v>
      </c>
      <c r="H1" s="69" t="s">
        <v>84</v>
      </c>
      <c r="I1" s="14" t="s">
        <v>11</v>
      </c>
      <c r="J1" s="71" t="s">
        <v>84</v>
      </c>
      <c r="K1" s="15" t="s">
        <v>13</v>
      </c>
      <c r="L1" s="69" t="s">
        <v>84</v>
      </c>
      <c r="M1" s="14" t="s">
        <v>15</v>
      </c>
      <c r="N1" s="71" t="s">
        <v>84</v>
      </c>
      <c r="O1" s="15" t="s">
        <v>17</v>
      </c>
      <c r="P1" s="69" t="s">
        <v>84</v>
      </c>
      <c r="Q1" s="14" t="s">
        <v>19</v>
      </c>
      <c r="R1" s="71" t="s">
        <v>84</v>
      </c>
      <c r="S1" s="15" t="s">
        <v>21</v>
      </c>
      <c r="T1" s="69" t="s">
        <v>84</v>
      </c>
      <c r="U1" s="14" t="s">
        <v>23</v>
      </c>
      <c r="V1" s="71" t="s">
        <v>84</v>
      </c>
      <c r="W1" s="33" t="s">
        <v>87</v>
      </c>
    </row>
    <row r="2" spans="1:23" s="16" customFormat="1" ht="17" thickBot="1" x14ac:dyDescent="0.25">
      <c r="A2" s="17">
        <v>3</v>
      </c>
      <c r="B2" s="72"/>
      <c r="C2" s="18">
        <v>3</v>
      </c>
      <c r="D2" s="70"/>
      <c r="E2" s="17">
        <v>10</v>
      </c>
      <c r="F2" s="72"/>
      <c r="G2" s="18">
        <v>4</v>
      </c>
      <c r="H2" s="70"/>
      <c r="I2" s="17">
        <v>6</v>
      </c>
      <c r="J2" s="72"/>
      <c r="K2" s="18">
        <v>2</v>
      </c>
      <c r="L2" s="70"/>
      <c r="M2" s="17">
        <v>10</v>
      </c>
      <c r="N2" s="72"/>
      <c r="O2" s="18">
        <v>8</v>
      </c>
      <c r="P2" s="70"/>
      <c r="Q2" s="17">
        <v>2</v>
      </c>
      <c r="R2" s="72"/>
      <c r="S2" s="18">
        <v>5</v>
      </c>
      <c r="T2" s="70"/>
      <c r="U2" s="17">
        <v>2</v>
      </c>
      <c r="V2" s="72"/>
      <c r="W2" s="33">
        <f>SUM(A1:U2)</f>
        <v>55</v>
      </c>
    </row>
    <row r="3" spans="1:23" s="16" customFormat="1" x14ac:dyDescent="0.2">
      <c r="A3" s="19" t="s">
        <v>27</v>
      </c>
      <c r="B3" s="20" t="s">
        <v>85</v>
      </c>
      <c r="C3" s="21" t="s">
        <v>28</v>
      </c>
      <c r="D3" s="22"/>
      <c r="E3" s="19" t="s">
        <v>29</v>
      </c>
      <c r="F3" s="20"/>
      <c r="G3" s="21" t="s">
        <v>30</v>
      </c>
      <c r="H3" s="22" t="s">
        <v>85</v>
      </c>
      <c r="I3" s="19" t="s">
        <v>31</v>
      </c>
      <c r="J3" s="20" t="s">
        <v>85</v>
      </c>
      <c r="K3" s="21" t="s">
        <v>32</v>
      </c>
      <c r="L3" s="22"/>
      <c r="M3" s="19" t="s">
        <v>33</v>
      </c>
      <c r="N3" s="20"/>
      <c r="O3" s="21" t="s">
        <v>34</v>
      </c>
      <c r="P3" s="22"/>
      <c r="Q3" s="19" t="s">
        <v>35</v>
      </c>
      <c r="R3" s="20"/>
      <c r="S3" s="21" t="s">
        <v>36</v>
      </c>
      <c r="T3" s="22"/>
      <c r="U3" s="19" t="s">
        <v>37</v>
      </c>
      <c r="V3" s="20"/>
      <c r="W3" s="33"/>
    </row>
    <row r="4" spans="1:23" x14ac:dyDescent="0.2">
      <c r="A4" s="23" t="s">
        <v>38</v>
      </c>
      <c r="B4" s="24" t="s">
        <v>85</v>
      </c>
      <c r="C4" s="25" t="s">
        <v>39</v>
      </c>
      <c r="D4" s="26"/>
      <c r="E4" s="23" t="s">
        <v>40</v>
      </c>
      <c r="F4" s="24"/>
      <c r="G4" s="25" t="s">
        <v>41</v>
      </c>
      <c r="H4" s="22" t="s">
        <v>85</v>
      </c>
      <c r="I4" s="23" t="s">
        <v>42</v>
      </c>
      <c r="J4" s="24" t="s">
        <v>86</v>
      </c>
      <c r="K4" s="25" t="s">
        <v>43</v>
      </c>
      <c r="L4" s="26"/>
      <c r="M4" s="23" t="s">
        <v>44</v>
      </c>
      <c r="N4" s="24"/>
      <c r="O4" s="25" t="s">
        <v>45</v>
      </c>
      <c r="P4" s="26"/>
      <c r="Q4" s="23" t="s">
        <v>46</v>
      </c>
      <c r="R4" s="24"/>
      <c r="S4" s="25" t="s">
        <v>47</v>
      </c>
      <c r="T4" s="26"/>
      <c r="U4" s="23" t="s">
        <v>48</v>
      </c>
      <c r="V4" s="24"/>
    </row>
    <row r="5" spans="1:23" x14ac:dyDescent="0.2">
      <c r="A5" s="23" t="s">
        <v>49</v>
      </c>
      <c r="B5" s="24" t="s">
        <v>86</v>
      </c>
      <c r="C5" s="25" t="s">
        <v>50</v>
      </c>
      <c r="D5" s="26"/>
      <c r="E5" s="23" t="s">
        <v>51</v>
      </c>
      <c r="F5" s="24"/>
      <c r="G5" s="25" t="s">
        <v>52</v>
      </c>
      <c r="H5" s="22" t="s">
        <v>85</v>
      </c>
      <c r="I5" s="23" t="s">
        <v>53</v>
      </c>
      <c r="J5" s="24" t="s">
        <v>85</v>
      </c>
      <c r="K5" s="25"/>
      <c r="L5" s="26"/>
      <c r="M5" s="23" t="s">
        <v>54</v>
      </c>
      <c r="N5" s="24"/>
      <c r="O5" s="25" t="s">
        <v>55</v>
      </c>
      <c r="P5" s="26"/>
      <c r="Q5" s="23"/>
      <c r="R5" s="24"/>
      <c r="S5" s="25" t="s">
        <v>56</v>
      </c>
      <c r="T5" s="26"/>
      <c r="U5" s="23"/>
      <c r="V5" s="24"/>
    </row>
    <row r="6" spans="1:23" x14ac:dyDescent="0.2">
      <c r="A6" s="23"/>
      <c r="B6" s="24"/>
      <c r="C6" s="25"/>
      <c r="D6" s="26"/>
      <c r="E6" s="23" t="s">
        <v>57</v>
      </c>
      <c r="F6" s="24"/>
      <c r="G6" s="25" t="s">
        <v>58</v>
      </c>
      <c r="H6" s="26" t="s">
        <v>86</v>
      </c>
      <c r="I6" s="23" t="s">
        <v>59</v>
      </c>
      <c r="J6" s="24" t="s">
        <v>85</v>
      </c>
      <c r="K6" s="25"/>
      <c r="L6" s="26"/>
      <c r="M6" s="23" t="s">
        <v>60</v>
      </c>
      <c r="N6" s="24"/>
      <c r="O6" s="25" t="s">
        <v>61</v>
      </c>
      <c r="P6" s="26"/>
      <c r="Q6" s="23"/>
      <c r="R6" s="24"/>
      <c r="S6" s="25" t="s">
        <v>62</v>
      </c>
      <c r="T6" s="26"/>
      <c r="U6" s="23"/>
      <c r="V6" s="24"/>
    </row>
    <row r="7" spans="1:23" x14ac:dyDescent="0.2">
      <c r="A7" s="23"/>
      <c r="B7" s="24"/>
      <c r="C7" s="25"/>
      <c r="D7" s="26"/>
      <c r="E7" s="23" t="s">
        <v>63</v>
      </c>
      <c r="F7" s="24"/>
      <c r="G7" s="25"/>
      <c r="H7" s="26"/>
      <c r="I7" s="23" t="s">
        <v>64</v>
      </c>
      <c r="J7" s="24"/>
      <c r="K7" s="25"/>
      <c r="L7" s="26"/>
      <c r="M7" s="23" t="s">
        <v>65</v>
      </c>
      <c r="N7" s="24"/>
      <c r="O7" s="25" t="s">
        <v>66</v>
      </c>
      <c r="P7" s="26"/>
      <c r="Q7" s="23"/>
      <c r="R7" s="24"/>
      <c r="S7" s="25" t="s">
        <v>67</v>
      </c>
      <c r="T7" s="26"/>
      <c r="U7" s="23"/>
      <c r="V7" s="24"/>
    </row>
    <row r="8" spans="1:23" x14ac:dyDescent="0.2">
      <c r="A8" s="23"/>
      <c r="B8" s="24"/>
      <c r="C8" s="25"/>
      <c r="D8" s="26"/>
      <c r="E8" s="23" t="s">
        <v>68</v>
      </c>
      <c r="F8" s="24"/>
      <c r="G8" s="25"/>
      <c r="H8" s="26"/>
      <c r="I8" s="23" t="s">
        <v>69</v>
      </c>
      <c r="J8" s="24"/>
      <c r="K8" s="25"/>
      <c r="L8" s="26"/>
      <c r="M8" s="23" t="s">
        <v>70</v>
      </c>
      <c r="N8" s="24"/>
      <c r="O8" s="25" t="s">
        <v>71</v>
      </c>
      <c r="P8" s="26"/>
      <c r="Q8" s="23"/>
      <c r="R8" s="24"/>
      <c r="S8" s="25"/>
      <c r="T8" s="26"/>
      <c r="U8" s="23"/>
      <c r="V8" s="24"/>
    </row>
    <row r="9" spans="1:23" x14ac:dyDescent="0.2">
      <c r="A9" s="23"/>
      <c r="B9" s="24"/>
      <c r="C9" s="25"/>
      <c r="D9" s="26"/>
      <c r="E9" s="23" t="s">
        <v>72</v>
      </c>
      <c r="F9" s="24"/>
      <c r="G9" s="25"/>
      <c r="H9" s="26"/>
      <c r="I9" s="23"/>
      <c r="J9" s="24"/>
      <c r="K9" s="25"/>
      <c r="L9" s="26"/>
      <c r="M9" s="23" t="s">
        <v>73</v>
      </c>
      <c r="N9" s="24"/>
      <c r="O9" s="25" t="s">
        <v>74</v>
      </c>
      <c r="P9" s="26"/>
      <c r="Q9" s="23"/>
      <c r="R9" s="24"/>
      <c r="S9" s="25"/>
      <c r="T9" s="26"/>
      <c r="U9" s="23"/>
      <c r="V9" s="24"/>
    </row>
    <row r="10" spans="1:23" x14ac:dyDescent="0.2">
      <c r="A10" s="23"/>
      <c r="B10" s="24"/>
      <c r="C10" s="25"/>
      <c r="D10" s="26"/>
      <c r="E10" s="23" t="s">
        <v>75</v>
      </c>
      <c r="F10" s="24"/>
      <c r="G10" s="25"/>
      <c r="H10" s="26"/>
      <c r="I10" s="23"/>
      <c r="J10" s="24"/>
      <c r="K10" s="25"/>
      <c r="L10" s="26"/>
      <c r="M10" s="23" t="s">
        <v>76</v>
      </c>
      <c r="N10" s="24"/>
      <c r="O10" s="25" t="s">
        <v>77</v>
      </c>
      <c r="P10" s="26"/>
      <c r="Q10" s="23"/>
      <c r="R10" s="24"/>
      <c r="S10" s="25"/>
      <c r="T10" s="26"/>
      <c r="U10" s="23"/>
      <c r="V10" s="24"/>
    </row>
    <row r="11" spans="1:23" x14ac:dyDescent="0.2">
      <c r="A11" s="23"/>
      <c r="B11" s="24"/>
      <c r="C11" s="25"/>
      <c r="D11" s="26"/>
      <c r="E11" s="23" t="s">
        <v>78</v>
      </c>
      <c r="F11" s="24"/>
      <c r="G11" s="25"/>
      <c r="H11" s="26"/>
      <c r="I11" s="23"/>
      <c r="J11" s="24"/>
      <c r="K11" s="25"/>
      <c r="L11" s="26"/>
      <c r="M11" s="23" t="s">
        <v>79</v>
      </c>
      <c r="N11" s="24"/>
      <c r="O11" s="25"/>
      <c r="P11" s="26"/>
      <c r="Q11" s="23"/>
      <c r="R11" s="24"/>
      <c r="S11" s="25"/>
      <c r="T11" s="26"/>
      <c r="U11" s="23"/>
      <c r="V11" s="24"/>
    </row>
    <row r="12" spans="1:23" ht="17" thickBot="1" x14ac:dyDescent="0.25">
      <c r="A12" s="28"/>
      <c r="B12" s="29"/>
      <c r="C12" s="30"/>
      <c r="D12" s="31"/>
      <c r="E12" s="28" t="s">
        <v>80</v>
      </c>
      <c r="F12" s="29"/>
      <c r="G12" s="30"/>
      <c r="H12" s="31"/>
      <c r="I12" s="28"/>
      <c r="J12" s="29"/>
      <c r="K12" s="30"/>
      <c r="L12" s="31"/>
      <c r="M12" s="28" t="s">
        <v>81</v>
      </c>
      <c r="N12" s="29"/>
      <c r="O12" s="30"/>
      <c r="P12" s="31"/>
      <c r="Q12" s="28"/>
      <c r="R12" s="29"/>
      <c r="S12" s="30"/>
      <c r="T12" s="31"/>
      <c r="U12" s="28"/>
      <c r="V12" s="29"/>
    </row>
    <row r="13" spans="1:23" x14ac:dyDescent="0.2">
      <c r="V13" s="35" t="s">
        <v>88</v>
      </c>
    </row>
    <row r="14" spans="1:23" x14ac:dyDescent="0.2">
      <c r="E14" s="36"/>
      <c r="F14" s="36" t="s">
        <v>2</v>
      </c>
      <c r="G14" s="36" t="s">
        <v>90</v>
      </c>
      <c r="V14" s="35" t="s">
        <v>89</v>
      </c>
    </row>
    <row r="15" spans="1:23" x14ac:dyDescent="0.2">
      <c r="E15" t="s">
        <v>91</v>
      </c>
      <c r="F15" t="s">
        <v>51</v>
      </c>
      <c r="G15" s="32" t="s">
        <v>94</v>
      </c>
      <c r="H15" s="32" t="s">
        <v>95</v>
      </c>
      <c r="I15" s="32" t="s">
        <v>96</v>
      </c>
    </row>
    <row r="16" spans="1:23" x14ac:dyDescent="0.2">
      <c r="E16" t="s">
        <v>51</v>
      </c>
    </row>
    <row r="17" spans="5:8" x14ac:dyDescent="0.2">
      <c r="E17" s="32" t="s">
        <v>94</v>
      </c>
    </row>
    <row r="18" spans="5:8" x14ac:dyDescent="0.2">
      <c r="E18" s="32" t="s">
        <v>95</v>
      </c>
    </row>
    <row r="19" spans="5:8" x14ac:dyDescent="0.2">
      <c r="E19" s="32" t="s">
        <v>96</v>
      </c>
    </row>
    <row r="20" spans="5:8" x14ac:dyDescent="0.2">
      <c r="E20" t="s">
        <v>92</v>
      </c>
      <c r="F20" t="s">
        <v>72</v>
      </c>
      <c r="G20" s="32" t="s">
        <v>97</v>
      </c>
      <c r="H20" s="32" t="s">
        <v>98</v>
      </c>
    </row>
    <row r="21" spans="5:8" x14ac:dyDescent="0.2">
      <c r="E21" t="s">
        <v>72</v>
      </c>
    </row>
    <row r="22" spans="5:8" x14ac:dyDescent="0.2">
      <c r="E22" s="32" t="s">
        <v>97</v>
      </c>
    </row>
    <row r="23" spans="5:8" x14ac:dyDescent="0.2">
      <c r="E23" s="32" t="s">
        <v>98</v>
      </c>
    </row>
    <row r="24" spans="5:8" x14ac:dyDescent="0.2">
      <c r="E24" t="s">
        <v>93</v>
      </c>
      <c r="F24" t="s">
        <v>29</v>
      </c>
      <c r="G24" s="32" t="s">
        <v>99</v>
      </c>
      <c r="H24" s="32" t="s">
        <v>100</v>
      </c>
    </row>
    <row r="25" spans="5:8" x14ac:dyDescent="0.2">
      <c r="E25" t="s">
        <v>29</v>
      </c>
    </row>
    <row r="26" spans="5:8" x14ac:dyDescent="0.2">
      <c r="E26" s="32" t="s">
        <v>99</v>
      </c>
    </row>
    <row r="27" spans="5:8" x14ac:dyDescent="0.2">
      <c r="E27" s="32" t="s">
        <v>100</v>
      </c>
    </row>
  </sheetData>
  <mergeCells count="11">
    <mergeCell ref="N1:N2"/>
    <mergeCell ref="P1:P2"/>
    <mergeCell ref="R1:R2"/>
    <mergeCell ref="T1:T2"/>
    <mergeCell ref="V1:V2"/>
    <mergeCell ref="L1:L2"/>
    <mergeCell ref="B1:B2"/>
    <mergeCell ref="D1:D2"/>
    <mergeCell ref="F1:F2"/>
    <mergeCell ref="H1:H2"/>
    <mergeCell ref="J1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BCE4D-3CD9-1A49-B97E-5134C9EBD632}">
  <dimension ref="A1:K17"/>
  <sheetViews>
    <sheetView workbookViewId="0">
      <selection activeCell="E15" sqref="E15:E27"/>
    </sheetView>
  </sheetViews>
  <sheetFormatPr baseColWidth="10" defaultRowHeight="16" x14ac:dyDescent="0.2"/>
  <cols>
    <col min="1" max="1" width="28.6640625" bestFit="1" customWidth="1"/>
    <col min="2" max="2" width="8.6640625" customWidth="1"/>
    <col min="3" max="3" width="47.83203125" bestFit="1" customWidth="1"/>
  </cols>
  <sheetData>
    <row r="1" spans="1:11" s="2" customFormat="1" ht="32" x14ac:dyDescent="0.2">
      <c r="A1" s="1" t="s">
        <v>0</v>
      </c>
      <c r="B1" s="1" t="s">
        <v>1</v>
      </c>
      <c r="C1" s="1" t="s">
        <v>2</v>
      </c>
    </row>
    <row r="2" spans="1:11" x14ac:dyDescent="0.2">
      <c r="A2" s="3" t="s">
        <v>3</v>
      </c>
      <c r="B2" s="4">
        <v>3</v>
      </c>
      <c r="C2" s="3" t="s">
        <v>4</v>
      </c>
    </row>
    <row r="3" spans="1:11" x14ac:dyDescent="0.2">
      <c r="A3" s="3" t="s">
        <v>5</v>
      </c>
      <c r="B3" s="4">
        <v>2</v>
      </c>
      <c r="C3" s="3" t="s">
        <v>6</v>
      </c>
    </row>
    <row r="4" spans="1:11" x14ac:dyDescent="0.2">
      <c r="A4" s="3" t="s">
        <v>7</v>
      </c>
      <c r="B4" s="4">
        <v>10</v>
      </c>
      <c r="C4" s="3" t="s">
        <v>8</v>
      </c>
    </row>
    <row r="5" spans="1:11" x14ac:dyDescent="0.2">
      <c r="A5" s="3" t="s">
        <v>9</v>
      </c>
      <c r="B5" s="4">
        <v>4</v>
      </c>
      <c r="C5" s="3" t="s">
        <v>10</v>
      </c>
    </row>
    <row r="6" spans="1:11" x14ac:dyDescent="0.2">
      <c r="A6" s="3" t="s">
        <v>11</v>
      </c>
      <c r="B6" s="4">
        <v>6</v>
      </c>
      <c r="C6" s="3" t="s">
        <v>12</v>
      </c>
    </row>
    <row r="7" spans="1:11" x14ac:dyDescent="0.2">
      <c r="A7" s="3" t="s">
        <v>13</v>
      </c>
      <c r="B7" s="4">
        <v>2</v>
      </c>
      <c r="C7" s="3" t="s">
        <v>14</v>
      </c>
    </row>
    <row r="8" spans="1:11" x14ac:dyDescent="0.2">
      <c r="A8" s="3" t="s">
        <v>15</v>
      </c>
      <c r="B8" s="4">
        <v>9</v>
      </c>
      <c r="C8" s="3" t="s">
        <v>16</v>
      </c>
    </row>
    <row r="9" spans="1:11" x14ac:dyDescent="0.2">
      <c r="A9" s="3" t="s">
        <v>17</v>
      </c>
      <c r="B9" s="4">
        <v>8</v>
      </c>
      <c r="C9" s="3" t="s">
        <v>18</v>
      </c>
    </row>
    <row r="10" spans="1:11" x14ac:dyDescent="0.2">
      <c r="A10" s="3" t="s">
        <v>19</v>
      </c>
      <c r="B10" s="4">
        <v>2</v>
      </c>
      <c r="C10" s="3" t="s">
        <v>20</v>
      </c>
    </row>
    <row r="11" spans="1:11" x14ac:dyDescent="0.2">
      <c r="A11" s="3" t="s">
        <v>21</v>
      </c>
      <c r="B11" s="4">
        <v>5</v>
      </c>
      <c r="C11" s="3" t="s">
        <v>22</v>
      </c>
    </row>
    <row r="12" spans="1:11" x14ac:dyDescent="0.2">
      <c r="A12" s="3" t="s">
        <v>23</v>
      </c>
      <c r="B12" s="4">
        <v>2</v>
      </c>
      <c r="C12" s="3" t="s">
        <v>24</v>
      </c>
    </row>
    <row r="13" spans="1:11" x14ac:dyDescent="0.2">
      <c r="A13" s="5" t="s">
        <v>25</v>
      </c>
      <c r="B13" s="6">
        <v>1</v>
      </c>
      <c r="C13" s="5" t="s">
        <v>26</v>
      </c>
    </row>
    <row r="15" spans="1:11" s="9" customFormat="1" ht="48" x14ac:dyDescent="0.2">
      <c r="A15" s="7" t="s">
        <v>3</v>
      </c>
      <c r="B15" s="8" t="s">
        <v>5</v>
      </c>
      <c r="C15" s="7" t="s">
        <v>7</v>
      </c>
      <c r="D15" s="8" t="s">
        <v>9</v>
      </c>
      <c r="E15" s="7" t="s">
        <v>11</v>
      </c>
      <c r="F15" s="8" t="s">
        <v>13</v>
      </c>
      <c r="G15" s="7" t="s">
        <v>15</v>
      </c>
      <c r="H15" s="8" t="s">
        <v>17</v>
      </c>
      <c r="I15" s="7" t="s">
        <v>19</v>
      </c>
      <c r="J15" s="8" t="s">
        <v>21</v>
      </c>
      <c r="K15" s="7" t="s">
        <v>23</v>
      </c>
    </row>
    <row r="16" spans="1:11" s="9" customFormat="1" x14ac:dyDescent="0.2">
      <c r="A16" s="10">
        <v>3</v>
      </c>
      <c r="B16" s="11">
        <v>2</v>
      </c>
      <c r="C16" s="10">
        <v>10</v>
      </c>
      <c r="D16" s="11">
        <v>4</v>
      </c>
      <c r="E16" s="10">
        <v>6</v>
      </c>
      <c r="F16" s="11">
        <v>2</v>
      </c>
      <c r="G16" s="10">
        <v>9</v>
      </c>
      <c r="H16" s="11">
        <v>8</v>
      </c>
      <c r="I16" s="10">
        <v>2</v>
      </c>
      <c r="J16" s="11">
        <v>5</v>
      </c>
      <c r="K16" s="10">
        <v>2</v>
      </c>
    </row>
    <row r="17" spans="1:11" s="9" customFormat="1" ht="80" x14ac:dyDescent="0.2">
      <c r="A17" s="12" t="s">
        <v>4</v>
      </c>
      <c r="B17" s="13" t="s">
        <v>6</v>
      </c>
      <c r="C17" s="12" t="s">
        <v>8</v>
      </c>
      <c r="D17" s="13" t="s">
        <v>10</v>
      </c>
      <c r="E17" s="12" t="s">
        <v>12</v>
      </c>
      <c r="F17" s="13" t="s">
        <v>14</v>
      </c>
      <c r="G17" s="12" t="s">
        <v>16</v>
      </c>
      <c r="H17" s="13" t="s">
        <v>18</v>
      </c>
      <c r="I17" s="12" t="s">
        <v>20</v>
      </c>
      <c r="J17" s="13" t="s">
        <v>22</v>
      </c>
      <c r="K17" s="12" t="s">
        <v>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037-A372-7143-BCF4-F1BA5690B05B}">
  <dimension ref="A1:C13"/>
  <sheetViews>
    <sheetView workbookViewId="0">
      <selection activeCell="E15" sqref="E15:E27"/>
    </sheetView>
  </sheetViews>
  <sheetFormatPr baseColWidth="10" defaultRowHeight="16" x14ac:dyDescent="0.2"/>
  <cols>
    <col min="1" max="1" width="28.6640625" bestFit="1" customWidth="1"/>
    <col min="2" max="2" width="8.6640625" customWidth="1"/>
    <col min="3" max="3" width="47.83203125" bestFit="1" customWidth="1"/>
  </cols>
  <sheetData>
    <row r="1" spans="1:3" s="2" customFormat="1" ht="32" x14ac:dyDescent="0.2">
      <c r="A1" s="1" t="s">
        <v>0</v>
      </c>
      <c r="B1" s="1" t="s">
        <v>1</v>
      </c>
      <c r="C1" s="1" t="s">
        <v>2</v>
      </c>
    </row>
    <row r="2" spans="1:3" x14ac:dyDescent="0.2">
      <c r="A2" s="3" t="s">
        <v>3</v>
      </c>
      <c r="B2" s="4">
        <v>3</v>
      </c>
      <c r="C2" s="3" t="s">
        <v>4</v>
      </c>
    </row>
    <row r="3" spans="1:3" x14ac:dyDescent="0.2">
      <c r="A3" s="3" t="s">
        <v>5</v>
      </c>
      <c r="B3" s="4">
        <v>2</v>
      </c>
      <c r="C3" s="3" t="s">
        <v>6</v>
      </c>
    </row>
    <row r="4" spans="1:3" x14ac:dyDescent="0.2">
      <c r="A4" s="3" t="s">
        <v>7</v>
      </c>
      <c r="B4" s="4">
        <v>10</v>
      </c>
      <c r="C4" s="3" t="s">
        <v>8</v>
      </c>
    </row>
    <row r="5" spans="1:3" x14ac:dyDescent="0.2">
      <c r="A5" s="3" t="s">
        <v>9</v>
      </c>
      <c r="B5" s="4">
        <v>4</v>
      </c>
      <c r="C5" s="3" t="s">
        <v>10</v>
      </c>
    </row>
    <row r="6" spans="1:3" x14ac:dyDescent="0.2">
      <c r="A6" s="3" t="s">
        <v>11</v>
      </c>
      <c r="B6" s="4">
        <v>6</v>
      </c>
      <c r="C6" s="3" t="s">
        <v>12</v>
      </c>
    </row>
    <row r="7" spans="1:3" x14ac:dyDescent="0.2">
      <c r="A7" s="3" t="s">
        <v>13</v>
      </c>
      <c r="B7" s="4">
        <v>2</v>
      </c>
      <c r="C7" s="3" t="s">
        <v>14</v>
      </c>
    </row>
    <row r="8" spans="1:3" x14ac:dyDescent="0.2">
      <c r="A8" s="3" t="s">
        <v>15</v>
      </c>
      <c r="B8" s="4">
        <v>9</v>
      </c>
      <c r="C8" s="3" t="s">
        <v>16</v>
      </c>
    </row>
    <row r="9" spans="1:3" x14ac:dyDescent="0.2">
      <c r="A9" s="3" t="s">
        <v>17</v>
      </c>
      <c r="B9" s="4">
        <v>8</v>
      </c>
      <c r="C9" s="3" t="s">
        <v>18</v>
      </c>
    </row>
    <row r="10" spans="1:3" x14ac:dyDescent="0.2">
      <c r="A10" s="3" t="s">
        <v>19</v>
      </c>
      <c r="B10" s="4">
        <v>2</v>
      </c>
      <c r="C10" s="3" t="s">
        <v>20</v>
      </c>
    </row>
    <row r="11" spans="1:3" x14ac:dyDescent="0.2">
      <c r="A11" s="3" t="s">
        <v>21</v>
      </c>
      <c r="B11" s="4">
        <v>5</v>
      </c>
      <c r="C11" s="3" t="s">
        <v>22</v>
      </c>
    </row>
    <row r="12" spans="1:3" x14ac:dyDescent="0.2">
      <c r="A12" s="3" t="s">
        <v>23</v>
      </c>
      <c r="B12" s="4">
        <v>2</v>
      </c>
      <c r="C12" s="3" t="s">
        <v>24</v>
      </c>
    </row>
    <row r="13" spans="1:3" x14ac:dyDescent="0.2">
      <c r="A13" s="5" t="s">
        <v>25</v>
      </c>
      <c r="B13" s="6">
        <v>1</v>
      </c>
      <c r="C13" s="5" t="s">
        <v>26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8-10-26 Screen_Candidates (4)</vt:lpstr>
      <vt:lpstr>8-10-26 Screen_Candidates (3)</vt:lpstr>
      <vt:lpstr>8-10-26 Screen_Candidates (2)</vt:lpstr>
      <vt:lpstr>8-10-26 Screen_Candidates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Landry</dc:creator>
  <cp:lastModifiedBy>Alan Landry</cp:lastModifiedBy>
  <dcterms:created xsi:type="dcterms:W3CDTF">2026-08-10T18:13:39Z</dcterms:created>
  <dcterms:modified xsi:type="dcterms:W3CDTF">2026-08-11T17:20:13Z</dcterms:modified>
</cp:coreProperties>
</file>