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-10-26 Screen_Candidates (4)" sheetId="1" state="visible" r:id="rId3"/>
    <sheet name="8-10-26 Screen_Candidates (3)" sheetId="2" state="hidden" r:id="rId4"/>
    <sheet name="8-10-26 Screen_Candidates (2)" sheetId="3" state="hidden" r:id="rId5"/>
    <sheet name="8-10-26 Screen_Candid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<sst xmlns="http://schemas.openxmlformats.org/spreadsheetml/2006/main" count="309" uniqueCount="106">
  <si>
    <t xml:space="preserve">Basic Materials</t>
  </si>
  <si>
    <t xml:space="preserve">Tier 1
Rank</t>
  </si>
  <si>
    <t xml:space="preserve">Communication Services</t>
  </si>
  <si>
    <t xml:space="preserve">Consumer Cyclical/ Discretionary</t>
  </si>
  <si>
    <t xml:space="preserve">Consumer Defensive/ Staples</t>
  </si>
  <si>
    <t xml:space="preserve">Energy</t>
  </si>
  <si>
    <t xml:space="preserve">Financial Services</t>
  </si>
  <si>
    <t xml:space="preserve">Healthcare</t>
  </si>
  <si>
    <t xml:space="preserve">Industrials</t>
  </si>
  <si>
    <t xml:space="preserve">Real Estate</t>
  </si>
  <si>
    <t xml:space="preserve">Technology</t>
  </si>
  <si>
    <t xml:space="preserve">Utilities</t>
  </si>
  <si>
    <t xml:space="preserve">Total</t>
  </si>
  <si>
    <t xml:space="preserve">CE</t>
  </si>
  <si>
    <t xml:space="preserve">Avoid</t>
  </si>
  <si>
    <t xml:space="preserve">DIS</t>
  </si>
  <si>
    <t xml:space="preserve">Restaurants/QSR</t>
  </si>
  <si>
    <t xml:space="preserve">DEO</t>
  </si>
  <si>
    <t xml:space="preserve">CRK</t>
  </si>
  <si>
    <t xml:space="preserve">PYPL</t>
  </si>
  <si>
    <t xml:space="preserve">ABT</t>
  </si>
  <si>
    <t xml:space="preserve">BE</t>
  </si>
  <si>
    <t xml:space="preserve">CCI</t>
  </si>
  <si>
    <t xml:space="preserve">ACN</t>
  </si>
  <si>
    <t xml:space="preserve">NRG</t>
  </si>
  <si>
    <t xml:space="preserve">CLF</t>
  </si>
  <si>
    <t xml:space="preserve">NFLX</t>
  </si>
  <si>
    <t xml:space="preserve">PASS</t>
  </si>
  <si>
    <t xml:space="preserve">CMG</t>
  </si>
  <si>
    <t xml:space="preserve">EL</t>
  </si>
  <si>
    <t xml:space="preserve">ET</t>
  </si>
  <si>
    <t xml:space="preserve">V</t>
  </si>
  <si>
    <t xml:space="preserve">AZN</t>
  </si>
  <si>
    <t xml:space="preserve">GXO</t>
  </si>
  <si>
    <t xml:space="preserve">COLD</t>
  </si>
  <si>
    <t xml:space="preserve">CBRS</t>
  </si>
  <si>
    <t xml:space="preserve">VST</t>
  </si>
  <si>
    <t xml:space="preserve">LIN</t>
  </si>
  <si>
    <t xml:space="preserve">SPOT</t>
  </si>
  <si>
    <t xml:space="preserve"> DPZ</t>
  </si>
  <si>
    <t xml:space="preserve">HRL</t>
  </si>
  <si>
    <t xml:space="preserve">LBRT</t>
  </si>
  <si>
    <t xml:space="preserve">BAX</t>
  </si>
  <si>
    <t xml:space="preserve">MIR</t>
  </si>
  <si>
    <t xml:space="preserve">INTU</t>
  </si>
  <si>
    <t xml:space="preserve"> PZZA</t>
  </si>
  <si>
    <t xml:space="preserve">PG</t>
  </si>
  <si>
    <t xml:space="preserve">NOV</t>
  </si>
  <si>
    <t xml:space="preserve">BSX</t>
  </si>
  <si>
    <t xml:space="preserve">QXO</t>
  </si>
  <si>
    <t xml:space="preserve">NOW</t>
  </si>
  <si>
    <t xml:space="preserve"> YUM</t>
  </si>
  <si>
    <t xml:space="preserve">OKE</t>
  </si>
  <si>
    <t xml:space="preserve">ICLR</t>
  </si>
  <si>
    <t xml:space="preserve">SMR</t>
  </si>
  <si>
    <t xml:space="preserve">UBER</t>
  </si>
  <si>
    <t xml:space="preserve">Apparel</t>
  </si>
  <si>
    <t xml:space="preserve">SLB</t>
  </si>
  <si>
    <t xml:space="preserve">NTRA</t>
  </si>
  <si>
    <t xml:space="preserve">SUNB</t>
  </si>
  <si>
    <t xml:space="preserve">NKE</t>
  </si>
  <si>
    <t xml:space="preserve">PFE</t>
  </si>
  <si>
    <t xml:space="preserve">SWK</t>
  </si>
  <si>
    <t xml:space="preserve"> VFC</t>
  </si>
  <si>
    <t xml:space="preserve">Avoid*</t>
  </si>
  <si>
    <t xml:space="preserve">UNH</t>
  </si>
  <si>
    <t xml:space="preserve">UPS</t>
  </si>
  <si>
    <t xml:space="preserve"> GOOS</t>
  </si>
  <si>
    <t xml:space="preserve">VEEV</t>
  </si>
  <si>
    <t xml:space="preserve">Divers. retail/e-commerce</t>
  </si>
  <si>
    <t xml:space="preserve">XRAY</t>
  </si>
  <si>
    <t xml:space="preserve">AAP</t>
  </si>
  <si>
    <t xml:space="preserve"> BABA</t>
  </si>
  <si>
    <t xml:space="preserve"> ETSY</t>
  </si>
  <si>
    <t xml:space="preserve">*Close-reconfirm next QTR</t>
  </si>
  <si>
    <t xml:space="preserve"> </t>
  </si>
  <si>
    <t xml:space="preserve">Total PASS</t>
  </si>
  <si>
    <t xml:space="preserve">Total AVOID</t>
  </si>
  <si>
    <t xml:space="preserve">TOTAL ANALYZED</t>
  </si>
  <si>
    <t xml:space="preserve">BABA</t>
  </si>
  <si>
    <t xml:space="preserve">DPZ</t>
  </si>
  <si>
    <t xml:space="preserve">ETSY</t>
  </si>
  <si>
    <t xml:space="preserve">GOOS</t>
  </si>
  <si>
    <t xml:space="preserve">PZZA</t>
  </si>
  <si>
    <t xml:space="preserve">VFC</t>
  </si>
  <si>
    <t xml:space="preserve">YUM</t>
  </si>
  <si>
    <t xml:space="preserve">Tickers</t>
  </si>
  <si>
    <t xml:space="preserve">Theme</t>
  </si>
  <si>
    <t xml:space="preserve">Diversified retail/e-commerce</t>
  </si>
  <si>
    <t xml:space="preserve">Sector</t>
  </si>
  <si>
    <t xml:space="preserve">Ticker Count</t>
  </si>
  <si>
    <t xml:space="preserve">CE, CLF, LIN</t>
  </si>
  <si>
    <t xml:space="preserve">DIS, NFLX, SPOT</t>
  </si>
  <si>
    <t xml:space="preserve">Consumer Cyclical/Discretionary</t>
  </si>
  <si>
    <t xml:space="preserve">AAP, BABA, CMG, DPZ, ETSY, GOOS, NKE, PZZA, VFC, YUM</t>
  </si>
  <si>
    <t xml:space="preserve">Consumer Defensive/Staples</t>
  </si>
  <si>
    <t xml:space="preserve">DEO, EL, HRL, PG</t>
  </si>
  <si>
    <t xml:space="preserve">CRK, ET, LBRT, NOV, OKE, SLB</t>
  </si>
  <si>
    <t xml:space="preserve">PYPL, V</t>
  </si>
  <si>
    <t xml:space="preserve">ABT, AZN, BAX, BSX, ICLR, NTRA, PFE, UNH, VEEV, XRAY</t>
  </si>
  <si>
    <t xml:space="preserve">BE, GXO, MIR, QXO, SMR, SUNB, SWK, UPS</t>
  </si>
  <si>
    <t xml:space="preserve">CCI, COLD</t>
  </si>
  <si>
    <t xml:space="preserve">ACN, CBRS, INTU, NOW, UBER</t>
  </si>
  <si>
    <t xml:space="preserve">NRG, VST</t>
  </si>
  <si>
    <t xml:space="preserve">Index/ETF</t>
  </si>
  <si>
    <t xml:space="preserve">IWM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</si>
</sst>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sz val="12"/>
      <color rgb="FF0432FF"/>
      <name val="Arial Narrow"/>
      <family val="2"/>
      <charset val="1"/>
    </font>
    <font>
      <b val="true"/>
      <sz val="12"/>
      <color rgb="FF0432FF"/>
      <name val="Arial Narrow"/>
      <family val="2"/>
      <charset val="1"/>
    </font>
    <font>
      <sz val="11"/>
      <color theme="1"/>
      <name val="Arial Narrow"/>
      <family val="2"/>
      <charset val="1"/>
    </font>
    <font>
      <sz val="11"/>
      <color rgb="FF0432FF"/>
      <name val="Arial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1"/>
      <color rgb="FFFFFFFF"/>
      <name val="Aptos"/>
      <family val="0"/>
      <charset val="1"/>
    </font>
    <font>
      <sz val="11"/>
      <color theme="1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8"/>
        <bgColor rgb="FFC1E5F5"/>
      </patternFill>
    </fill>
    <fill>
      <patternFill patternType="solid">
        <fgColor theme="0"/>
        <bgColor rgb="FFFFFFCC"/>
      </patternFill>
    </fill>
    <fill>
      <patternFill patternType="solid">
        <fgColor theme="9" tint="0.7998"/>
        <bgColor rgb="FFCAEEFB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4" tint="0.7998"/>
        <bgColor rgb="FFCAEEFB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>
        <color theme="4" tint="0.3998"/>
      </left>
      <right/>
      <top style="thin">
        <color theme="4" tint="0.3998"/>
      </top>
      <bottom style="thin">
        <color theme="4" tint="0.3998"/>
      </bottom>
      <diagonal/>
    </border>
    <border diagonalUp="false" diagonalDown="false">
      <left/>
      <right/>
      <top style="thin">
        <color theme="4" tint="0.3998"/>
      </top>
      <bottom style="thin">
        <color theme="4" tint="0.3998"/>
      </bottom>
      <diagonal/>
    </border>
    <border diagonalUp="false" diagonalDown="false">
      <left/>
      <right style="thin">
        <color theme="4" tint="0.3998"/>
      </right>
      <top style="thin">
        <color theme="4" tint="0.3998"/>
      </top>
      <bottom style="thin">
        <color theme="4" tint="0.399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19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9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4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3" fillId="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ectorTickerExtract3" displayName="SectorTickerExtract3" ref="A1:C13" headerRowCount="1" totalsRowCount="0" totalsRowShown="0">
  <autoFilter ref="A1:C13"/>
  <tableColumns count="3">
    <tableColumn id="1" name="Sector"/>
    <tableColumn id="2" name="Ticker Count"/>
    <tableColumn id="3" name="Tickers"/>
  </tableColumns>
</table>
</file>

<file path=xl/tables/table2.xml><?xml version="1.0" encoding="utf-8"?>
<table xmlns="http://schemas.openxmlformats.org/spreadsheetml/2006/main" id="2" name="SectorTickerExtract33" displayName="SectorTickerExtract33" ref="A1:C13" headerRowCount="1" totalsRowCount="0" totalsRowShown="0">
  <autoFilter ref="A1:C13"/>
  <tableColumns count="3">
    <tableColumn id="1" name="Sector"/>
    <tableColumn id="2" name="Ticker Count"/>
    <tableColumn id="3" name="Tick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3" activeCellId="0" sqref="N23"/>
    </sheetView>
  </sheetViews>
  <sheetFormatPr defaultColWidth="10.8359375" defaultRowHeight="15.75" customHeight="false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1" width="6.33"/>
    <col collapsed="false" customWidth="true" hidden="false" outlineLevel="0" max="3" min="3" style="1" width="14.16"/>
    <col collapsed="false" customWidth="true" hidden="false" outlineLevel="0" max="4" min="4" style="1" width="6.33"/>
    <col collapsed="false" customWidth="true" hidden="false" outlineLevel="0" max="5" min="5" style="1" width="14"/>
    <col collapsed="false" customWidth="true" hidden="false" outlineLevel="0" max="6" min="6" style="1" width="6.33"/>
    <col collapsed="false" customWidth="false" hidden="false" outlineLevel="0" max="7" min="7" style="1" width="10.83"/>
    <col collapsed="false" customWidth="true" hidden="false" outlineLevel="0" max="8" min="8" style="1" width="6.33"/>
    <col collapsed="false" customWidth="true" hidden="false" outlineLevel="0" max="9" min="9" style="1" width="6.51"/>
    <col collapsed="false" customWidth="true" hidden="false" outlineLevel="0" max="10" min="10" style="1" width="6.33"/>
    <col collapsed="false" customWidth="true" hidden="false" outlineLevel="0" max="11" min="11" style="1" width="8.66"/>
    <col collapsed="false" customWidth="true" hidden="false" outlineLevel="0" max="12" min="12" style="1" width="6.33"/>
    <col collapsed="false" customWidth="true" hidden="false" outlineLevel="0" max="13" min="13" style="1" width="10.33"/>
    <col collapsed="false" customWidth="true" hidden="false" outlineLevel="0" max="14" min="14" style="1" width="6.33"/>
    <col collapsed="false" customWidth="true" hidden="false" outlineLevel="0" max="15" min="15" style="1" width="9.66"/>
    <col collapsed="false" customWidth="true" hidden="false" outlineLevel="0" max="16" min="16" style="1" width="6.33"/>
    <col collapsed="false" customWidth="true" hidden="false" outlineLevel="0" max="17" min="17" style="1" width="8"/>
    <col collapsed="false" customWidth="true" hidden="false" outlineLevel="0" max="18" min="18" style="1" width="6.33"/>
    <col collapsed="false" customWidth="true" hidden="false" outlineLevel="0" max="19" min="19" style="1" width="10.16"/>
    <col collapsed="false" customWidth="true" hidden="false" outlineLevel="0" max="20" min="20" style="1" width="6.33"/>
    <col collapsed="false" customWidth="true" hidden="false" outlineLevel="0" max="21" min="21" style="1" width="7.51"/>
    <col collapsed="false" customWidth="true" hidden="false" outlineLevel="0" max="22" min="22" style="1" width="6.33"/>
    <col collapsed="false" customWidth="true" hidden="false" outlineLevel="0" max="23" min="23" style="2" width="5"/>
    <col collapsed="false" customWidth="true" hidden="false" outlineLevel="0" max="24" min="24" style="3" width="5.16"/>
    <col collapsed="false" customWidth="false" hidden="false" outlineLevel="0" max="16384" min="25" style="3" width="10.83"/>
  </cols>
  <sheetData>
    <row r="1" s="9" customFormat="true" ht="16.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1</v>
      </c>
      <c r="E1" s="4" t="s">
        <v>3</v>
      </c>
      <c r="F1" s="5" t="s">
        <v>1</v>
      </c>
      <c r="G1" s="6" t="s">
        <v>4</v>
      </c>
      <c r="H1" s="7" t="s">
        <v>1</v>
      </c>
      <c r="I1" s="4" t="s">
        <v>5</v>
      </c>
      <c r="J1" s="5" t="s">
        <v>1</v>
      </c>
      <c r="K1" s="6" t="s">
        <v>6</v>
      </c>
      <c r="L1" s="7" t="s">
        <v>1</v>
      </c>
      <c r="M1" s="4" t="s">
        <v>7</v>
      </c>
      <c r="N1" s="5" t="s">
        <v>1</v>
      </c>
      <c r="O1" s="6" t="s">
        <v>8</v>
      </c>
      <c r="P1" s="7" t="s">
        <v>1</v>
      </c>
      <c r="Q1" s="4" t="s">
        <v>9</v>
      </c>
      <c r="R1" s="5" t="s">
        <v>1</v>
      </c>
      <c r="S1" s="6" t="s">
        <v>10</v>
      </c>
      <c r="T1" s="7" t="s">
        <v>1</v>
      </c>
      <c r="U1" s="4" t="s">
        <v>11</v>
      </c>
      <c r="V1" s="5" t="s">
        <v>1</v>
      </c>
      <c r="W1" s="8" t="s">
        <v>12</v>
      </c>
    </row>
    <row r="2" s="9" customFormat="true" ht="27.75" hidden="false" customHeight="true" outlineLevel="0" collapsed="false">
      <c r="A2" s="4"/>
      <c r="B2" s="5"/>
      <c r="C2" s="6"/>
      <c r="D2" s="7"/>
      <c r="E2" s="4"/>
      <c r="F2" s="5"/>
      <c r="G2" s="6"/>
      <c r="H2" s="7"/>
      <c r="I2" s="4"/>
      <c r="J2" s="5"/>
      <c r="K2" s="6"/>
      <c r="L2" s="7"/>
      <c r="M2" s="4"/>
      <c r="N2" s="5"/>
      <c r="O2" s="6"/>
      <c r="P2" s="7"/>
      <c r="Q2" s="4"/>
      <c r="R2" s="5"/>
      <c r="S2" s="6"/>
      <c r="T2" s="7"/>
      <c r="U2" s="4"/>
      <c r="V2" s="5"/>
      <c r="W2" s="10" t="n">
        <f aca="false">SUM(A16,C16,E16,G16,I16,K16,M16,O16,Q16,S16,U16)</f>
        <v>55</v>
      </c>
      <c r="X2" s="11" t="n">
        <f aca="false">W2/W2</f>
        <v>1</v>
      </c>
    </row>
    <row r="3" s="9" customFormat="true" ht="16.5" hidden="false" customHeight="true" outlineLevel="0" collapsed="false">
      <c r="A3" s="12" t="s">
        <v>13</v>
      </c>
      <c r="B3" s="13" t="s">
        <v>14</v>
      </c>
      <c r="C3" s="14" t="s">
        <v>15</v>
      </c>
      <c r="D3" s="15" t="s">
        <v>14</v>
      </c>
      <c r="E3" s="16"/>
      <c r="F3" s="17" t="s">
        <v>16</v>
      </c>
      <c r="G3" s="14" t="s">
        <v>17</v>
      </c>
      <c r="H3" s="15" t="s">
        <v>14</v>
      </c>
      <c r="I3" s="12" t="s">
        <v>18</v>
      </c>
      <c r="J3" s="13" t="s">
        <v>14</v>
      </c>
      <c r="K3" s="14" t="s">
        <v>19</v>
      </c>
      <c r="L3" s="15"/>
      <c r="M3" s="12" t="s">
        <v>20</v>
      </c>
      <c r="N3" s="13"/>
      <c r="O3" s="14" t="s">
        <v>21</v>
      </c>
      <c r="P3" s="15"/>
      <c r="Q3" s="12" t="s">
        <v>22</v>
      </c>
      <c r="R3" s="13"/>
      <c r="S3" s="14" t="s">
        <v>23</v>
      </c>
      <c r="T3" s="15"/>
      <c r="U3" s="12" t="s">
        <v>24</v>
      </c>
      <c r="V3" s="13" t="s">
        <v>14</v>
      </c>
      <c r="W3" s="18"/>
    </row>
    <row r="4" customFormat="false" ht="16.5" hidden="false" customHeight="true" outlineLevel="0" collapsed="false">
      <c r="A4" s="19" t="s">
        <v>25</v>
      </c>
      <c r="B4" s="20" t="s">
        <v>14</v>
      </c>
      <c r="C4" s="21" t="s">
        <v>26</v>
      </c>
      <c r="D4" s="22" t="s">
        <v>27</v>
      </c>
      <c r="E4" s="23" t="s">
        <v>28</v>
      </c>
      <c r="F4" s="24" t="s">
        <v>27</v>
      </c>
      <c r="G4" s="21" t="s">
        <v>29</v>
      </c>
      <c r="H4" s="15" t="s">
        <v>14</v>
      </c>
      <c r="I4" s="23" t="s">
        <v>30</v>
      </c>
      <c r="J4" s="24" t="s">
        <v>27</v>
      </c>
      <c r="K4" s="23" t="s">
        <v>31</v>
      </c>
      <c r="L4" s="25" t="s">
        <v>27</v>
      </c>
      <c r="M4" s="19" t="s">
        <v>32</v>
      </c>
      <c r="N4" s="20"/>
      <c r="O4" s="21" t="s">
        <v>33</v>
      </c>
      <c r="P4" s="22"/>
      <c r="Q4" s="19" t="s">
        <v>34</v>
      </c>
      <c r="R4" s="20"/>
      <c r="S4" s="21" t="s">
        <v>35</v>
      </c>
      <c r="T4" s="22"/>
      <c r="U4" s="23" t="s">
        <v>36</v>
      </c>
      <c r="V4" s="25" t="s">
        <v>27</v>
      </c>
    </row>
    <row r="5" customFormat="false" ht="16.5" hidden="false" customHeight="true" outlineLevel="0" collapsed="false">
      <c r="A5" s="23" t="s">
        <v>37</v>
      </c>
      <c r="B5" s="24" t="s">
        <v>27</v>
      </c>
      <c r="C5" s="21" t="s">
        <v>38</v>
      </c>
      <c r="D5" s="22"/>
      <c r="E5" s="23" t="s">
        <v>39</v>
      </c>
      <c r="F5" s="24" t="s">
        <v>27</v>
      </c>
      <c r="G5" s="21" t="s">
        <v>40</v>
      </c>
      <c r="H5" s="15" t="s">
        <v>14</v>
      </c>
      <c r="I5" s="19" t="s">
        <v>41</v>
      </c>
      <c r="J5" s="20" t="s">
        <v>14</v>
      </c>
      <c r="K5" s="21"/>
      <c r="L5" s="22"/>
      <c r="M5" s="19" t="s">
        <v>42</v>
      </c>
      <c r="N5" s="20"/>
      <c r="O5" s="21" t="s">
        <v>43</v>
      </c>
      <c r="P5" s="22"/>
      <c r="Q5" s="19"/>
      <c r="R5" s="20"/>
      <c r="S5" s="21" t="s">
        <v>44</v>
      </c>
      <c r="T5" s="22"/>
      <c r="U5" s="19"/>
      <c r="V5" s="20"/>
    </row>
    <row r="6" customFormat="false" ht="15.75" hidden="false" customHeight="false" outlineLevel="0" collapsed="false">
      <c r="A6" s="19"/>
      <c r="B6" s="20"/>
      <c r="C6" s="21"/>
      <c r="D6" s="22"/>
      <c r="E6" s="19" t="s">
        <v>45</v>
      </c>
      <c r="F6" s="20" t="s">
        <v>14</v>
      </c>
      <c r="G6" s="23" t="s">
        <v>46</v>
      </c>
      <c r="H6" s="25" t="s">
        <v>27</v>
      </c>
      <c r="I6" s="19" t="s">
        <v>47</v>
      </c>
      <c r="J6" s="20" t="s">
        <v>14</v>
      </c>
      <c r="K6" s="21"/>
      <c r="L6" s="22"/>
      <c r="M6" s="19" t="s">
        <v>48</v>
      </c>
      <c r="N6" s="20"/>
      <c r="O6" s="21" t="s">
        <v>49</v>
      </c>
      <c r="P6" s="22"/>
      <c r="Q6" s="19"/>
      <c r="R6" s="20"/>
      <c r="S6" s="23" t="s">
        <v>50</v>
      </c>
      <c r="T6" s="25" t="s">
        <v>27</v>
      </c>
      <c r="U6" s="19"/>
      <c r="V6" s="20"/>
    </row>
    <row r="7" customFormat="false" ht="15.75" hidden="false" customHeight="false" outlineLevel="0" collapsed="false">
      <c r="A7" s="19"/>
      <c r="B7" s="20"/>
      <c r="C7" s="21"/>
      <c r="D7" s="22"/>
      <c r="E7" s="26" t="s">
        <v>51</v>
      </c>
      <c r="F7" s="27" t="s">
        <v>27</v>
      </c>
      <c r="G7" s="21"/>
      <c r="H7" s="22"/>
      <c r="I7" s="19" t="s">
        <v>52</v>
      </c>
      <c r="J7" s="20"/>
      <c r="K7" s="21"/>
      <c r="L7" s="22"/>
      <c r="M7" s="19" t="s">
        <v>53</v>
      </c>
      <c r="N7" s="20"/>
      <c r="O7" s="21" t="s">
        <v>54</v>
      </c>
      <c r="P7" s="22"/>
      <c r="Q7" s="19"/>
      <c r="R7" s="20"/>
      <c r="S7" s="21" t="s">
        <v>55</v>
      </c>
      <c r="T7" s="22"/>
      <c r="U7" s="19"/>
      <c r="V7" s="20"/>
    </row>
    <row r="8" customFormat="false" ht="16.5" hidden="false" customHeight="true" outlineLevel="0" collapsed="false">
      <c r="A8" s="19"/>
      <c r="B8" s="20"/>
      <c r="C8" s="21"/>
      <c r="D8" s="22"/>
      <c r="E8" s="28"/>
      <c r="F8" s="29" t="s">
        <v>56</v>
      </c>
      <c r="G8" s="21"/>
      <c r="H8" s="22"/>
      <c r="I8" s="19" t="s">
        <v>57</v>
      </c>
      <c r="J8" s="20"/>
      <c r="K8" s="21"/>
      <c r="L8" s="22"/>
      <c r="M8" s="19" t="s">
        <v>58</v>
      </c>
      <c r="N8" s="20"/>
      <c r="O8" s="21" t="s">
        <v>59</v>
      </c>
      <c r="P8" s="22"/>
      <c r="Q8" s="19"/>
      <c r="R8" s="20"/>
      <c r="S8" s="21"/>
      <c r="T8" s="22"/>
      <c r="U8" s="19"/>
      <c r="V8" s="20"/>
    </row>
    <row r="9" customFormat="false" ht="15.75" hidden="false" customHeight="false" outlineLevel="0" collapsed="false">
      <c r="A9" s="19"/>
      <c r="B9" s="20"/>
      <c r="C9" s="21"/>
      <c r="D9" s="22"/>
      <c r="E9" s="30" t="s">
        <v>60</v>
      </c>
      <c r="F9" s="31" t="s">
        <v>14</v>
      </c>
      <c r="G9" s="21"/>
      <c r="H9" s="22"/>
      <c r="I9" s="19"/>
      <c r="J9" s="20"/>
      <c r="K9" s="21"/>
      <c r="L9" s="22"/>
      <c r="M9" s="19" t="s">
        <v>61</v>
      </c>
      <c r="N9" s="20"/>
      <c r="O9" s="21" t="s">
        <v>62</v>
      </c>
      <c r="P9" s="22"/>
      <c r="Q9" s="19"/>
      <c r="R9" s="20"/>
      <c r="S9" s="21"/>
      <c r="T9" s="22"/>
      <c r="U9" s="19"/>
      <c r="V9" s="20"/>
    </row>
    <row r="10" customFormat="false" ht="15.75" hidden="false" customHeight="false" outlineLevel="0" collapsed="false">
      <c r="A10" s="19"/>
      <c r="B10" s="20"/>
      <c r="C10" s="21"/>
      <c r="D10" s="22"/>
      <c r="E10" s="19" t="s">
        <v>63</v>
      </c>
      <c r="F10" s="31" t="s">
        <v>64</v>
      </c>
      <c r="G10" s="21"/>
      <c r="H10" s="22"/>
      <c r="I10" s="19"/>
      <c r="J10" s="20"/>
      <c r="K10" s="21"/>
      <c r="L10" s="22"/>
      <c r="M10" s="19" t="s">
        <v>65</v>
      </c>
      <c r="N10" s="20"/>
      <c r="O10" s="21" t="s">
        <v>66</v>
      </c>
      <c r="P10" s="22"/>
      <c r="Q10" s="19"/>
      <c r="R10" s="20"/>
      <c r="S10" s="21"/>
      <c r="T10" s="22"/>
      <c r="U10" s="19"/>
      <c r="V10" s="20"/>
    </row>
    <row r="11" customFormat="false" ht="15.75" hidden="false" customHeight="false" outlineLevel="0" collapsed="false">
      <c r="A11" s="19"/>
      <c r="B11" s="20"/>
      <c r="C11" s="21"/>
      <c r="D11" s="22"/>
      <c r="E11" s="19" t="s">
        <v>67</v>
      </c>
      <c r="F11" s="31" t="s">
        <v>14</v>
      </c>
      <c r="G11" s="21"/>
      <c r="H11" s="22"/>
      <c r="I11" s="19"/>
      <c r="J11" s="20"/>
      <c r="K11" s="21"/>
      <c r="L11" s="22"/>
      <c r="M11" s="19" t="s">
        <v>68</v>
      </c>
      <c r="N11" s="20"/>
      <c r="O11" s="21"/>
      <c r="P11" s="22"/>
      <c r="Q11" s="19"/>
      <c r="R11" s="20"/>
      <c r="S11" s="21"/>
      <c r="T11" s="22"/>
      <c r="U11" s="19"/>
      <c r="V11" s="20"/>
    </row>
    <row r="12" customFormat="false" ht="16.5" hidden="false" customHeight="true" outlineLevel="0" collapsed="false">
      <c r="A12" s="19"/>
      <c r="B12" s="20"/>
      <c r="C12" s="21"/>
      <c r="D12" s="22"/>
      <c r="E12" s="28"/>
      <c r="F12" s="32" t="s">
        <v>69</v>
      </c>
      <c r="G12" s="21"/>
      <c r="H12" s="22"/>
      <c r="I12" s="19"/>
      <c r="J12" s="20"/>
      <c r="K12" s="21"/>
      <c r="L12" s="22"/>
      <c r="M12" s="19" t="s">
        <v>70</v>
      </c>
      <c r="N12" s="20"/>
      <c r="O12" s="21"/>
      <c r="P12" s="22"/>
      <c r="Q12" s="19"/>
      <c r="R12" s="20"/>
      <c r="S12" s="21"/>
      <c r="T12" s="22"/>
      <c r="U12" s="19"/>
      <c r="V12" s="20"/>
    </row>
    <row r="13" customFormat="false" ht="15.75" hidden="false" customHeight="false" outlineLevel="0" collapsed="false">
      <c r="A13" s="19"/>
      <c r="B13" s="20"/>
      <c r="C13" s="21"/>
      <c r="D13" s="22"/>
      <c r="E13" s="30" t="s">
        <v>71</v>
      </c>
      <c r="F13" s="31" t="s">
        <v>14</v>
      </c>
      <c r="G13" s="21"/>
      <c r="H13" s="22"/>
      <c r="I13" s="19"/>
      <c r="J13" s="20"/>
      <c r="K13" s="21"/>
      <c r="L13" s="22"/>
      <c r="M13" s="19"/>
      <c r="N13" s="20"/>
      <c r="O13" s="21"/>
      <c r="P13" s="22"/>
      <c r="Q13" s="19"/>
      <c r="R13" s="20"/>
      <c r="S13" s="21"/>
      <c r="T13" s="22"/>
      <c r="U13" s="19"/>
      <c r="V13" s="20"/>
    </row>
    <row r="14" customFormat="false" ht="15.75" hidden="false" customHeight="false" outlineLevel="0" collapsed="false">
      <c r="A14" s="19"/>
      <c r="B14" s="20"/>
      <c r="C14" s="21"/>
      <c r="D14" s="22"/>
      <c r="E14" s="19" t="s">
        <v>72</v>
      </c>
      <c r="F14" s="20" t="s">
        <v>14</v>
      </c>
      <c r="G14" s="21"/>
      <c r="H14" s="22"/>
      <c r="I14" s="19"/>
      <c r="J14" s="20"/>
      <c r="K14" s="21"/>
      <c r="L14" s="22"/>
      <c r="M14" s="19"/>
      <c r="N14" s="20"/>
      <c r="O14" s="21"/>
      <c r="P14" s="22"/>
      <c r="Q14" s="19"/>
      <c r="R14" s="20"/>
      <c r="S14" s="21"/>
      <c r="T14" s="22"/>
      <c r="U14" s="19"/>
      <c r="V14" s="20"/>
    </row>
    <row r="15" customFormat="false" ht="16.5" hidden="false" customHeight="true" outlineLevel="0" collapsed="false">
      <c r="A15" s="33"/>
      <c r="B15" s="34"/>
      <c r="C15" s="35"/>
      <c r="D15" s="36"/>
      <c r="E15" s="37" t="s">
        <v>73</v>
      </c>
      <c r="F15" s="38" t="s">
        <v>27</v>
      </c>
      <c r="G15" s="35"/>
      <c r="H15" s="36"/>
      <c r="I15" s="33"/>
      <c r="J15" s="34"/>
      <c r="K15" s="35"/>
      <c r="L15" s="36"/>
      <c r="M15" s="33"/>
      <c r="N15" s="34"/>
      <c r="O15" s="35"/>
      <c r="P15" s="36"/>
      <c r="Q15" s="33"/>
      <c r="R15" s="34"/>
      <c r="S15" s="35"/>
      <c r="T15" s="36"/>
      <c r="U15" s="33"/>
      <c r="V15" s="34"/>
    </row>
    <row r="16" s="39" customFormat="true" ht="16.5" hidden="false" customHeight="true" outlineLevel="0" collapsed="false">
      <c r="A16" s="2" t="n">
        <f aca="false">COUNTA(A3:A15)</f>
        <v>3</v>
      </c>
      <c r="C16" s="2" t="n">
        <f aca="false">COUNTA(C3:C15)</f>
        <v>3</v>
      </c>
      <c r="E16" s="2" t="n">
        <f aca="false">COUNTA(E3:E15)</f>
        <v>10</v>
      </c>
      <c r="G16" s="2" t="n">
        <f aca="false">COUNTA(G3:G15)</f>
        <v>4</v>
      </c>
      <c r="I16" s="2" t="n">
        <f aca="false">COUNTA(I3:I15)</f>
        <v>6</v>
      </c>
      <c r="K16" s="2" t="n">
        <f aca="false">COUNTA(K3:K15)</f>
        <v>2</v>
      </c>
      <c r="M16" s="2" t="n">
        <f aca="false">COUNTA(M3:M15)</f>
        <v>10</v>
      </c>
      <c r="O16" s="2" t="n">
        <f aca="false">COUNTA(O3:O15)</f>
        <v>8</v>
      </c>
      <c r="Q16" s="2" t="n">
        <f aca="false">COUNTA(Q3:Q15)</f>
        <v>2</v>
      </c>
      <c r="S16" s="2" t="n">
        <f aca="false">COUNTA(S3:S15)</f>
        <v>5</v>
      </c>
      <c r="U16" s="2" t="n">
        <f aca="false">COUNTA(U3:U15)</f>
        <v>2</v>
      </c>
    </row>
    <row r="17" customFormat="false" ht="16.5" hidden="false" customHeight="true" outlineLevel="0" collapsed="false">
      <c r="B17" s="40" t="n">
        <f aca="false">COUNTA(B3:B15)</f>
        <v>3</v>
      </c>
      <c r="D17" s="40" t="n">
        <f aca="false">COUNTA(D3:D15)</f>
        <v>2</v>
      </c>
      <c r="F17" s="40" t="n">
        <f aca="false">COUNTA(F4:F7,F9:F11,F13:F15)</f>
        <v>10</v>
      </c>
      <c r="G17" s="40"/>
      <c r="H17" s="40" t="n">
        <f aca="false">COUNTA(H3:H15)</f>
        <v>4</v>
      </c>
      <c r="I17" s="40"/>
      <c r="J17" s="40" t="n">
        <f aca="false">COUNTA(J3:J15)</f>
        <v>4</v>
      </c>
      <c r="K17" s="40"/>
      <c r="L17" s="40" t="n">
        <f aca="false">COUNTA(L3:L15)</f>
        <v>1</v>
      </c>
      <c r="M17" s="40"/>
      <c r="N17" s="40" t="n">
        <f aca="false">COUNTA(N3:N15)</f>
        <v>0</v>
      </c>
      <c r="O17" s="40"/>
      <c r="P17" s="40" t="n">
        <f aca="false">COUNTA(P3:P15)</f>
        <v>0</v>
      </c>
      <c r="Q17" s="40"/>
      <c r="R17" s="40" t="n">
        <f aca="false">COUNTA(R3:R15)</f>
        <v>0</v>
      </c>
      <c r="S17" s="40"/>
      <c r="T17" s="40" t="n">
        <f aca="false">COUNTA(T3:T15)</f>
        <v>1</v>
      </c>
      <c r="U17" s="40"/>
      <c r="V17" s="40" t="n">
        <f aca="false">COUNTA(V3:V15)</f>
        <v>2</v>
      </c>
      <c r="W17" s="10" t="n">
        <f aca="false">SUM(B17,D17,F17,H17,J17,L17,N17,P17,R17,T17,V17)</f>
        <v>27</v>
      </c>
      <c r="X17" s="11" t="n">
        <f aca="false">W17/W2</f>
        <v>0.490909090909091</v>
      </c>
    </row>
    <row r="18" customFormat="false" ht="15.75" hidden="false" customHeight="false" outlineLevel="0" collapsed="false">
      <c r="A18" s="40"/>
      <c r="B18" s="41" t="n">
        <f aca="false">B17/A16</f>
        <v>1</v>
      </c>
      <c r="C18" s="40"/>
      <c r="D18" s="41" t="n">
        <f aca="false">D17/C16</f>
        <v>0.666666666666667</v>
      </c>
      <c r="E18" s="40"/>
      <c r="F18" s="41" t="n">
        <f aca="false">F17/E16</f>
        <v>1</v>
      </c>
      <c r="H18" s="41" t="n">
        <f aca="false">H17/G16</f>
        <v>1</v>
      </c>
      <c r="J18" s="41" t="n">
        <f aca="false">J17/I16</f>
        <v>0.666666666666667</v>
      </c>
      <c r="L18" s="41" t="n">
        <f aca="false">L17/K16</f>
        <v>0.5</v>
      </c>
      <c r="N18" s="41" t="n">
        <f aca="false">N17/M16</f>
        <v>0</v>
      </c>
      <c r="P18" s="41" t="n">
        <f aca="false">P17/O16</f>
        <v>0</v>
      </c>
      <c r="R18" s="41" t="n">
        <f aca="false">R17/Q16</f>
        <v>0</v>
      </c>
      <c r="T18" s="41" t="n">
        <f aca="false">T17/S16</f>
        <v>0.2</v>
      </c>
      <c r="V18" s="41" t="n">
        <f aca="false">V17/U16</f>
        <v>1</v>
      </c>
    </row>
    <row r="19" customFormat="false" ht="15.75" hidden="false" customHeight="false" outlineLevel="0" collapsed="false">
      <c r="E19" s="42" t="s">
        <v>74</v>
      </c>
    </row>
    <row r="20" customFormat="false" ht="16.5" hidden="false" customHeight="true" outlineLevel="0" collapsed="false">
      <c r="E20" s="1" t="s">
        <v>75</v>
      </c>
      <c r="V20" s="43" t="s">
        <v>76</v>
      </c>
      <c r="W20" s="44" t="n">
        <f aca="false">COUNTIF($A$1:$V$15,"PASS")</f>
        <v>11</v>
      </c>
      <c r="X20" s="45" t="n">
        <f aca="false">W20/W2</f>
        <v>0.2</v>
      </c>
    </row>
    <row r="21" customFormat="false" ht="16.5" hidden="false" customHeight="true" outlineLevel="0" collapsed="false">
      <c r="V21" s="43" t="s">
        <v>77</v>
      </c>
      <c r="W21" s="46" t="n">
        <f aca="false">COUNTIF($A$1:$V$15,"Avoid")</f>
        <v>15</v>
      </c>
      <c r="X21" s="47" t="n">
        <f aca="false">W21/W2</f>
        <v>0.272727272727273</v>
      </c>
    </row>
    <row r="22" customFormat="false" ht="16.5" hidden="false" customHeight="true" outlineLevel="0" collapsed="false">
      <c r="V22" s="43" t="s">
        <v>78</v>
      </c>
      <c r="W22" s="48" t="n">
        <f aca="false">SUM(W20:W21)</f>
        <v>26</v>
      </c>
      <c r="X22" s="49" t="n">
        <f aca="false">W22/W2</f>
        <v>0.472727272727273</v>
      </c>
    </row>
    <row r="23" customFormat="false" ht="16.5" hidden="false" customHeight="true" outlineLevel="0" collapsed="false"/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E15" activeCellId="0" sqref="E15"/>
    </sheetView>
  </sheetViews>
  <sheetFormatPr defaultColWidth="10.8359375" defaultRowHeight="15.75" customHeight="false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1" width="6.33"/>
    <col collapsed="false" customWidth="true" hidden="false" outlineLevel="0" max="3" min="3" style="1" width="14.16"/>
    <col collapsed="false" customWidth="true" hidden="false" outlineLevel="0" max="4" min="4" style="1" width="6.33"/>
    <col collapsed="false" customWidth="true" hidden="false" outlineLevel="0" max="5" min="5" style="1" width="14"/>
    <col collapsed="false" customWidth="true" hidden="false" outlineLevel="0" max="6" min="6" style="1" width="6.33"/>
    <col collapsed="false" customWidth="false" hidden="false" outlineLevel="0" max="7" min="7" style="1" width="10.83"/>
    <col collapsed="false" customWidth="true" hidden="false" outlineLevel="0" max="8" min="8" style="1" width="6.33"/>
    <col collapsed="false" customWidth="true" hidden="false" outlineLevel="0" max="9" min="9" style="1" width="6.51"/>
    <col collapsed="false" customWidth="true" hidden="false" outlineLevel="0" max="10" min="10" style="1" width="6.33"/>
    <col collapsed="false" customWidth="true" hidden="false" outlineLevel="0" max="11" min="11" style="1" width="8.66"/>
    <col collapsed="false" customWidth="true" hidden="false" outlineLevel="0" max="12" min="12" style="1" width="6.33"/>
    <col collapsed="false" customWidth="true" hidden="false" outlineLevel="0" max="13" min="13" style="1" width="10.33"/>
    <col collapsed="false" customWidth="true" hidden="false" outlineLevel="0" max="14" min="14" style="1" width="6.33"/>
    <col collapsed="false" customWidth="true" hidden="false" outlineLevel="0" max="15" min="15" style="1" width="9.66"/>
    <col collapsed="false" customWidth="true" hidden="false" outlineLevel="0" max="16" min="16" style="1" width="6.33"/>
    <col collapsed="false" customWidth="true" hidden="false" outlineLevel="0" max="17" min="17" style="1" width="8"/>
    <col collapsed="false" customWidth="true" hidden="false" outlineLevel="0" max="18" min="18" style="1" width="6.33"/>
    <col collapsed="false" customWidth="true" hidden="false" outlineLevel="0" max="19" min="19" style="1" width="10.16"/>
    <col collapsed="false" customWidth="true" hidden="false" outlineLevel="0" max="20" min="20" style="1" width="6.33"/>
    <col collapsed="false" customWidth="true" hidden="false" outlineLevel="0" max="21" min="21" style="1" width="7.51"/>
    <col collapsed="false" customWidth="true" hidden="false" outlineLevel="0" max="22" min="22" style="1" width="6.33"/>
    <col collapsed="false" customWidth="true" hidden="false" outlineLevel="0" max="23" min="23" style="39" width="5"/>
    <col collapsed="false" customWidth="false" hidden="false" outlineLevel="0" max="16384" min="24" style="3" width="10.83"/>
  </cols>
  <sheetData>
    <row r="1" s="9" customFormat="true" ht="45" hidden="false" customHeight="true" outlineLevel="0" collapsed="false">
      <c r="A1" s="50" t="s">
        <v>0</v>
      </c>
      <c r="B1" s="5" t="s">
        <v>1</v>
      </c>
      <c r="C1" s="51" t="s">
        <v>2</v>
      </c>
      <c r="D1" s="7" t="s">
        <v>1</v>
      </c>
      <c r="E1" s="50" t="s">
        <v>3</v>
      </c>
      <c r="F1" s="5" t="s">
        <v>1</v>
      </c>
      <c r="G1" s="51" t="s">
        <v>4</v>
      </c>
      <c r="H1" s="7" t="s">
        <v>1</v>
      </c>
      <c r="I1" s="50" t="s">
        <v>5</v>
      </c>
      <c r="J1" s="5" t="s">
        <v>1</v>
      </c>
      <c r="K1" s="51" t="s">
        <v>6</v>
      </c>
      <c r="L1" s="7" t="s">
        <v>1</v>
      </c>
      <c r="M1" s="50" t="s">
        <v>7</v>
      </c>
      <c r="N1" s="5" t="s">
        <v>1</v>
      </c>
      <c r="O1" s="51" t="s">
        <v>8</v>
      </c>
      <c r="P1" s="7" t="s">
        <v>1</v>
      </c>
      <c r="Q1" s="50" t="s">
        <v>9</v>
      </c>
      <c r="R1" s="5" t="s">
        <v>1</v>
      </c>
      <c r="S1" s="51" t="s">
        <v>10</v>
      </c>
      <c r="T1" s="7" t="s">
        <v>1</v>
      </c>
      <c r="U1" s="50" t="s">
        <v>11</v>
      </c>
      <c r="V1" s="5" t="s">
        <v>1</v>
      </c>
      <c r="W1" s="18" t="s">
        <v>12</v>
      </c>
    </row>
    <row r="2" s="9" customFormat="true" ht="16.5" hidden="false" customHeight="true" outlineLevel="0" collapsed="false">
      <c r="A2" s="52" t="n">
        <v>3</v>
      </c>
      <c r="B2" s="5"/>
      <c r="C2" s="53" t="n">
        <v>3</v>
      </c>
      <c r="D2" s="7"/>
      <c r="E2" s="52" t="n">
        <v>10</v>
      </c>
      <c r="F2" s="5"/>
      <c r="G2" s="53" t="n">
        <v>4</v>
      </c>
      <c r="H2" s="7"/>
      <c r="I2" s="52" t="n">
        <v>6</v>
      </c>
      <c r="J2" s="5"/>
      <c r="K2" s="53" t="n">
        <v>2</v>
      </c>
      <c r="L2" s="7"/>
      <c r="M2" s="52" t="n">
        <v>10</v>
      </c>
      <c r="N2" s="5"/>
      <c r="O2" s="53" t="n">
        <v>8</v>
      </c>
      <c r="P2" s="7"/>
      <c r="Q2" s="52" t="n">
        <v>2</v>
      </c>
      <c r="R2" s="5"/>
      <c r="S2" s="53" t="n">
        <v>5</v>
      </c>
      <c r="T2" s="7"/>
      <c r="U2" s="52" t="n">
        <v>2</v>
      </c>
      <c r="V2" s="5"/>
      <c r="W2" s="18" t="n">
        <f aca="false">SUM(A1:U2)</f>
        <v>55</v>
      </c>
    </row>
    <row r="3" s="9" customFormat="true" ht="15.75" hidden="false" customHeight="false" outlineLevel="0" collapsed="false">
      <c r="A3" s="54" t="s">
        <v>13</v>
      </c>
      <c r="B3" s="55" t="s">
        <v>14</v>
      </c>
      <c r="C3" s="56" t="s">
        <v>15</v>
      </c>
      <c r="D3" s="57" t="s">
        <v>14</v>
      </c>
      <c r="E3" s="54" t="s">
        <v>71</v>
      </c>
      <c r="F3" s="55"/>
      <c r="G3" s="56" t="s">
        <v>17</v>
      </c>
      <c r="H3" s="57" t="s">
        <v>14</v>
      </c>
      <c r="I3" s="54" t="s">
        <v>18</v>
      </c>
      <c r="J3" s="55" t="s">
        <v>14</v>
      </c>
      <c r="K3" s="56" t="s">
        <v>19</v>
      </c>
      <c r="L3" s="57"/>
      <c r="M3" s="54" t="s">
        <v>20</v>
      </c>
      <c r="N3" s="55"/>
      <c r="O3" s="56" t="s">
        <v>21</v>
      </c>
      <c r="P3" s="57"/>
      <c r="Q3" s="54" t="s">
        <v>22</v>
      </c>
      <c r="R3" s="55"/>
      <c r="S3" s="56" t="s">
        <v>23</v>
      </c>
      <c r="T3" s="57"/>
      <c r="U3" s="54" t="s">
        <v>24</v>
      </c>
      <c r="V3" s="55" t="s">
        <v>14</v>
      </c>
      <c r="W3" s="18"/>
    </row>
    <row r="4" customFormat="false" ht="15.75" hidden="false" customHeight="false" outlineLevel="0" collapsed="false">
      <c r="A4" s="19" t="s">
        <v>25</v>
      </c>
      <c r="B4" s="20" t="s">
        <v>14</v>
      </c>
      <c r="C4" s="21" t="s">
        <v>26</v>
      </c>
      <c r="D4" s="22" t="s">
        <v>27</v>
      </c>
      <c r="E4" s="19" t="s">
        <v>79</v>
      </c>
      <c r="F4" s="20"/>
      <c r="G4" s="21" t="s">
        <v>29</v>
      </c>
      <c r="H4" s="57" t="s">
        <v>14</v>
      </c>
      <c r="I4" s="19" t="s">
        <v>30</v>
      </c>
      <c r="J4" s="20" t="s">
        <v>27</v>
      </c>
      <c r="K4" s="21" t="s">
        <v>31</v>
      </c>
      <c r="L4" s="22"/>
      <c r="M4" s="19" t="s">
        <v>32</v>
      </c>
      <c r="N4" s="20"/>
      <c r="O4" s="21" t="s">
        <v>33</v>
      </c>
      <c r="P4" s="22"/>
      <c r="Q4" s="19" t="s">
        <v>34</v>
      </c>
      <c r="R4" s="20"/>
      <c r="S4" s="21" t="s">
        <v>35</v>
      </c>
      <c r="T4" s="22"/>
      <c r="U4" s="19" t="s">
        <v>36</v>
      </c>
      <c r="V4" s="20" t="s">
        <v>27</v>
      </c>
    </row>
    <row r="5" customFormat="false" ht="15.75" hidden="false" customHeight="false" outlineLevel="0" collapsed="false">
      <c r="A5" s="19" t="s">
        <v>37</v>
      </c>
      <c r="B5" s="20" t="s">
        <v>27</v>
      </c>
      <c r="C5" s="21" t="s">
        <v>38</v>
      </c>
      <c r="D5" s="22"/>
      <c r="E5" s="19" t="s">
        <v>28</v>
      </c>
      <c r="F5" s="20"/>
      <c r="G5" s="21" t="s">
        <v>40</v>
      </c>
      <c r="H5" s="57" t="s">
        <v>14</v>
      </c>
      <c r="I5" s="19" t="s">
        <v>41</v>
      </c>
      <c r="J5" s="20" t="s">
        <v>14</v>
      </c>
      <c r="K5" s="21"/>
      <c r="L5" s="22"/>
      <c r="M5" s="19" t="s">
        <v>42</v>
      </c>
      <c r="N5" s="20"/>
      <c r="O5" s="21" t="s">
        <v>43</v>
      </c>
      <c r="P5" s="22"/>
      <c r="Q5" s="19"/>
      <c r="R5" s="20"/>
      <c r="S5" s="21" t="s">
        <v>44</v>
      </c>
      <c r="T5" s="22"/>
      <c r="U5" s="19"/>
      <c r="V5" s="20"/>
    </row>
    <row r="6" customFormat="false" ht="15.75" hidden="false" customHeight="false" outlineLevel="0" collapsed="false">
      <c r="A6" s="19"/>
      <c r="B6" s="20"/>
      <c r="C6" s="21"/>
      <c r="D6" s="22"/>
      <c r="E6" s="19" t="s">
        <v>80</v>
      </c>
      <c r="F6" s="20"/>
      <c r="G6" s="21" t="s">
        <v>46</v>
      </c>
      <c r="H6" s="22" t="s">
        <v>27</v>
      </c>
      <c r="I6" s="19" t="s">
        <v>47</v>
      </c>
      <c r="J6" s="20" t="s">
        <v>14</v>
      </c>
      <c r="K6" s="21"/>
      <c r="L6" s="22"/>
      <c r="M6" s="19" t="s">
        <v>48</v>
      </c>
      <c r="N6" s="20"/>
      <c r="O6" s="21" t="s">
        <v>49</v>
      </c>
      <c r="P6" s="22"/>
      <c r="Q6" s="19"/>
      <c r="R6" s="20"/>
      <c r="S6" s="21" t="s">
        <v>50</v>
      </c>
      <c r="T6" s="22"/>
      <c r="U6" s="19"/>
      <c r="V6" s="20"/>
    </row>
    <row r="7" customFormat="false" ht="15.75" hidden="false" customHeight="false" outlineLevel="0" collapsed="false">
      <c r="A7" s="19"/>
      <c r="B7" s="20"/>
      <c r="C7" s="21"/>
      <c r="D7" s="22"/>
      <c r="E7" s="19" t="s">
        <v>81</v>
      </c>
      <c r="F7" s="20"/>
      <c r="G7" s="21"/>
      <c r="H7" s="22"/>
      <c r="I7" s="19" t="s">
        <v>52</v>
      </c>
      <c r="J7" s="20"/>
      <c r="K7" s="21"/>
      <c r="L7" s="22"/>
      <c r="M7" s="19" t="s">
        <v>53</v>
      </c>
      <c r="N7" s="20"/>
      <c r="O7" s="21" t="s">
        <v>54</v>
      </c>
      <c r="P7" s="22"/>
      <c r="Q7" s="19"/>
      <c r="R7" s="20"/>
      <c r="S7" s="21" t="s">
        <v>55</v>
      </c>
      <c r="T7" s="22"/>
      <c r="U7" s="19"/>
      <c r="V7" s="20"/>
    </row>
    <row r="8" customFormat="false" ht="15.75" hidden="false" customHeight="false" outlineLevel="0" collapsed="false">
      <c r="A8" s="19"/>
      <c r="B8" s="20"/>
      <c r="C8" s="21"/>
      <c r="D8" s="22"/>
      <c r="E8" s="19" t="s">
        <v>82</v>
      </c>
      <c r="F8" s="20"/>
      <c r="G8" s="21"/>
      <c r="H8" s="22"/>
      <c r="I8" s="19" t="s">
        <v>57</v>
      </c>
      <c r="J8" s="20"/>
      <c r="K8" s="21"/>
      <c r="L8" s="22"/>
      <c r="M8" s="19" t="s">
        <v>58</v>
      </c>
      <c r="N8" s="20"/>
      <c r="O8" s="21" t="s">
        <v>59</v>
      </c>
      <c r="P8" s="22"/>
      <c r="Q8" s="19"/>
      <c r="R8" s="20"/>
      <c r="S8" s="21"/>
      <c r="T8" s="22"/>
      <c r="U8" s="19"/>
      <c r="V8" s="20"/>
    </row>
    <row r="9" customFormat="false" ht="15.75" hidden="false" customHeight="false" outlineLevel="0" collapsed="false">
      <c r="A9" s="19"/>
      <c r="B9" s="20"/>
      <c r="C9" s="21"/>
      <c r="D9" s="22"/>
      <c r="E9" s="19" t="s">
        <v>60</v>
      </c>
      <c r="F9" s="20"/>
      <c r="G9" s="21"/>
      <c r="H9" s="22"/>
      <c r="I9" s="19"/>
      <c r="J9" s="20"/>
      <c r="K9" s="21"/>
      <c r="L9" s="22"/>
      <c r="M9" s="19" t="s">
        <v>61</v>
      </c>
      <c r="N9" s="20"/>
      <c r="O9" s="21" t="s">
        <v>62</v>
      </c>
      <c r="P9" s="22"/>
      <c r="Q9" s="19"/>
      <c r="R9" s="20"/>
      <c r="S9" s="21"/>
      <c r="T9" s="22"/>
      <c r="U9" s="19"/>
      <c r="V9" s="20"/>
    </row>
    <row r="10" customFormat="false" ht="15.75" hidden="false" customHeight="false" outlineLevel="0" collapsed="false">
      <c r="A10" s="19"/>
      <c r="B10" s="20"/>
      <c r="C10" s="21"/>
      <c r="D10" s="22"/>
      <c r="E10" s="19" t="s">
        <v>83</v>
      </c>
      <c r="F10" s="20"/>
      <c r="G10" s="21"/>
      <c r="H10" s="22"/>
      <c r="I10" s="19"/>
      <c r="J10" s="20"/>
      <c r="K10" s="21"/>
      <c r="L10" s="22"/>
      <c r="M10" s="19" t="s">
        <v>65</v>
      </c>
      <c r="N10" s="20"/>
      <c r="O10" s="21" t="s">
        <v>66</v>
      </c>
      <c r="P10" s="22"/>
      <c r="Q10" s="19"/>
      <c r="R10" s="20"/>
      <c r="S10" s="21"/>
      <c r="T10" s="22"/>
      <c r="U10" s="19"/>
      <c r="V10" s="20"/>
    </row>
    <row r="11" customFormat="false" ht="15.75" hidden="false" customHeight="false" outlineLevel="0" collapsed="false">
      <c r="A11" s="19"/>
      <c r="B11" s="20"/>
      <c r="C11" s="21"/>
      <c r="D11" s="22"/>
      <c r="E11" s="19" t="s">
        <v>84</v>
      </c>
      <c r="F11" s="20"/>
      <c r="G11" s="21"/>
      <c r="H11" s="22"/>
      <c r="I11" s="19"/>
      <c r="J11" s="20"/>
      <c r="K11" s="21"/>
      <c r="L11" s="22"/>
      <c r="M11" s="19" t="s">
        <v>68</v>
      </c>
      <c r="N11" s="20"/>
      <c r="O11" s="21"/>
      <c r="P11" s="22"/>
      <c r="Q11" s="19"/>
      <c r="R11" s="20"/>
      <c r="S11" s="21"/>
      <c r="T11" s="22"/>
      <c r="U11" s="19"/>
      <c r="V11" s="20"/>
    </row>
    <row r="12" customFormat="false" ht="16.5" hidden="false" customHeight="true" outlineLevel="0" collapsed="false">
      <c r="A12" s="33"/>
      <c r="B12" s="34"/>
      <c r="C12" s="35"/>
      <c r="D12" s="36"/>
      <c r="E12" s="33" t="s">
        <v>85</v>
      </c>
      <c r="F12" s="34"/>
      <c r="G12" s="35"/>
      <c r="H12" s="36"/>
      <c r="I12" s="33"/>
      <c r="J12" s="34"/>
      <c r="K12" s="35"/>
      <c r="L12" s="36"/>
      <c r="M12" s="33" t="s">
        <v>70</v>
      </c>
      <c r="N12" s="34"/>
      <c r="O12" s="35"/>
      <c r="P12" s="36"/>
      <c r="Q12" s="33"/>
      <c r="R12" s="34"/>
      <c r="S12" s="35"/>
      <c r="T12" s="36"/>
      <c r="U12" s="33"/>
      <c r="V12" s="34"/>
    </row>
    <row r="13" customFormat="false" ht="15.75" hidden="false" customHeight="false" outlineLevel="0" collapsed="false">
      <c r="V13" s="43" t="s">
        <v>76</v>
      </c>
    </row>
    <row r="14" customFormat="false" ht="15.75" hidden="false" customHeight="false" outlineLevel="0" collapsed="false">
      <c r="E14" s="58"/>
      <c r="F14" s="58" t="s">
        <v>86</v>
      </c>
      <c r="G14" s="58" t="s">
        <v>87</v>
      </c>
      <c r="V14" s="43" t="s">
        <v>77</v>
      </c>
    </row>
    <row r="15" customFormat="false" ht="15.75" hidden="false" customHeight="false" outlineLevel="0" collapsed="false">
      <c r="E15" s="1" t="s">
        <v>16</v>
      </c>
      <c r="F15" s="1" t="s">
        <v>28</v>
      </c>
      <c r="G15" s="1" t="s">
        <v>39</v>
      </c>
      <c r="H15" s="1" t="s">
        <v>45</v>
      </c>
      <c r="I15" s="1" t="s">
        <v>51</v>
      </c>
    </row>
    <row r="16" customFormat="false" ht="15.75" hidden="false" customHeight="false" outlineLevel="0" collapsed="false">
      <c r="E16" s="1" t="s">
        <v>28</v>
      </c>
    </row>
    <row r="17" customFormat="false" ht="15.75" hidden="false" customHeight="false" outlineLevel="0" collapsed="false">
      <c r="E17" s="1" t="s">
        <v>39</v>
      </c>
    </row>
    <row r="18" customFormat="false" ht="15.75" hidden="false" customHeight="false" outlineLevel="0" collapsed="false">
      <c r="E18" s="1" t="s">
        <v>45</v>
      </c>
    </row>
    <row r="19" customFormat="false" ht="15.75" hidden="false" customHeight="false" outlineLevel="0" collapsed="false">
      <c r="E19" s="1" t="s">
        <v>51</v>
      </c>
    </row>
    <row r="20" customFormat="false" ht="15.75" hidden="false" customHeight="false" outlineLevel="0" collapsed="false">
      <c r="E20" s="1" t="s">
        <v>56</v>
      </c>
      <c r="F20" s="1" t="s">
        <v>60</v>
      </c>
      <c r="G20" s="1" t="s">
        <v>63</v>
      </c>
      <c r="H20" s="1" t="s">
        <v>67</v>
      </c>
    </row>
    <row r="21" customFormat="false" ht="15.75" hidden="false" customHeight="false" outlineLevel="0" collapsed="false">
      <c r="E21" s="1" t="s">
        <v>60</v>
      </c>
    </row>
    <row r="22" customFormat="false" ht="15.75" hidden="false" customHeight="false" outlineLevel="0" collapsed="false">
      <c r="E22" s="1" t="s">
        <v>63</v>
      </c>
    </row>
    <row r="23" customFormat="false" ht="15.75" hidden="false" customHeight="false" outlineLevel="0" collapsed="false">
      <c r="E23" s="1" t="s">
        <v>67</v>
      </c>
    </row>
    <row r="24" customFormat="false" ht="15.75" hidden="false" customHeight="false" outlineLevel="0" collapsed="false">
      <c r="E24" s="1" t="s">
        <v>88</v>
      </c>
      <c r="F24" s="1" t="s">
        <v>71</v>
      </c>
      <c r="G24" s="1" t="s">
        <v>72</v>
      </c>
      <c r="H24" s="1" t="s">
        <v>73</v>
      </c>
    </row>
    <row r="25" customFormat="false" ht="15.75" hidden="false" customHeight="false" outlineLevel="0" collapsed="false">
      <c r="E25" s="1" t="s">
        <v>71</v>
      </c>
    </row>
    <row r="26" customFormat="false" ht="15.75" hidden="false" customHeight="false" outlineLevel="0" collapsed="false">
      <c r="E26" s="1" t="s">
        <v>72</v>
      </c>
    </row>
    <row r="27" customFormat="false" ht="15.75" hidden="false" customHeight="false" outlineLevel="0" collapsed="false">
      <c r="E27" s="1" t="s">
        <v>73</v>
      </c>
    </row>
  </sheetData>
  <mergeCells count="11">
    <mergeCell ref="B1:B2"/>
    <mergeCell ref="D1:D2"/>
    <mergeCell ref="F1:F2"/>
    <mergeCell ref="H1:H2"/>
    <mergeCell ref="J1:J2"/>
    <mergeCell ref="L1:L2"/>
    <mergeCell ref="N1:N2"/>
    <mergeCell ref="P1:P2"/>
    <mergeCell ref="R1:R2"/>
    <mergeCell ref="T1:T2"/>
    <mergeCell ref="V1:V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6640625" defaultRowHeight="15.75" customHeight="false" zeroHeight="false" outlineLevelRow="0" outlineLevelCol="0"/>
  <cols>
    <col collapsed="false" customWidth="true" hidden="false" outlineLevel="0" max="1" min="1" style="0" width="28.66"/>
    <col collapsed="false" customWidth="true" hidden="false" outlineLevel="0" max="2" min="2" style="0" width="8.66"/>
    <col collapsed="false" customWidth="true" hidden="false" outlineLevel="0" max="3" min="3" style="0" width="47.84"/>
  </cols>
  <sheetData>
    <row r="1" s="60" customFormat="true" ht="31.5" hidden="false" customHeight="true" outlineLevel="0" collapsed="false">
      <c r="A1" s="59" t="s">
        <v>89</v>
      </c>
      <c r="B1" s="59" t="s">
        <v>90</v>
      </c>
      <c r="C1" s="59" t="s">
        <v>86</v>
      </c>
    </row>
    <row r="2" customFormat="false" ht="15.75" hidden="false" customHeight="false" outlineLevel="0" collapsed="false">
      <c r="A2" s="61" t="s">
        <v>0</v>
      </c>
      <c r="B2" s="62" t="n">
        <v>3</v>
      </c>
      <c r="C2" s="61" t="s">
        <v>91</v>
      </c>
    </row>
    <row r="3" customFormat="false" ht="15.75" hidden="false" customHeight="false" outlineLevel="0" collapsed="false">
      <c r="A3" s="61" t="s">
        <v>2</v>
      </c>
      <c r="B3" s="62" t="n">
        <v>2</v>
      </c>
      <c r="C3" s="61" t="s">
        <v>92</v>
      </c>
    </row>
    <row r="4" customFormat="false" ht="15.75" hidden="false" customHeight="false" outlineLevel="0" collapsed="false">
      <c r="A4" s="61" t="s">
        <v>93</v>
      </c>
      <c r="B4" s="62" t="n">
        <v>10</v>
      </c>
      <c r="C4" s="61" t="s">
        <v>94</v>
      </c>
    </row>
    <row r="5" customFormat="false" ht="15.75" hidden="false" customHeight="false" outlineLevel="0" collapsed="false">
      <c r="A5" s="61" t="s">
        <v>95</v>
      </c>
      <c r="B5" s="62" t="n">
        <v>4</v>
      </c>
      <c r="C5" s="61" t="s">
        <v>96</v>
      </c>
    </row>
    <row r="6" customFormat="false" ht="15.75" hidden="false" customHeight="false" outlineLevel="0" collapsed="false">
      <c r="A6" s="61" t="s">
        <v>5</v>
      </c>
      <c r="B6" s="62" t="n">
        <v>6</v>
      </c>
      <c r="C6" s="61" t="s">
        <v>97</v>
      </c>
    </row>
    <row r="7" customFormat="false" ht="15.75" hidden="false" customHeight="false" outlineLevel="0" collapsed="false">
      <c r="A7" s="61" t="s">
        <v>6</v>
      </c>
      <c r="B7" s="62" t="n">
        <v>2</v>
      </c>
      <c r="C7" s="61" t="s">
        <v>98</v>
      </c>
    </row>
    <row r="8" customFormat="false" ht="15.75" hidden="false" customHeight="false" outlineLevel="0" collapsed="false">
      <c r="A8" s="61" t="s">
        <v>7</v>
      </c>
      <c r="B8" s="62" t="n">
        <v>9</v>
      </c>
      <c r="C8" s="61" t="s">
        <v>99</v>
      </c>
    </row>
    <row r="9" customFormat="false" ht="15.75" hidden="false" customHeight="false" outlineLevel="0" collapsed="false">
      <c r="A9" s="61" t="s">
        <v>8</v>
      </c>
      <c r="B9" s="62" t="n">
        <v>8</v>
      </c>
      <c r="C9" s="61" t="s">
        <v>100</v>
      </c>
    </row>
    <row r="10" customFormat="false" ht="15.75" hidden="false" customHeight="false" outlineLevel="0" collapsed="false">
      <c r="A10" s="61" t="s">
        <v>9</v>
      </c>
      <c r="B10" s="62" t="n">
        <v>2</v>
      </c>
      <c r="C10" s="61" t="s">
        <v>101</v>
      </c>
    </row>
    <row r="11" customFormat="false" ht="15.75" hidden="false" customHeight="false" outlineLevel="0" collapsed="false">
      <c r="A11" s="61" t="s">
        <v>10</v>
      </c>
      <c r="B11" s="62" t="n">
        <v>5</v>
      </c>
      <c r="C11" s="61" t="s">
        <v>102</v>
      </c>
    </row>
    <row r="12" customFormat="false" ht="15.75" hidden="false" customHeight="false" outlineLevel="0" collapsed="false">
      <c r="A12" s="61" t="s">
        <v>11</v>
      </c>
      <c r="B12" s="62" t="n">
        <v>2</v>
      </c>
      <c r="C12" s="61" t="s">
        <v>103</v>
      </c>
    </row>
    <row r="13" customFormat="false" ht="15.75" hidden="false" customHeight="false" outlineLevel="0" collapsed="false">
      <c r="A13" s="63" t="s">
        <v>104</v>
      </c>
      <c r="B13" s="64" t="n">
        <v>1</v>
      </c>
      <c r="C13" s="63" t="s">
        <v>105</v>
      </c>
    </row>
    <row r="15" s="67" customFormat="true" ht="48" hidden="false" customHeight="true" outlineLevel="0" collapsed="false">
      <c r="A15" s="65" t="s">
        <v>0</v>
      </c>
      <c r="B15" s="66" t="s">
        <v>2</v>
      </c>
      <c r="C15" s="65" t="s">
        <v>93</v>
      </c>
      <c r="D15" s="66" t="s">
        <v>95</v>
      </c>
      <c r="E15" s="65" t="s">
        <v>5</v>
      </c>
      <c r="F15" s="66" t="s">
        <v>6</v>
      </c>
      <c r="G15" s="65" t="s">
        <v>7</v>
      </c>
      <c r="H15" s="66" t="s">
        <v>8</v>
      </c>
      <c r="I15" s="65" t="s">
        <v>9</v>
      </c>
      <c r="J15" s="66" t="s">
        <v>10</v>
      </c>
      <c r="K15" s="65" t="s">
        <v>11</v>
      </c>
    </row>
    <row r="16" s="67" customFormat="true" ht="15.75" hidden="false" customHeight="false" outlineLevel="0" collapsed="false">
      <c r="A16" s="68" t="n">
        <v>3</v>
      </c>
      <c r="B16" s="69" t="n">
        <v>2</v>
      </c>
      <c r="C16" s="68" t="n">
        <v>10</v>
      </c>
      <c r="D16" s="69" t="n">
        <v>4</v>
      </c>
      <c r="E16" s="68" t="n">
        <v>6</v>
      </c>
      <c r="F16" s="69" t="n">
        <v>2</v>
      </c>
      <c r="G16" s="68" t="n">
        <v>9</v>
      </c>
      <c r="H16" s="69" t="n">
        <v>8</v>
      </c>
      <c r="I16" s="68" t="n">
        <v>2</v>
      </c>
      <c r="J16" s="69" t="n">
        <v>5</v>
      </c>
      <c r="K16" s="68" t="n">
        <v>2</v>
      </c>
    </row>
    <row r="17" s="67" customFormat="true" ht="79.5" hidden="false" customHeight="true" outlineLevel="0" collapsed="false">
      <c r="A17" s="70" t="s">
        <v>91</v>
      </c>
      <c r="B17" s="71" t="s">
        <v>92</v>
      </c>
      <c r="C17" s="70" t="s">
        <v>94</v>
      </c>
      <c r="D17" s="71" t="s">
        <v>96</v>
      </c>
      <c r="E17" s="70" t="s">
        <v>97</v>
      </c>
      <c r="F17" s="71" t="s">
        <v>98</v>
      </c>
      <c r="G17" s="70" t="s">
        <v>99</v>
      </c>
      <c r="H17" s="71" t="s">
        <v>100</v>
      </c>
      <c r="I17" s="70" t="s">
        <v>101</v>
      </c>
      <c r="J17" s="71" t="s">
        <v>102</v>
      </c>
      <c r="K17" s="70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6640625" defaultRowHeight="15.75" customHeight="false" zeroHeight="false" outlineLevelRow="0" outlineLevelCol="0"/>
  <cols>
    <col collapsed="false" customWidth="true" hidden="false" outlineLevel="0" max="1" min="1" style="0" width="28.66"/>
    <col collapsed="false" customWidth="true" hidden="false" outlineLevel="0" max="2" min="2" style="0" width="8.66"/>
    <col collapsed="false" customWidth="true" hidden="false" outlineLevel="0" max="3" min="3" style="0" width="47.84"/>
  </cols>
  <sheetData>
    <row r="1" s="60" customFormat="true" ht="31.5" hidden="false" customHeight="true" outlineLevel="0" collapsed="false">
      <c r="A1" s="59" t="s">
        <v>89</v>
      </c>
      <c r="B1" s="59" t="s">
        <v>90</v>
      </c>
      <c r="C1" s="59" t="s">
        <v>86</v>
      </c>
    </row>
    <row r="2" customFormat="false" ht="15.75" hidden="false" customHeight="false" outlineLevel="0" collapsed="false">
      <c r="A2" s="61" t="s">
        <v>0</v>
      </c>
      <c r="B2" s="62" t="n">
        <v>3</v>
      </c>
      <c r="C2" s="61" t="s">
        <v>91</v>
      </c>
    </row>
    <row r="3" customFormat="false" ht="15.75" hidden="false" customHeight="false" outlineLevel="0" collapsed="false">
      <c r="A3" s="61" t="s">
        <v>2</v>
      </c>
      <c r="B3" s="62" t="n">
        <v>2</v>
      </c>
      <c r="C3" s="61" t="s">
        <v>92</v>
      </c>
    </row>
    <row r="4" customFormat="false" ht="15.75" hidden="false" customHeight="false" outlineLevel="0" collapsed="false">
      <c r="A4" s="61" t="s">
        <v>93</v>
      </c>
      <c r="B4" s="62" t="n">
        <v>10</v>
      </c>
      <c r="C4" s="61" t="s">
        <v>94</v>
      </c>
    </row>
    <row r="5" customFormat="false" ht="15.75" hidden="false" customHeight="false" outlineLevel="0" collapsed="false">
      <c r="A5" s="61" t="s">
        <v>95</v>
      </c>
      <c r="B5" s="62" t="n">
        <v>4</v>
      </c>
      <c r="C5" s="61" t="s">
        <v>96</v>
      </c>
    </row>
    <row r="6" customFormat="false" ht="15.75" hidden="false" customHeight="false" outlineLevel="0" collapsed="false">
      <c r="A6" s="61" t="s">
        <v>5</v>
      </c>
      <c r="B6" s="62" t="n">
        <v>6</v>
      </c>
      <c r="C6" s="61" t="s">
        <v>97</v>
      </c>
    </row>
    <row r="7" customFormat="false" ht="15.75" hidden="false" customHeight="false" outlineLevel="0" collapsed="false">
      <c r="A7" s="61" t="s">
        <v>6</v>
      </c>
      <c r="B7" s="62" t="n">
        <v>2</v>
      </c>
      <c r="C7" s="61" t="s">
        <v>98</v>
      </c>
    </row>
    <row r="8" customFormat="false" ht="15.75" hidden="false" customHeight="false" outlineLevel="0" collapsed="false">
      <c r="A8" s="61" t="s">
        <v>7</v>
      </c>
      <c r="B8" s="62" t="n">
        <v>9</v>
      </c>
      <c r="C8" s="61" t="s">
        <v>99</v>
      </c>
    </row>
    <row r="9" customFormat="false" ht="15.75" hidden="false" customHeight="false" outlineLevel="0" collapsed="false">
      <c r="A9" s="61" t="s">
        <v>8</v>
      </c>
      <c r="B9" s="62" t="n">
        <v>8</v>
      </c>
      <c r="C9" s="61" t="s">
        <v>100</v>
      </c>
    </row>
    <row r="10" customFormat="false" ht="15.75" hidden="false" customHeight="false" outlineLevel="0" collapsed="false">
      <c r="A10" s="61" t="s">
        <v>9</v>
      </c>
      <c r="B10" s="62" t="n">
        <v>2</v>
      </c>
      <c r="C10" s="61" t="s">
        <v>101</v>
      </c>
    </row>
    <row r="11" customFormat="false" ht="15.75" hidden="false" customHeight="false" outlineLevel="0" collapsed="false">
      <c r="A11" s="61" t="s">
        <v>10</v>
      </c>
      <c r="B11" s="62" t="n">
        <v>5</v>
      </c>
      <c r="C11" s="61" t="s">
        <v>102</v>
      </c>
    </row>
    <row r="12" customFormat="false" ht="15.75" hidden="false" customHeight="false" outlineLevel="0" collapsed="false">
      <c r="A12" s="61" t="s">
        <v>11</v>
      </c>
      <c r="B12" s="62" t="n">
        <v>2</v>
      </c>
      <c r="C12" s="61" t="s">
        <v>103</v>
      </c>
    </row>
    <row r="13" customFormat="false" ht="15.75" hidden="false" customHeight="false" outlineLevel="0" collapsed="false">
      <c r="A13" s="63" t="s">
        <v>104</v>
      </c>
      <c r="B13" s="64" t="n">
        <v>1</v>
      </c>
      <c r="C13" s="63" t="s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2026-08-10T18:13:39Z</dcterms:created>
  <dc:creator>Alan Landry</dc:creator>
  <dc:description/>
  <dc:language>en-US</dc:language>
  <cp:lastModifiedBy>Alan Landry</cp:lastModifiedBy>
  <dcterms:modified xsi:type="dcterms:W3CDTF">2026-08-24T16:53:13Z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