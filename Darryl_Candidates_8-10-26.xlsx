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lan/GitHub/Stock_Picker/"/>
    </mc:Choice>
  </mc:AlternateContent>
  <xr:revisionPtr revIDLastSave="0" documentId="13_ncr:1_{42CCF5CB-003B-0A45-8051-698E39A9F669}" xr6:coauthVersionLast="47" xr6:coauthVersionMax="47" xr10:uidLastSave="{00000000-0000-0000-0000-000000000000}"/>
  <bookViews>
    <workbookView xWindow="0" yWindow="0" windowWidth="25600" windowHeight="16000" tabRatio="500" xr2:uid="{00000000-000D-0000-FFFF-FFFF00000000}"/>
  </bookViews>
  <sheets>
    <sheet name="8-10-26 Screen_Candidates (4)" sheetId="1" r:id="rId1"/>
    <sheet name="8-10-26 Screen_Candidates (3)" sheetId="2" state="hidden" r:id="rId2"/>
    <sheet name="8-10-26 Screen_Candidates (2)" sheetId="3" state="hidden" r:id="rId3"/>
    <sheet name="8-10-26 Screen_Candidate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2" i="2" l="1"/>
  <c r="W21" i="1"/>
  <c r="W20" i="1"/>
  <c r="V17" i="1"/>
  <c r="U16" i="1"/>
  <c r="W2" i="1" s="1"/>
  <c r="X2" i="1" s="1"/>
  <c r="T17" i="1"/>
  <c r="S16" i="1"/>
  <c r="R17" i="1"/>
  <c r="Q16" i="1"/>
  <c r="P17" i="1"/>
  <c r="O16" i="1"/>
  <c r="N17" i="1"/>
  <c r="M16" i="1"/>
  <c r="L17" i="1"/>
  <c r="K16" i="1"/>
  <c r="J17" i="1"/>
  <c r="I16" i="1"/>
  <c r="H17" i="1"/>
  <c r="G16" i="1"/>
  <c r="F17" i="1"/>
  <c r="E16" i="1"/>
  <c r="D17" i="1"/>
  <c r="C16" i="1"/>
  <c r="B17" i="1"/>
  <c r="A16" i="1"/>
  <c r="X20" i="1" l="1"/>
  <c r="X21" i="1"/>
  <c r="W22" i="1"/>
  <c r="X22" i="1" s="1"/>
  <c r="T18" i="1"/>
  <c r="F18" i="1"/>
  <c r="H18" i="1"/>
  <c r="N18" i="1"/>
  <c r="V18" i="1"/>
  <c r="P18" i="1"/>
  <c r="L18" i="1"/>
  <c r="B18" i="1"/>
  <c r="D18" i="1"/>
  <c r="J18" i="1"/>
  <c r="R18" i="1"/>
  <c r="W17" i="1"/>
  <c r="X17" i="1" s="1"/>
</calcChain>
</file>

<file path=xl/sharedStrings.xml><?xml version="1.0" encoding="utf-8"?>
<sst xmlns="http://schemas.openxmlformats.org/spreadsheetml/2006/main" count="305" uniqueCount="106">
  <si>
    <t>Basic Materials</t>
  </si>
  <si>
    <t>Tier 1
Rank</t>
  </si>
  <si>
    <t>Communication Services</t>
  </si>
  <si>
    <t>Consumer Cyclical/ Discretionary</t>
  </si>
  <si>
    <t>Consumer Defensive/ Staples</t>
  </si>
  <si>
    <t>Energy</t>
  </si>
  <si>
    <t>Financial Services</t>
  </si>
  <si>
    <t>Healthcare</t>
  </si>
  <si>
    <t>Industrials</t>
  </si>
  <si>
    <t>Real Estate</t>
  </si>
  <si>
    <t>Technology</t>
  </si>
  <si>
    <t>Utilities</t>
  </si>
  <si>
    <t>Total</t>
  </si>
  <si>
    <t>CE</t>
  </si>
  <si>
    <t>Avoid</t>
  </si>
  <si>
    <t>DIS</t>
  </si>
  <si>
    <t>Restaurants/QSR</t>
  </si>
  <si>
    <t>DEO</t>
  </si>
  <si>
    <t>CRK</t>
  </si>
  <si>
    <t>PYPL</t>
  </si>
  <si>
    <t>ABT</t>
  </si>
  <si>
    <t>BE</t>
  </si>
  <si>
    <t>CCI</t>
  </si>
  <si>
    <t>ACN</t>
  </si>
  <si>
    <t>NRG</t>
  </si>
  <si>
    <t>CLF</t>
  </si>
  <si>
    <t>NFLX</t>
  </si>
  <si>
    <t>CMG</t>
  </si>
  <si>
    <t>PASS</t>
  </si>
  <si>
    <t>EL</t>
  </si>
  <si>
    <t>ET</t>
  </si>
  <si>
    <t>V</t>
  </si>
  <si>
    <t>AZN</t>
  </si>
  <si>
    <t>GXO</t>
  </si>
  <si>
    <t>COLD</t>
  </si>
  <si>
    <t>CBRS</t>
  </si>
  <si>
    <t>VST</t>
  </si>
  <si>
    <t>LIN</t>
  </si>
  <si>
    <t>SPOT</t>
  </si>
  <si>
    <t xml:space="preserve"> DPZ</t>
  </si>
  <si>
    <t>HRL</t>
  </si>
  <si>
    <t>LBRT</t>
  </si>
  <si>
    <t>BAX</t>
  </si>
  <si>
    <t>MIR</t>
  </si>
  <si>
    <t>INTU</t>
  </si>
  <si>
    <t xml:space="preserve"> PZZA</t>
  </si>
  <si>
    <t>PG</t>
  </si>
  <si>
    <t>NOV</t>
  </si>
  <si>
    <t>BSX</t>
  </si>
  <si>
    <t>QXO</t>
  </si>
  <si>
    <t>NOW</t>
  </si>
  <si>
    <t xml:space="preserve"> YUM</t>
  </si>
  <si>
    <t>OKE</t>
  </si>
  <si>
    <t>ICLR</t>
  </si>
  <si>
    <t>SMR</t>
  </si>
  <si>
    <t>UBER</t>
  </si>
  <si>
    <t>Apparel</t>
  </si>
  <si>
    <t>SLB</t>
  </si>
  <si>
    <t>NTRA</t>
  </si>
  <si>
    <t>SUNB</t>
  </si>
  <si>
    <t>NKE</t>
  </si>
  <si>
    <t>PFE</t>
  </si>
  <si>
    <t>SWK</t>
  </si>
  <si>
    <t xml:space="preserve"> VFC</t>
  </si>
  <si>
    <t>Avoid*</t>
  </si>
  <si>
    <t>UNH</t>
  </si>
  <si>
    <t>UPS</t>
  </si>
  <si>
    <t xml:space="preserve"> GOOS</t>
  </si>
  <si>
    <t>VEEV</t>
  </si>
  <si>
    <t>Divers. retail/e-commerce</t>
  </si>
  <si>
    <t>XRAY</t>
  </si>
  <si>
    <t>AAP</t>
  </si>
  <si>
    <t xml:space="preserve"> BABA</t>
  </si>
  <si>
    <t xml:space="preserve"> ETSY</t>
  </si>
  <si>
    <t>*Close-reconfirm next QTR</t>
  </si>
  <si>
    <t xml:space="preserve"> </t>
  </si>
  <si>
    <t>Total PASS</t>
  </si>
  <si>
    <t>Total AVOID</t>
  </si>
  <si>
    <t>TOTAL ANALYZED</t>
  </si>
  <si>
    <t>BABA</t>
  </si>
  <si>
    <t>DPZ</t>
  </si>
  <si>
    <t>ETSY</t>
  </si>
  <si>
    <t>GOOS</t>
  </si>
  <si>
    <t>PZZA</t>
  </si>
  <si>
    <t>VFC</t>
  </si>
  <si>
    <t>YUM</t>
  </si>
  <si>
    <t>Tickers</t>
  </si>
  <si>
    <t>Theme</t>
  </si>
  <si>
    <t>Diversified retail/e-commerce</t>
  </si>
  <si>
    <t>Sector</t>
  </si>
  <si>
    <t>Ticker Count</t>
  </si>
  <si>
    <t>CE, CLF, LIN</t>
  </si>
  <si>
    <t>DIS, NFLX, SPOT</t>
  </si>
  <si>
    <t>Consumer Cyclical/Discretionary</t>
  </si>
  <si>
    <t>AAP, BABA, CMG, DPZ, ETSY, GOOS, NKE, PZZA, VFC, YUM</t>
  </si>
  <si>
    <t>Consumer Defensive/Staples</t>
  </si>
  <si>
    <t>DEO, EL, HRL, PG</t>
  </si>
  <si>
    <t>CRK, ET, LBRT, NOV, OKE, SLB</t>
  </si>
  <si>
    <t>PYPL, V</t>
  </si>
  <si>
    <t>ABT, AZN, BAX, BSX, ICLR, NTRA, PFE, UNH, VEEV, XRAY</t>
  </si>
  <si>
    <t>BE, GXO, MIR, QXO, SMR, SUNB, SWK, UPS</t>
  </si>
  <si>
    <t>CCI, COLD</t>
  </si>
  <si>
    <t>ACN, CBRS, INTU, NOW, UBER</t>
  </si>
  <si>
    <t>NRG, VST</t>
  </si>
  <si>
    <t>Index/ETF</t>
  </si>
  <si>
    <t>IWM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</si>
</sst>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charset val="1"/>
    </font>
    <font>
      <sz val="12"/>
      <color theme="1"/>
      <name val="Arial Narrow"/>
      <family val="2"/>
      <charset val="1"/>
    </font>
    <font>
      <b/>
      <sz val="12"/>
      <color theme="1"/>
      <name val="Arial Narrow"/>
      <family val="2"/>
      <charset val="1"/>
    </font>
    <font>
      <b/>
      <sz val="11"/>
      <color theme="1"/>
      <name val="Arial Narrow"/>
      <family val="2"/>
      <charset val="1"/>
    </font>
    <font>
      <sz val="11"/>
      <color theme="1"/>
      <name val="Arial Narrow"/>
      <family val="2"/>
      <charset val="1"/>
    </font>
    <font>
      <sz val="11"/>
      <color rgb="FF0432FF"/>
      <name val="Arial Narrow"/>
      <family val="2"/>
      <charset val="1"/>
    </font>
    <font>
      <sz val="12"/>
      <color rgb="FF0432FF"/>
      <name val="Arial Narrow"/>
      <family val="2"/>
      <charset val="1"/>
    </font>
    <font>
      <b/>
      <sz val="12"/>
      <color rgb="FF0432FF"/>
      <name val="Arial Narrow"/>
      <family val="2"/>
      <charset val="1"/>
    </font>
    <font>
      <b/>
      <sz val="12"/>
      <color theme="1"/>
      <name val="Aptos Narrow"/>
      <family val="2"/>
      <charset val="1"/>
    </font>
    <font>
      <b/>
      <sz val="11"/>
      <color rgb="FFFFFFFF"/>
      <name val="Aptos"/>
    </font>
    <font>
      <sz val="11"/>
      <color theme="1"/>
      <name val="Aptos"/>
    </font>
    <font>
      <sz val="12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7" tint="0.79989013336588644"/>
        <bgColor rgb="FFC1E5F5"/>
      </patternFill>
    </fill>
    <fill>
      <patternFill patternType="solid">
        <fgColor theme="0"/>
        <bgColor rgb="FFFFFFCC"/>
      </patternFill>
    </fill>
    <fill>
      <patternFill patternType="solid">
        <fgColor theme="9" tint="0.79989013336588644"/>
        <bgColor rgb="FFCAEEFB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theme="4" tint="0.79989013336588644"/>
        <bgColor rgb="FFCAEEFB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88402966399123"/>
      </left>
      <right/>
      <top style="thin">
        <color theme="4" tint="0.39988402966399123"/>
      </top>
      <bottom style="thin">
        <color theme="4" tint="0.39988402966399123"/>
      </bottom>
      <diagonal/>
    </border>
    <border>
      <left/>
      <right/>
      <top style="thin">
        <color theme="4" tint="0.39988402966399123"/>
      </top>
      <bottom style="thin">
        <color theme="4" tint="0.39988402966399123"/>
      </bottom>
      <diagonal/>
    </border>
    <border>
      <left/>
      <right style="thin">
        <color theme="4" tint="0.39988402966399123"/>
      </right>
      <top style="thin">
        <color theme="4" tint="0.39988402966399123"/>
      </top>
      <bottom style="thin">
        <color theme="4" tint="0.39988402966399123"/>
      </bottom>
      <diagonal/>
    </border>
  </borders>
  <cellStyleXfs count="2">
    <xf numFmtId="0" fontId="0" fillId="0" borderId="0"/>
    <xf numFmtId="9" fontId="11" fillId="0" borderId="0"/>
  </cellStyleXfs>
  <cellXfs count="72">
    <xf numFmtId="0" fontId="0" fillId="0" borderId="0" xfId="0"/>
    <xf numFmtId="0" fontId="3" fillId="3" borderId="2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9" fontId="1" fillId="0" borderId="4" xfId="1" applyFont="1" applyBorder="1" applyAlignment="1">
      <alignment horizontal="left" wrapText="1"/>
    </xf>
    <xf numFmtId="0" fontId="4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7" fillId="4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6" fillId="3" borderId="17" xfId="0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/>
    </xf>
    <xf numFmtId="0" fontId="7" fillId="4" borderId="16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/>
    <xf numFmtId="9" fontId="7" fillId="0" borderId="0" xfId="1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" fontId="2" fillId="0" borderId="18" xfId="0" applyNumberFormat="1" applyFont="1" applyBorder="1" applyAlignment="1">
      <alignment horizontal="center" wrapText="1"/>
    </xf>
    <xf numFmtId="9" fontId="1" fillId="0" borderId="19" xfId="1" applyFont="1" applyBorder="1" applyAlignment="1">
      <alignment horizontal="left"/>
    </xf>
    <xf numFmtId="1" fontId="2" fillId="0" borderId="4" xfId="0" applyNumberFormat="1" applyFont="1" applyBorder="1" applyAlignment="1">
      <alignment horizontal="center" wrapText="1"/>
    </xf>
    <xf numFmtId="9" fontId="1" fillId="0" borderId="4" xfId="1" applyFont="1" applyBorder="1" applyAlignment="1">
      <alignment horizontal="left"/>
    </xf>
    <xf numFmtId="1" fontId="2" fillId="0" borderId="20" xfId="0" applyNumberFormat="1" applyFont="1" applyBorder="1" applyAlignment="1">
      <alignment horizontal="center"/>
    </xf>
    <xf numFmtId="9" fontId="1" fillId="0" borderId="21" xfId="1" applyFont="1" applyBorder="1" applyAlignment="1">
      <alignment horizontal="left"/>
    </xf>
    <xf numFmtId="0" fontId="3" fillId="2" borderId="22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1" fontId="4" fillId="2" borderId="15" xfId="0" applyNumberFormat="1" applyFont="1" applyFill="1" applyBorder="1" applyAlignment="1">
      <alignment horizontal="center" vertical="center" wrapText="1"/>
    </xf>
    <xf numFmtId="1" fontId="4" fillId="0" borderId="15" xfId="0" applyNumberFormat="1" applyFont="1" applyBorder="1" applyAlignment="1">
      <alignment horizontal="center" vertical="center" wrapText="1"/>
    </xf>
    <xf numFmtId="0" fontId="8" fillId="0" borderId="0" xfId="0" applyFont="1"/>
    <xf numFmtId="0" fontId="9" fillId="5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0" borderId="0" xfId="0" applyFont="1" applyAlignment="1">
      <alignment horizontal="left" vertical="center"/>
    </xf>
    <xf numFmtId="1" fontId="10" fillId="0" borderId="0" xfId="0" applyNumberFormat="1" applyFont="1" applyAlignment="1">
      <alignment horizontal="center" vertical="center"/>
    </xf>
    <xf numFmtId="0" fontId="10" fillId="6" borderId="0" xfId="0" applyFont="1" applyFill="1" applyAlignment="1">
      <alignment horizontal="left" vertical="center"/>
    </xf>
    <xf numFmtId="1" fontId="10" fillId="6" borderId="0" xfId="0" applyNumberFormat="1" applyFont="1" applyFill="1" applyAlignment="1">
      <alignment horizontal="center" vertical="center"/>
    </xf>
    <xf numFmtId="0" fontId="10" fillId="7" borderId="23" xfId="0" applyFont="1" applyFill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1" fontId="10" fillId="7" borderId="24" xfId="0" applyNumberFormat="1" applyFont="1" applyFill="1" applyBorder="1" applyAlignment="1">
      <alignment horizontal="center" vertical="center" wrapText="1"/>
    </xf>
    <xf numFmtId="1" fontId="10" fillId="0" borderId="24" xfId="0" applyNumberFormat="1" applyFont="1" applyBorder="1" applyAlignment="1">
      <alignment horizontal="center" vertical="center" wrapText="1"/>
    </xf>
    <xf numFmtId="0" fontId="10" fillId="7" borderId="25" xfId="0" applyFont="1" applyFill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right" vertical="center" indent="2"/>
    </xf>
    <xf numFmtId="0" fontId="2" fillId="2" borderId="13" xfId="0" applyFont="1" applyFill="1" applyBorder="1" applyAlignment="1">
      <alignment horizontal="right" vertical="center" indent="2"/>
    </xf>
    <xf numFmtId="0" fontId="2" fillId="2" borderId="14" xfId="0" applyFont="1" applyFill="1" applyBorder="1" applyAlignment="1">
      <alignment horizontal="righ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432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SectorTickerExtract33" displayName="SectorTickerExtract33" ref="A1:C13" totalsRowShown="0">
  <autoFilter ref="A1:C13" xr:uid="{00000000-0009-0000-0100-000002000000}"/>
  <tableColumns count="3">
    <tableColumn id="1" xr3:uid="{00000000-0010-0000-0000-000001000000}" name="Sector"/>
    <tableColumn id="2" xr3:uid="{00000000-0010-0000-0000-000002000000}" name="Ticker Count"/>
    <tableColumn id="3" xr3:uid="{00000000-0010-0000-0000-000003000000}" name="Ticker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SectorTickerExtract3" displayName="SectorTickerExtract3" ref="A1:C13" totalsRowShown="0">
  <autoFilter ref="A1:C13" xr:uid="{00000000-0009-0000-0100-000001000000}"/>
  <tableColumns count="3">
    <tableColumn id="1" xr3:uid="{00000000-0010-0000-0100-000001000000}" name="Sector"/>
    <tableColumn id="2" xr3:uid="{00000000-0010-0000-0100-000002000000}" name="Ticker Count"/>
    <tableColumn id="3" xr3:uid="{00000000-0010-0000-0100-000003000000}" name="Ticker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3"/>
  <sheetViews>
    <sheetView tabSelected="1" zoomScaleNormal="100" workbookViewId="0">
      <selection activeCell="N23" sqref="N23"/>
    </sheetView>
  </sheetViews>
  <sheetFormatPr baseColWidth="10" defaultColWidth="10.83203125" defaultRowHeight="16" x14ac:dyDescent="0.2"/>
  <cols>
    <col min="1" max="1" width="8.6640625" style="5" customWidth="1"/>
    <col min="2" max="2" width="6.33203125" style="5" customWidth="1"/>
    <col min="3" max="3" width="14.1640625" style="5" customWidth="1"/>
    <col min="4" max="4" width="6.33203125" style="5" customWidth="1"/>
    <col min="5" max="5" width="14" style="5" customWidth="1"/>
    <col min="6" max="6" width="6.33203125" style="5" customWidth="1"/>
    <col min="7" max="7" width="10.83203125" style="5"/>
    <col min="8" max="8" width="6.33203125" style="5" customWidth="1"/>
    <col min="9" max="9" width="6.5" style="5" customWidth="1"/>
    <col min="10" max="10" width="6.33203125" style="5" customWidth="1"/>
    <col min="11" max="11" width="8.6640625" style="5" customWidth="1"/>
    <col min="12" max="12" width="6.33203125" style="5" customWidth="1"/>
    <col min="13" max="13" width="10.33203125" style="5" customWidth="1"/>
    <col min="14" max="14" width="6.33203125" style="5" customWidth="1"/>
    <col min="15" max="15" width="9.6640625" style="5" customWidth="1"/>
    <col min="16" max="16" width="6.33203125" style="5" customWidth="1"/>
    <col min="17" max="17" width="8" style="5" customWidth="1"/>
    <col min="18" max="18" width="6.33203125" style="5" customWidth="1"/>
    <col min="19" max="19" width="10.1640625" style="5" customWidth="1"/>
    <col min="20" max="20" width="6.33203125" style="5" customWidth="1"/>
    <col min="21" max="21" width="7.5" style="5" customWidth="1"/>
    <col min="22" max="22" width="6.33203125" style="5" customWidth="1"/>
    <col min="23" max="23" width="5" style="6" customWidth="1"/>
    <col min="24" max="24" width="5.1640625" style="7" customWidth="1"/>
    <col min="25" max="16384" width="10.83203125" style="7"/>
  </cols>
  <sheetData>
    <row r="1" spans="1:24" s="9" customFormat="1" ht="16.5" customHeight="1" thickBot="1" x14ac:dyDescent="0.25">
      <c r="A1" s="4" t="s">
        <v>0</v>
      </c>
      <c r="B1" s="3" t="s">
        <v>1</v>
      </c>
      <c r="C1" s="2" t="s">
        <v>2</v>
      </c>
      <c r="D1" s="1" t="s">
        <v>1</v>
      </c>
      <c r="E1" s="4" t="s">
        <v>3</v>
      </c>
      <c r="F1" s="3" t="s">
        <v>1</v>
      </c>
      <c r="G1" s="2" t="s">
        <v>4</v>
      </c>
      <c r="H1" s="1" t="s">
        <v>1</v>
      </c>
      <c r="I1" s="4" t="s">
        <v>5</v>
      </c>
      <c r="J1" s="3" t="s">
        <v>1</v>
      </c>
      <c r="K1" s="2" t="s">
        <v>6</v>
      </c>
      <c r="L1" s="1" t="s">
        <v>1</v>
      </c>
      <c r="M1" s="4" t="s">
        <v>7</v>
      </c>
      <c r="N1" s="3" t="s">
        <v>1</v>
      </c>
      <c r="O1" s="2" t="s">
        <v>8</v>
      </c>
      <c r="P1" s="1" t="s">
        <v>1</v>
      </c>
      <c r="Q1" s="4" t="s">
        <v>9</v>
      </c>
      <c r="R1" s="3" t="s">
        <v>1</v>
      </c>
      <c r="S1" s="2" t="s">
        <v>10</v>
      </c>
      <c r="T1" s="1" t="s">
        <v>1</v>
      </c>
      <c r="U1" s="4" t="s">
        <v>11</v>
      </c>
      <c r="V1" s="3" t="s">
        <v>1</v>
      </c>
      <c r="W1" s="8" t="s">
        <v>12</v>
      </c>
    </row>
    <row r="2" spans="1:24" s="9" customFormat="1" ht="27.75" customHeight="1" thickBot="1" x14ac:dyDescent="0.25">
      <c r="A2" s="4"/>
      <c r="B2" s="3"/>
      <c r="C2" s="2"/>
      <c r="D2" s="1"/>
      <c r="E2" s="4"/>
      <c r="F2" s="3"/>
      <c r="G2" s="2"/>
      <c r="H2" s="1"/>
      <c r="I2" s="4"/>
      <c r="J2" s="3"/>
      <c r="K2" s="2"/>
      <c r="L2" s="1"/>
      <c r="M2" s="4"/>
      <c r="N2" s="3"/>
      <c r="O2" s="2"/>
      <c r="P2" s="1"/>
      <c r="Q2" s="4"/>
      <c r="R2" s="3"/>
      <c r="S2" s="2"/>
      <c r="T2" s="1"/>
      <c r="U2" s="4"/>
      <c r="V2" s="3"/>
      <c r="W2" s="36">
        <f>SUM(A16,C16,E16,G16,I16,K16,M16,O16,Q16,S16,U16)</f>
        <v>55</v>
      </c>
      <c r="X2" s="10">
        <f>W2/W2</f>
        <v>1</v>
      </c>
    </row>
    <row r="3" spans="1:24" s="9" customFormat="1" ht="17" x14ac:dyDescent="0.2">
      <c r="A3" s="66" t="s">
        <v>13</v>
      </c>
      <c r="B3" s="67" t="s">
        <v>14</v>
      </c>
      <c r="C3" s="65" t="s">
        <v>15</v>
      </c>
      <c r="D3" s="68"/>
      <c r="E3" s="15"/>
      <c r="F3" s="69" t="s">
        <v>16</v>
      </c>
      <c r="G3" s="65" t="s">
        <v>17</v>
      </c>
      <c r="H3" s="68" t="s">
        <v>14</v>
      </c>
      <c r="I3" s="66" t="s">
        <v>18</v>
      </c>
      <c r="J3" s="67" t="s">
        <v>14</v>
      </c>
      <c r="K3" s="65" t="s">
        <v>19</v>
      </c>
      <c r="L3" s="68"/>
      <c r="M3" s="66" t="s">
        <v>20</v>
      </c>
      <c r="N3" s="67"/>
      <c r="O3" s="65" t="s">
        <v>21</v>
      </c>
      <c r="P3" s="68"/>
      <c r="Q3" s="66" t="s">
        <v>22</v>
      </c>
      <c r="R3" s="67"/>
      <c r="S3" s="65" t="s">
        <v>23</v>
      </c>
      <c r="T3" s="68"/>
      <c r="U3" s="66" t="s">
        <v>24</v>
      </c>
      <c r="V3" s="67" t="s">
        <v>14</v>
      </c>
      <c r="W3" s="16"/>
    </row>
    <row r="4" spans="1:24" ht="17" x14ac:dyDescent="0.2">
      <c r="A4" s="17" t="s">
        <v>25</v>
      </c>
      <c r="B4" s="18" t="s">
        <v>14</v>
      </c>
      <c r="C4" s="19" t="s">
        <v>26</v>
      </c>
      <c r="D4" s="20"/>
      <c r="E4" s="21" t="s">
        <v>27</v>
      </c>
      <c r="F4" s="22" t="s">
        <v>28</v>
      </c>
      <c r="G4" s="19" t="s">
        <v>29</v>
      </c>
      <c r="H4" s="68" t="s">
        <v>14</v>
      </c>
      <c r="I4" s="21" t="s">
        <v>30</v>
      </c>
      <c r="J4" s="22" t="s">
        <v>28</v>
      </c>
      <c r="K4" s="21" t="s">
        <v>31</v>
      </c>
      <c r="L4" s="23" t="s">
        <v>28</v>
      </c>
      <c r="M4" s="17" t="s">
        <v>32</v>
      </c>
      <c r="N4" s="18"/>
      <c r="O4" s="19" t="s">
        <v>33</v>
      </c>
      <c r="P4" s="20"/>
      <c r="Q4" s="17" t="s">
        <v>34</v>
      </c>
      <c r="R4" s="18"/>
      <c r="S4" s="19" t="s">
        <v>35</v>
      </c>
      <c r="T4" s="20"/>
      <c r="U4" s="21" t="s">
        <v>36</v>
      </c>
      <c r="V4" s="23" t="s">
        <v>28</v>
      </c>
    </row>
    <row r="5" spans="1:24" ht="17" x14ac:dyDescent="0.2">
      <c r="A5" s="21" t="s">
        <v>37</v>
      </c>
      <c r="B5" s="22" t="s">
        <v>28</v>
      </c>
      <c r="C5" s="19" t="s">
        <v>38</v>
      </c>
      <c r="D5" s="20"/>
      <c r="E5" s="21" t="s">
        <v>39</v>
      </c>
      <c r="F5" s="22" t="s">
        <v>28</v>
      </c>
      <c r="G5" s="19" t="s">
        <v>40</v>
      </c>
      <c r="H5" s="68" t="s">
        <v>14</v>
      </c>
      <c r="I5" s="17" t="s">
        <v>41</v>
      </c>
      <c r="J5" s="18" t="s">
        <v>14</v>
      </c>
      <c r="K5" s="19"/>
      <c r="L5" s="20"/>
      <c r="M5" s="17" t="s">
        <v>42</v>
      </c>
      <c r="N5" s="18"/>
      <c r="O5" s="19" t="s">
        <v>43</v>
      </c>
      <c r="P5" s="20"/>
      <c r="Q5" s="17"/>
      <c r="R5" s="18"/>
      <c r="S5" s="19" t="s">
        <v>44</v>
      </c>
      <c r="T5" s="20"/>
      <c r="U5" s="17"/>
      <c r="V5" s="18"/>
    </row>
    <row r="6" spans="1:24" x14ac:dyDescent="0.2">
      <c r="A6" s="17"/>
      <c r="B6" s="18"/>
      <c r="C6" s="19"/>
      <c r="D6" s="20"/>
      <c r="E6" s="17" t="s">
        <v>45</v>
      </c>
      <c r="F6" s="18" t="s">
        <v>14</v>
      </c>
      <c r="G6" s="21" t="s">
        <v>46</v>
      </c>
      <c r="H6" s="23" t="s">
        <v>28</v>
      </c>
      <c r="I6" s="17" t="s">
        <v>47</v>
      </c>
      <c r="J6" s="18" t="s">
        <v>14</v>
      </c>
      <c r="K6" s="19"/>
      <c r="L6" s="20"/>
      <c r="M6" s="17" t="s">
        <v>48</v>
      </c>
      <c r="N6" s="18"/>
      <c r="O6" s="19" t="s">
        <v>49</v>
      </c>
      <c r="P6" s="20"/>
      <c r="Q6" s="17"/>
      <c r="R6" s="18"/>
      <c r="S6" s="21" t="s">
        <v>50</v>
      </c>
      <c r="T6" s="23" t="s">
        <v>28</v>
      </c>
      <c r="U6" s="17"/>
      <c r="V6" s="18"/>
    </row>
    <row r="7" spans="1:24" x14ac:dyDescent="0.2">
      <c r="A7" s="17"/>
      <c r="B7" s="18"/>
      <c r="C7" s="19"/>
      <c r="D7" s="20"/>
      <c r="E7" s="24" t="s">
        <v>51</v>
      </c>
      <c r="F7" s="25" t="s">
        <v>28</v>
      </c>
      <c r="G7" s="19"/>
      <c r="H7" s="20"/>
      <c r="I7" s="17" t="s">
        <v>52</v>
      </c>
      <c r="J7" s="18"/>
      <c r="K7" s="19"/>
      <c r="L7" s="20"/>
      <c r="M7" s="17" t="s">
        <v>53</v>
      </c>
      <c r="N7" s="18"/>
      <c r="O7" s="19" t="s">
        <v>54</v>
      </c>
      <c r="P7" s="20"/>
      <c r="Q7" s="17"/>
      <c r="R7" s="18"/>
      <c r="S7" s="19" t="s">
        <v>55</v>
      </c>
      <c r="T7" s="20"/>
      <c r="U7" s="17"/>
      <c r="V7" s="18"/>
    </row>
    <row r="8" spans="1:24" ht="16.5" customHeight="1" x14ac:dyDescent="0.2">
      <c r="A8" s="17"/>
      <c r="B8" s="18"/>
      <c r="C8" s="19"/>
      <c r="D8" s="20"/>
      <c r="E8" s="26"/>
      <c r="F8" s="70" t="s">
        <v>56</v>
      </c>
      <c r="G8" s="19"/>
      <c r="H8" s="20"/>
      <c r="I8" s="17" t="s">
        <v>57</v>
      </c>
      <c r="J8" s="18"/>
      <c r="K8" s="19"/>
      <c r="L8" s="20"/>
      <c r="M8" s="17" t="s">
        <v>58</v>
      </c>
      <c r="N8" s="18"/>
      <c r="O8" s="19" t="s">
        <v>59</v>
      </c>
      <c r="P8" s="20"/>
      <c r="Q8" s="17"/>
      <c r="R8" s="18"/>
      <c r="S8" s="19"/>
      <c r="T8" s="20"/>
      <c r="U8" s="17"/>
      <c r="V8" s="18"/>
    </row>
    <row r="9" spans="1:24" x14ac:dyDescent="0.2">
      <c r="A9" s="17"/>
      <c r="B9" s="18"/>
      <c r="C9" s="19"/>
      <c r="D9" s="20"/>
      <c r="E9" s="27" t="s">
        <v>60</v>
      </c>
      <c r="F9" s="28" t="s">
        <v>14</v>
      </c>
      <c r="G9" s="19"/>
      <c r="H9" s="20"/>
      <c r="I9" s="17"/>
      <c r="J9" s="18"/>
      <c r="K9" s="19"/>
      <c r="L9" s="20"/>
      <c r="M9" s="17" t="s">
        <v>61</v>
      </c>
      <c r="N9" s="18"/>
      <c r="O9" s="19" t="s">
        <v>62</v>
      </c>
      <c r="P9" s="20"/>
      <c r="Q9" s="17"/>
      <c r="R9" s="18"/>
      <c r="S9" s="19"/>
      <c r="T9" s="20"/>
      <c r="U9" s="17"/>
      <c r="V9" s="18"/>
    </row>
    <row r="10" spans="1:24" x14ac:dyDescent="0.2">
      <c r="A10" s="17"/>
      <c r="B10" s="18"/>
      <c r="C10" s="19"/>
      <c r="D10" s="20"/>
      <c r="E10" s="17" t="s">
        <v>63</v>
      </c>
      <c r="F10" s="28" t="s">
        <v>64</v>
      </c>
      <c r="G10" s="19"/>
      <c r="H10" s="20"/>
      <c r="I10" s="17"/>
      <c r="J10" s="18"/>
      <c r="K10" s="19"/>
      <c r="L10" s="20"/>
      <c r="M10" s="17" t="s">
        <v>65</v>
      </c>
      <c r="N10" s="18"/>
      <c r="O10" s="19" t="s">
        <v>66</v>
      </c>
      <c r="P10" s="20"/>
      <c r="Q10" s="17"/>
      <c r="R10" s="18"/>
      <c r="S10" s="19"/>
      <c r="T10" s="20"/>
      <c r="U10" s="17"/>
      <c r="V10" s="18"/>
    </row>
    <row r="11" spans="1:24" x14ac:dyDescent="0.2">
      <c r="A11" s="17"/>
      <c r="B11" s="18"/>
      <c r="C11" s="19"/>
      <c r="D11" s="20"/>
      <c r="E11" s="17" t="s">
        <v>67</v>
      </c>
      <c r="F11" s="28" t="s">
        <v>14</v>
      </c>
      <c r="G11" s="19"/>
      <c r="H11" s="20"/>
      <c r="I11" s="17"/>
      <c r="J11" s="18"/>
      <c r="K11" s="19"/>
      <c r="L11" s="20"/>
      <c r="M11" s="17" t="s">
        <v>68</v>
      </c>
      <c r="N11" s="18"/>
      <c r="O11" s="19"/>
      <c r="P11" s="20"/>
      <c r="Q11" s="17"/>
      <c r="R11" s="18"/>
      <c r="S11" s="19"/>
      <c r="T11" s="20"/>
      <c r="U11" s="17"/>
      <c r="V11" s="18"/>
    </row>
    <row r="12" spans="1:24" ht="16.5" customHeight="1" x14ac:dyDescent="0.2">
      <c r="A12" s="17"/>
      <c r="B12" s="18"/>
      <c r="C12" s="19"/>
      <c r="D12" s="20"/>
      <c r="E12" s="26"/>
      <c r="F12" s="71" t="s">
        <v>69</v>
      </c>
      <c r="G12" s="19"/>
      <c r="H12" s="20"/>
      <c r="I12" s="17"/>
      <c r="J12" s="18"/>
      <c r="K12" s="19"/>
      <c r="L12" s="20"/>
      <c r="M12" s="17" t="s">
        <v>70</v>
      </c>
      <c r="N12" s="18"/>
      <c r="O12" s="19"/>
      <c r="P12" s="20"/>
      <c r="Q12" s="17"/>
      <c r="R12" s="18"/>
      <c r="S12" s="19"/>
      <c r="T12" s="20"/>
      <c r="U12" s="17"/>
      <c r="V12" s="18"/>
    </row>
    <row r="13" spans="1:24" x14ac:dyDescent="0.2">
      <c r="A13" s="17"/>
      <c r="B13" s="18"/>
      <c r="C13" s="19"/>
      <c r="D13" s="20"/>
      <c r="E13" s="27" t="s">
        <v>71</v>
      </c>
      <c r="F13" s="28" t="s">
        <v>14</v>
      </c>
      <c r="G13" s="19"/>
      <c r="H13" s="20"/>
      <c r="I13" s="17"/>
      <c r="J13" s="18"/>
      <c r="K13" s="19"/>
      <c r="L13" s="20"/>
      <c r="M13" s="17"/>
      <c r="N13" s="18"/>
      <c r="O13" s="19"/>
      <c r="P13" s="20"/>
      <c r="Q13" s="17"/>
      <c r="R13" s="18"/>
      <c r="S13" s="19"/>
      <c r="T13" s="20"/>
      <c r="U13" s="17"/>
      <c r="V13" s="18"/>
    </row>
    <row r="14" spans="1:24" x14ac:dyDescent="0.2">
      <c r="A14" s="17"/>
      <c r="B14" s="18"/>
      <c r="C14" s="19"/>
      <c r="D14" s="20"/>
      <c r="E14" s="17" t="s">
        <v>72</v>
      </c>
      <c r="F14" s="18" t="s">
        <v>14</v>
      </c>
      <c r="G14" s="19"/>
      <c r="H14" s="20"/>
      <c r="I14" s="17"/>
      <c r="J14" s="18"/>
      <c r="K14" s="19"/>
      <c r="L14" s="20"/>
      <c r="M14" s="17"/>
      <c r="N14" s="18"/>
      <c r="O14" s="19"/>
      <c r="P14" s="20"/>
      <c r="Q14" s="17"/>
      <c r="R14" s="18"/>
      <c r="S14" s="19"/>
      <c r="T14" s="20"/>
      <c r="U14" s="17"/>
      <c r="V14" s="18"/>
    </row>
    <row r="15" spans="1:24" ht="16.5" customHeight="1" thickBot="1" x14ac:dyDescent="0.25">
      <c r="A15" s="29"/>
      <c r="B15" s="30"/>
      <c r="C15" s="31"/>
      <c r="D15" s="32"/>
      <c r="E15" s="33" t="s">
        <v>73</v>
      </c>
      <c r="F15" s="34" t="s">
        <v>28</v>
      </c>
      <c r="G15" s="31"/>
      <c r="H15" s="32"/>
      <c r="I15" s="29"/>
      <c r="J15" s="30"/>
      <c r="K15" s="31"/>
      <c r="L15" s="32"/>
      <c r="M15" s="29"/>
      <c r="N15" s="30"/>
      <c r="O15" s="31"/>
      <c r="P15" s="32"/>
      <c r="Q15" s="29"/>
      <c r="R15" s="30"/>
      <c r="S15" s="31"/>
      <c r="T15" s="32"/>
      <c r="U15" s="29"/>
      <c r="V15" s="30"/>
    </row>
    <row r="16" spans="1:24" s="37" customFormat="1" ht="16.5" customHeight="1" x14ac:dyDescent="0.2">
      <c r="A16" s="6">
        <f>COUNTA(A3:A15)</f>
        <v>3</v>
      </c>
      <c r="C16" s="6">
        <f>COUNTA(C3:C15)</f>
        <v>3</v>
      </c>
      <c r="E16" s="6">
        <f>COUNTA(E3:E15)</f>
        <v>10</v>
      </c>
      <c r="G16" s="6">
        <f>COUNTA(G3:G15)</f>
        <v>4</v>
      </c>
      <c r="I16" s="6">
        <f>COUNTA(I3:I15)</f>
        <v>6</v>
      </c>
      <c r="K16" s="6">
        <f>COUNTA(K3:K15)</f>
        <v>2</v>
      </c>
      <c r="M16" s="6">
        <f>COUNTA(M3:M15)</f>
        <v>10</v>
      </c>
      <c r="O16" s="6">
        <f>COUNTA(O3:O15)</f>
        <v>8</v>
      </c>
      <c r="Q16" s="6">
        <f>COUNTA(Q3:Q15)</f>
        <v>2</v>
      </c>
      <c r="S16" s="6">
        <f>COUNTA(S3:S15)</f>
        <v>5</v>
      </c>
      <c r="U16" s="6">
        <f>COUNTA(U3:U15)</f>
        <v>2</v>
      </c>
    </row>
    <row r="17" spans="1:24" ht="17" thickBot="1" x14ac:dyDescent="0.25">
      <c r="B17" s="35">
        <f>COUNTA(B3:B15)</f>
        <v>3</v>
      </c>
      <c r="D17" s="35">
        <f>COUNTA(D3:D15)</f>
        <v>0</v>
      </c>
      <c r="F17" s="35">
        <f>COUNTA(F4:F7,F9:F11,F13:F15)</f>
        <v>10</v>
      </c>
      <c r="G17" s="35"/>
      <c r="H17" s="35">
        <f>COUNTA(H3:H15)</f>
        <v>4</v>
      </c>
      <c r="I17" s="35"/>
      <c r="J17" s="35">
        <f>COUNTA(J3:J15)</f>
        <v>4</v>
      </c>
      <c r="K17" s="35"/>
      <c r="L17" s="35">
        <f>COUNTA(L3:L15)</f>
        <v>1</v>
      </c>
      <c r="M17" s="35"/>
      <c r="N17" s="35">
        <f>COUNTA(N3:N15)</f>
        <v>0</v>
      </c>
      <c r="O17" s="35"/>
      <c r="P17" s="35">
        <f>COUNTA(P3:P15)</f>
        <v>0</v>
      </c>
      <c r="Q17" s="35"/>
      <c r="R17" s="35">
        <f>COUNTA(R3:R15)</f>
        <v>0</v>
      </c>
      <c r="S17" s="35"/>
      <c r="T17" s="35">
        <f>COUNTA(T3:T15)</f>
        <v>1</v>
      </c>
      <c r="U17" s="35"/>
      <c r="V17" s="35">
        <f>COUNTA(V3:V15)</f>
        <v>2</v>
      </c>
      <c r="W17" s="36">
        <f>SUM(B17,D17,F17,H17,J17,L17,N17,P17,R17,T17,V17)</f>
        <v>25</v>
      </c>
      <c r="X17" s="10">
        <f>W17/W2</f>
        <v>0.45454545454545453</v>
      </c>
    </row>
    <row r="18" spans="1:24" x14ac:dyDescent="0.2">
      <c r="A18" s="35"/>
      <c r="B18" s="38">
        <f>B17/A16</f>
        <v>1</v>
      </c>
      <c r="C18" s="35"/>
      <c r="D18" s="38">
        <f>D17/C16</f>
        <v>0</v>
      </c>
      <c r="E18" s="35"/>
      <c r="F18" s="38">
        <f>F17/E16</f>
        <v>1</v>
      </c>
      <c r="H18" s="38">
        <f>H17/G16</f>
        <v>1</v>
      </c>
      <c r="J18" s="38">
        <f>J17/I16</f>
        <v>0.66666666666666663</v>
      </c>
      <c r="L18" s="38">
        <f>L17/K16</f>
        <v>0.5</v>
      </c>
      <c r="N18" s="38">
        <f>N17/M16</f>
        <v>0</v>
      </c>
      <c r="P18" s="38">
        <f>P17/O16</f>
        <v>0</v>
      </c>
      <c r="R18" s="38">
        <f>R17/Q16</f>
        <v>0</v>
      </c>
      <c r="T18" s="38">
        <f>T17/S16</f>
        <v>0.2</v>
      </c>
      <c r="V18" s="38">
        <f>V17/U16</f>
        <v>1</v>
      </c>
    </row>
    <row r="19" spans="1:24" x14ac:dyDescent="0.2">
      <c r="E19" s="39" t="s">
        <v>74</v>
      </c>
    </row>
    <row r="20" spans="1:24" ht="16.5" customHeight="1" x14ac:dyDescent="0.2">
      <c r="E20" s="5" t="s">
        <v>75</v>
      </c>
      <c r="V20" s="40" t="s">
        <v>76</v>
      </c>
      <c r="W20" s="41">
        <f>COUNTIF($A$1:$V$15,"PASS")</f>
        <v>10</v>
      </c>
      <c r="X20" s="42">
        <f>W20/W2</f>
        <v>0.18181818181818182</v>
      </c>
    </row>
    <row r="21" spans="1:24" ht="16.5" customHeight="1" thickBot="1" x14ac:dyDescent="0.25">
      <c r="V21" s="40" t="s">
        <v>77</v>
      </c>
      <c r="W21" s="43">
        <f>COUNTIF($A$1:$V$15,"Avoid")</f>
        <v>14</v>
      </c>
      <c r="X21" s="44">
        <f>W21/W2</f>
        <v>0.25454545454545452</v>
      </c>
    </row>
    <row r="22" spans="1:24" ht="16.5" customHeight="1" thickBot="1" x14ac:dyDescent="0.25">
      <c r="V22" s="40" t="s">
        <v>78</v>
      </c>
      <c r="W22" s="45">
        <f>SUM(W20:W21)</f>
        <v>24</v>
      </c>
      <c r="X22" s="46">
        <f>W22/W2</f>
        <v>0.43636363636363634</v>
      </c>
    </row>
    <row r="23" spans="1:24" ht="17" thickTop="1" x14ac:dyDescent="0.2"/>
  </sheetData>
  <mergeCells count="22">
    <mergeCell ref="U1:U2"/>
    <mergeCell ref="V1:V2"/>
    <mergeCell ref="P1:P2"/>
    <mergeCell ref="Q1:Q2"/>
    <mergeCell ref="R1:R2"/>
    <mergeCell ref="S1:S2"/>
    <mergeCell ref="T1:T2"/>
    <mergeCell ref="K1:K2"/>
    <mergeCell ref="L1:L2"/>
    <mergeCell ref="M1:M2"/>
    <mergeCell ref="N1:N2"/>
    <mergeCell ref="O1:O2"/>
    <mergeCell ref="F1:F2"/>
    <mergeCell ref="G1:G2"/>
    <mergeCell ref="H1:H2"/>
    <mergeCell ref="I1:I2"/>
    <mergeCell ref="J1:J2"/>
    <mergeCell ref="A1:A2"/>
    <mergeCell ref="B1:B2"/>
    <mergeCell ref="C1:C2"/>
    <mergeCell ref="D1:D2"/>
    <mergeCell ref="E1:E2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7"/>
  <sheetViews>
    <sheetView topLeftCell="A6" zoomScaleNormal="100" workbookViewId="0">
      <selection activeCell="E15" sqref="E15"/>
    </sheetView>
  </sheetViews>
  <sheetFormatPr baseColWidth="10" defaultColWidth="10.83203125" defaultRowHeight="16" x14ac:dyDescent="0.2"/>
  <cols>
    <col min="1" max="1" width="8.6640625" style="5" customWidth="1"/>
    <col min="2" max="2" width="6.33203125" style="5" customWidth="1"/>
    <col min="3" max="3" width="14.1640625" style="5" customWidth="1"/>
    <col min="4" max="4" width="6.33203125" style="5" customWidth="1"/>
    <col min="5" max="5" width="14" style="5" customWidth="1"/>
    <col min="6" max="6" width="6.33203125" style="5" customWidth="1"/>
    <col min="7" max="7" width="10.83203125" style="5"/>
    <col min="8" max="8" width="6.33203125" style="5" customWidth="1"/>
    <col min="9" max="9" width="6.5" style="5" customWidth="1"/>
    <col min="10" max="10" width="6.33203125" style="5" customWidth="1"/>
    <col min="11" max="11" width="8.6640625" style="5" customWidth="1"/>
    <col min="12" max="12" width="6.33203125" style="5" customWidth="1"/>
    <col min="13" max="13" width="10.33203125" style="5" customWidth="1"/>
    <col min="14" max="14" width="6.33203125" style="5" customWidth="1"/>
    <col min="15" max="15" width="9.6640625" style="5" customWidth="1"/>
    <col min="16" max="16" width="6.33203125" style="5" customWidth="1"/>
    <col min="17" max="17" width="8" style="5" customWidth="1"/>
    <col min="18" max="18" width="6.33203125" style="5" customWidth="1"/>
    <col min="19" max="19" width="10.1640625" style="5" customWidth="1"/>
    <col min="20" max="20" width="6.33203125" style="5" customWidth="1"/>
    <col min="21" max="21" width="7.5" style="5" customWidth="1"/>
    <col min="22" max="22" width="6.33203125" style="5" customWidth="1"/>
    <col min="23" max="23" width="5" style="37" customWidth="1"/>
    <col min="24" max="16384" width="10.83203125" style="7"/>
  </cols>
  <sheetData>
    <row r="1" spans="1:23" s="9" customFormat="1" ht="45" customHeight="1" x14ac:dyDescent="0.2">
      <c r="A1" s="47" t="s">
        <v>0</v>
      </c>
      <c r="B1" s="3" t="s">
        <v>1</v>
      </c>
      <c r="C1" s="48" t="s">
        <v>2</v>
      </c>
      <c r="D1" s="1" t="s">
        <v>1</v>
      </c>
      <c r="E1" s="47" t="s">
        <v>3</v>
      </c>
      <c r="F1" s="3" t="s">
        <v>1</v>
      </c>
      <c r="G1" s="48" t="s">
        <v>4</v>
      </c>
      <c r="H1" s="1" t="s">
        <v>1</v>
      </c>
      <c r="I1" s="47" t="s">
        <v>5</v>
      </c>
      <c r="J1" s="3" t="s">
        <v>1</v>
      </c>
      <c r="K1" s="48" t="s">
        <v>6</v>
      </c>
      <c r="L1" s="1" t="s">
        <v>1</v>
      </c>
      <c r="M1" s="47" t="s">
        <v>7</v>
      </c>
      <c r="N1" s="3" t="s">
        <v>1</v>
      </c>
      <c r="O1" s="48" t="s">
        <v>8</v>
      </c>
      <c r="P1" s="1" t="s">
        <v>1</v>
      </c>
      <c r="Q1" s="47" t="s">
        <v>9</v>
      </c>
      <c r="R1" s="3" t="s">
        <v>1</v>
      </c>
      <c r="S1" s="48" t="s">
        <v>10</v>
      </c>
      <c r="T1" s="1" t="s">
        <v>1</v>
      </c>
      <c r="U1" s="47" t="s">
        <v>11</v>
      </c>
      <c r="V1" s="3" t="s">
        <v>1</v>
      </c>
      <c r="W1" s="16" t="s">
        <v>12</v>
      </c>
    </row>
    <row r="2" spans="1:23" s="9" customFormat="1" ht="16.5" customHeight="1" x14ac:dyDescent="0.2">
      <c r="A2" s="49">
        <v>3</v>
      </c>
      <c r="B2" s="3"/>
      <c r="C2" s="50">
        <v>3</v>
      </c>
      <c r="D2" s="1"/>
      <c r="E2" s="49">
        <v>10</v>
      </c>
      <c r="F2" s="3"/>
      <c r="G2" s="50">
        <v>4</v>
      </c>
      <c r="H2" s="1"/>
      <c r="I2" s="49">
        <v>6</v>
      </c>
      <c r="J2" s="3"/>
      <c r="K2" s="50">
        <v>2</v>
      </c>
      <c r="L2" s="1"/>
      <c r="M2" s="49">
        <v>10</v>
      </c>
      <c r="N2" s="3"/>
      <c r="O2" s="50">
        <v>8</v>
      </c>
      <c r="P2" s="1"/>
      <c r="Q2" s="49">
        <v>2</v>
      </c>
      <c r="R2" s="3"/>
      <c r="S2" s="50">
        <v>5</v>
      </c>
      <c r="T2" s="1"/>
      <c r="U2" s="49">
        <v>2</v>
      </c>
      <c r="V2" s="3"/>
      <c r="W2" s="16">
        <f>SUM(A1:U2)</f>
        <v>55</v>
      </c>
    </row>
    <row r="3" spans="1:23" s="9" customFormat="1" x14ac:dyDescent="0.2">
      <c r="A3" s="11" t="s">
        <v>13</v>
      </c>
      <c r="B3" s="12" t="s">
        <v>14</v>
      </c>
      <c r="C3" s="13" t="s">
        <v>15</v>
      </c>
      <c r="D3" s="14"/>
      <c r="E3" s="11" t="s">
        <v>71</v>
      </c>
      <c r="F3" s="12"/>
      <c r="G3" s="13" t="s">
        <v>17</v>
      </c>
      <c r="H3" s="14" t="s">
        <v>14</v>
      </c>
      <c r="I3" s="11" t="s">
        <v>18</v>
      </c>
      <c r="J3" s="12" t="s">
        <v>14</v>
      </c>
      <c r="K3" s="13" t="s">
        <v>19</v>
      </c>
      <c r="L3" s="14"/>
      <c r="M3" s="11" t="s">
        <v>20</v>
      </c>
      <c r="N3" s="12"/>
      <c r="O3" s="13" t="s">
        <v>21</v>
      </c>
      <c r="P3" s="14"/>
      <c r="Q3" s="11" t="s">
        <v>22</v>
      </c>
      <c r="R3" s="12"/>
      <c r="S3" s="13" t="s">
        <v>23</v>
      </c>
      <c r="T3" s="14"/>
      <c r="U3" s="11" t="s">
        <v>24</v>
      </c>
      <c r="V3" s="12" t="s">
        <v>14</v>
      </c>
      <c r="W3" s="16"/>
    </row>
    <row r="4" spans="1:23" x14ac:dyDescent="0.2">
      <c r="A4" s="17" t="s">
        <v>25</v>
      </c>
      <c r="B4" s="18" t="s">
        <v>14</v>
      </c>
      <c r="C4" s="19" t="s">
        <v>26</v>
      </c>
      <c r="D4" s="20"/>
      <c r="E4" s="17" t="s">
        <v>79</v>
      </c>
      <c r="F4" s="18"/>
      <c r="G4" s="19" t="s">
        <v>29</v>
      </c>
      <c r="H4" s="14" t="s">
        <v>14</v>
      </c>
      <c r="I4" s="17" t="s">
        <v>30</v>
      </c>
      <c r="J4" s="18" t="s">
        <v>28</v>
      </c>
      <c r="K4" s="19" t="s">
        <v>31</v>
      </c>
      <c r="L4" s="20"/>
      <c r="M4" s="17" t="s">
        <v>32</v>
      </c>
      <c r="N4" s="18"/>
      <c r="O4" s="19" t="s">
        <v>33</v>
      </c>
      <c r="P4" s="20"/>
      <c r="Q4" s="17" t="s">
        <v>34</v>
      </c>
      <c r="R4" s="18"/>
      <c r="S4" s="19" t="s">
        <v>35</v>
      </c>
      <c r="T4" s="20"/>
      <c r="U4" s="17" t="s">
        <v>36</v>
      </c>
      <c r="V4" s="18" t="s">
        <v>28</v>
      </c>
    </row>
    <row r="5" spans="1:23" x14ac:dyDescent="0.2">
      <c r="A5" s="17" t="s">
        <v>37</v>
      </c>
      <c r="B5" s="18" t="s">
        <v>28</v>
      </c>
      <c r="C5" s="19" t="s">
        <v>38</v>
      </c>
      <c r="D5" s="20"/>
      <c r="E5" s="17" t="s">
        <v>27</v>
      </c>
      <c r="F5" s="18"/>
      <c r="G5" s="19" t="s">
        <v>40</v>
      </c>
      <c r="H5" s="14" t="s">
        <v>14</v>
      </c>
      <c r="I5" s="17" t="s">
        <v>41</v>
      </c>
      <c r="J5" s="18" t="s">
        <v>14</v>
      </c>
      <c r="K5" s="19"/>
      <c r="L5" s="20"/>
      <c r="M5" s="17" t="s">
        <v>42</v>
      </c>
      <c r="N5" s="18"/>
      <c r="O5" s="19" t="s">
        <v>43</v>
      </c>
      <c r="P5" s="20"/>
      <c r="Q5" s="17"/>
      <c r="R5" s="18"/>
      <c r="S5" s="19" t="s">
        <v>44</v>
      </c>
      <c r="T5" s="20"/>
      <c r="U5" s="17"/>
      <c r="V5" s="18"/>
    </row>
    <row r="6" spans="1:23" x14ac:dyDescent="0.2">
      <c r="A6" s="17"/>
      <c r="B6" s="18"/>
      <c r="C6" s="19"/>
      <c r="D6" s="20"/>
      <c r="E6" s="17" t="s">
        <v>80</v>
      </c>
      <c r="F6" s="18"/>
      <c r="G6" s="19" t="s">
        <v>46</v>
      </c>
      <c r="H6" s="20" t="s">
        <v>28</v>
      </c>
      <c r="I6" s="17" t="s">
        <v>47</v>
      </c>
      <c r="J6" s="18" t="s">
        <v>14</v>
      </c>
      <c r="K6" s="19"/>
      <c r="L6" s="20"/>
      <c r="M6" s="17" t="s">
        <v>48</v>
      </c>
      <c r="N6" s="18"/>
      <c r="O6" s="19" t="s">
        <v>49</v>
      </c>
      <c r="P6" s="20"/>
      <c r="Q6" s="17"/>
      <c r="R6" s="18"/>
      <c r="S6" s="19" t="s">
        <v>50</v>
      </c>
      <c r="T6" s="20"/>
      <c r="U6" s="17"/>
      <c r="V6" s="18"/>
    </row>
    <row r="7" spans="1:23" x14ac:dyDescent="0.2">
      <c r="A7" s="17"/>
      <c r="B7" s="18"/>
      <c r="C7" s="19"/>
      <c r="D7" s="20"/>
      <c r="E7" s="17" t="s">
        <v>81</v>
      </c>
      <c r="F7" s="18"/>
      <c r="G7" s="19"/>
      <c r="H7" s="20"/>
      <c r="I7" s="17" t="s">
        <v>52</v>
      </c>
      <c r="J7" s="18"/>
      <c r="K7" s="19"/>
      <c r="L7" s="20"/>
      <c r="M7" s="17" t="s">
        <v>53</v>
      </c>
      <c r="N7" s="18"/>
      <c r="O7" s="19" t="s">
        <v>54</v>
      </c>
      <c r="P7" s="20"/>
      <c r="Q7" s="17"/>
      <c r="R7" s="18"/>
      <c r="S7" s="19" t="s">
        <v>55</v>
      </c>
      <c r="T7" s="20"/>
      <c r="U7" s="17"/>
      <c r="V7" s="18"/>
    </row>
    <row r="8" spans="1:23" x14ac:dyDescent="0.2">
      <c r="A8" s="17"/>
      <c r="B8" s="18"/>
      <c r="C8" s="19"/>
      <c r="D8" s="20"/>
      <c r="E8" s="17" t="s">
        <v>82</v>
      </c>
      <c r="F8" s="18"/>
      <c r="G8" s="19"/>
      <c r="H8" s="20"/>
      <c r="I8" s="17" t="s">
        <v>57</v>
      </c>
      <c r="J8" s="18"/>
      <c r="K8" s="19"/>
      <c r="L8" s="20"/>
      <c r="M8" s="17" t="s">
        <v>58</v>
      </c>
      <c r="N8" s="18"/>
      <c r="O8" s="19" t="s">
        <v>59</v>
      </c>
      <c r="P8" s="20"/>
      <c r="Q8" s="17"/>
      <c r="R8" s="18"/>
      <c r="S8" s="19"/>
      <c r="T8" s="20"/>
      <c r="U8" s="17"/>
      <c r="V8" s="18"/>
    </row>
    <row r="9" spans="1:23" x14ac:dyDescent="0.2">
      <c r="A9" s="17"/>
      <c r="B9" s="18"/>
      <c r="C9" s="19"/>
      <c r="D9" s="20"/>
      <c r="E9" s="17" t="s">
        <v>60</v>
      </c>
      <c r="F9" s="18"/>
      <c r="G9" s="19"/>
      <c r="H9" s="20"/>
      <c r="I9" s="17"/>
      <c r="J9" s="18"/>
      <c r="K9" s="19"/>
      <c r="L9" s="20"/>
      <c r="M9" s="17" t="s">
        <v>61</v>
      </c>
      <c r="N9" s="18"/>
      <c r="O9" s="19" t="s">
        <v>62</v>
      </c>
      <c r="P9" s="20"/>
      <c r="Q9" s="17"/>
      <c r="R9" s="18"/>
      <c r="S9" s="19"/>
      <c r="T9" s="20"/>
      <c r="U9" s="17"/>
      <c r="V9" s="18"/>
    </row>
    <row r="10" spans="1:23" x14ac:dyDescent="0.2">
      <c r="A10" s="17"/>
      <c r="B10" s="18"/>
      <c r="C10" s="19"/>
      <c r="D10" s="20"/>
      <c r="E10" s="17" t="s">
        <v>83</v>
      </c>
      <c r="F10" s="18"/>
      <c r="G10" s="19"/>
      <c r="H10" s="20"/>
      <c r="I10" s="17"/>
      <c r="J10" s="18"/>
      <c r="K10" s="19"/>
      <c r="L10" s="20"/>
      <c r="M10" s="17" t="s">
        <v>65</v>
      </c>
      <c r="N10" s="18"/>
      <c r="O10" s="19" t="s">
        <v>66</v>
      </c>
      <c r="P10" s="20"/>
      <c r="Q10" s="17"/>
      <c r="R10" s="18"/>
      <c r="S10" s="19"/>
      <c r="T10" s="20"/>
      <c r="U10" s="17"/>
      <c r="V10" s="18"/>
    </row>
    <row r="11" spans="1:23" x14ac:dyDescent="0.2">
      <c r="A11" s="17"/>
      <c r="B11" s="18"/>
      <c r="C11" s="19"/>
      <c r="D11" s="20"/>
      <c r="E11" s="17" t="s">
        <v>84</v>
      </c>
      <c r="F11" s="18"/>
      <c r="G11" s="19"/>
      <c r="H11" s="20"/>
      <c r="I11" s="17"/>
      <c r="J11" s="18"/>
      <c r="K11" s="19"/>
      <c r="L11" s="20"/>
      <c r="M11" s="17" t="s">
        <v>68</v>
      </c>
      <c r="N11" s="18"/>
      <c r="O11" s="19"/>
      <c r="P11" s="20"/>
      <c r="Q11" s="17"/>
      <c r="R11" s="18"/>
      <c r="S11" s="19"/>
      <c r="T11" s="20"/>
      <c r="U11" s="17"/>
      <c r="V11" s="18"/>
    </row>
    <row r="12" spans="1:23" ht="16.5" customHeight="1" x14ac:dyDescent="0.2">
      <c r="A12" s="29"/>
      <c r="B12" s="30"/>
      <c r="C12" s="31"/>
      <c r="D12" s="32"/>
      <c r="E12" s="29" t="s">
        <v>85</v>
      </c>
      <c r="F12" s="30"/>
      <c r="G12" s="31"/>
      <c r="H12" s="32"/>
      <c r="I12" s="29"/>
      <c r="J12" s="30"/>
      <c r="K12" s="31"/>
      <c r="L12" s="32"/>
      <c r="M12" s="29" t="s">
        <v>70</v>
      </c>
      <c r="N12" s="30"/>
      <c r="O12" s="31"/>
      <c r="P12" s="32"/>
      <c r="Q12" s="29"/>
      <c r="R12" s="30"/>
      <c r="S12" s="31"/>
      <c r="T12" s="32"/>
      <c r="U12" s="29"/>
      <c r="V12" s="30"/>
    </row>
    <row r="13" spans="1:23" x14ac:dyDescent="0.2">
      <c r="V13" s="40" t="s">
        <v>76</v>
      </c>
    </row>
    <row r="14" spans="1:23" x14ac:dyDescent="0.2">
      <c r="E14" s="51"/>
      <c r="F14" s="51" t="s">
        <v>86</v>
      </c>
      <c r="G14" s="51" t="s">
        <v>87</v>
      </c>
      <c r="V14" s="40" t="s">
        <v>77</v>
      </c>
    </row>
    <row r="15" spans="1:23" x14ac:dyDescent="0.2">
      <c r="E15" s="5" t="s">
        <v>16</v>
      </c>
      <c r="F15" s="5" t="s">
        <v>27</v>
      </c>
      <c r="G15" s="5" t="s">
        <v>39</v>
      </c>
      <c r="H15" s="5" t="s">
        <v>45</v>
      </c>
      <c r="I15" s="5" t="s">
        <v>51</v>
      </c>
    </row>
    <row r="16" spans="1:23" x14ac:dyDescent="0.2">
      <c r="E16" s="5" t="s">
        <v>27</v>
      </c>
    </row>
    <row r="17" spans="5:8" x14ac:dyDescent="0.2">
      <c r="E17" s="5" t="s">
        <v>39</v>
      </c>
    </row>
    <row r="18" spans="5:8" x14ac:dyDescent="0.2">
      <c r="E18" s="5" t="s">
        <v>45</v>
      </c>
    </row>
    <row r="19" spans="5:8" x14ac:dyDescent="0.2">
      <c r="E19" s="5" t="s">
        <v>51</v>
      </c>
    </row>
    <row r="20" spans="5:8" x14ac:dyDescent="0.2">
      <c r="E20" s="5" t="s">
        <v>56</v>
      </c>
      <c r="F20" s="5" t="s">
        <v>60</v>
      </c>
      <c r="G20" s="5" t="s">
        <v>63</v>
      </c>
      <c r="H20" s="5" t="s">
        <v>67</v>
      </c>
    </row>
    <row r="21" spans="5:8" x14ac:dyDescent="0.2">
      <c r="E21" s="5" t="s">
        <v>60</v>
      </c>
    </row>
    <row r="22" spans="5:8" x14ac:dyDescent="0.2">
      <c r="E22" s="5" t="s">
        <v>63</v>
      </c>
    </row>
    <row r="23" spans="5:8" x14ac:dyDescent="0.2">
      <c r="E23" s="5" t="s">
        <v>67</v>
      </c>
    </row>
    <row r="24" spans="5:8" x14ac:dyDescent="0.2">
      <c r="E24" s="5" t="s">
        <v>88</v>
      </c>
      <c r="F24" s="5" t="s">
        <v>71</v>
      </c>
      <c r="G24" s="5" t="s">
        <v>72</v>
      </c>
      <c r="H24" s="5" t="s">
        <v>73</v>
      </c>
    </row>
    <row r="25" spans="5:8" x14ac:dyDescent="0.2">
      <c r="E25" s="5" t="s">
        <v>71</v>
      </c>
    </row>
    <row r="26" spans="5:8" x14ac:dyDescent="0.2">
      <c r="E26" s="5" t="s">
        <v>72</v>
      </c>
    </row>
    <row r="27" spans="5:8" x14ac:dyDescent="0.2">
      <c r="E27" s="5" t="s">
        <v>73</v>
      </c>
    </row>
  </sheetData>
  <mergeCells count="11">
    <mergeCell ref="V1:V2"/>
    <mergeCell ref="L1:L2"/>
    <mergeCell ref="N1:N2"/>
    <mergeCell ref="P1:P2"/>
    <mergeCell ref="R1:R2"/>
    <mergeCell ref="T1:T2"/>
    <mergeCell ref="B1:B2"/>
    <mergeCell ref="D1:D2"/>
    <mergeCell ref="F1:F2"/>
    <mergeCell ref="H1:H2"/>
    <mergeCell ref="J1:J2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7"/>
  <sheetViews>
    <sheetView zoomScaleNormal="100" workbookViewId="0">
      <selection activeCell="E15" sqref="E15"/>
    </sheetView>
  </sheetViews>
  <sheetFormatPr baseColWidth="10" defaultColWidth="10.6640625" defaultRowHeight="16" x14ac:dyDescent="0.2"/>
  <cols>
    <col min="1" max="1" width="28.6640625" customWidth="1"/>
    <col min="2" max="2" width="8.6640625" customWidth="1"/>
    <col min="3" max="3" width="47.83203125" customWidth="1"/>
  </cols>
  <sheetData>
    <row r="1" spans="1:11" s="53" customFormat="1" ht="31.5" customHeight="1" x14ac:dyDescent="0.2">
      <c r="A1" s="52" t="s">
        <v>89</v>
      </c>
      <c r="B1" s="52" t="s">
        <v>90</v>
      </c>
      <c r="C1" s="52" t="s">
        <v>86</v>
      </c>
    </row>
    <row r="2" spans="1:11" x14ac:dyDescent="0.2">
      <c r="A2" s="54" t="s">
        <v>0</v>
      </c>
      <c r="B2" s="55">
        <v>3</v>
      </c>
      <c r="C2" s="54" t="s">
        <v>91</v>
      </c>
    </row>
    <row r="3" spans="1:11" x14ac:dyDescent="0.2">
      <c r="A3" s="54" t="s">
        <v>2</v>
      </c>
      <c r="B3" s="55">
        <v>2</v>
      </c>
      <c r="C3" s="54" t="s">
        <v>92</v>
      </c>
    </row>
    <row r="4" spans="1:11" x14ac:dyDescent="0.2">
      <c r="A4" s="54" t="s">
        <v>93</v>
      </c>
      <c r="B4" s="55">
        <v>10</v>
      </c>
      <c r="C4" s="54" t="s">
        <v>94</v>
      </c>
    </row>
    <row r="5" spans="1:11" x14ac:dyDescent="0.2">
      <c r="A5" s="54" t="s">
        <v>95</v>
      </c>
      <c r="B5" s="55">
        <v>4</v>
      </c>
      <c r="C5" s="54" t="s">
        <v>96</v>
      </c>
    </row>
    <row r="6" spans="1:11" x14ac:dyDescent="0.2">
      <c r="A6" s="54" t="s">
        <v>5</v>
      </c>
      <c r="B6" s="55">
        <v>6</v>
      </c>
      <c r="C6" s="54" t="s">
        <v>97</v>
      </c>
    </row>
    <row r="7" spans="1:11" x14ac:dyDescent="0.2">
      <c r="A7" s="54" t="s">
        <v>6</v>
      </c>
      <c r="B7" s="55">
        <v>2</v>
      </c>
      <c r="C7" s="54" t="s">
        <v>98</v>
      </c>
    </row>
    <row r="8" spans="1:11" x14ac:dyDescent="0.2">
      <c r="A8" s="54" t="s">
        <v>7</v>
      </c>
      <c r="B8" s="55">
        <v>9</v>
      </c>
      <c r="C8" s="54" t="s">
        <v>99</v>
      </c>
    </row>
    <row r="9" spans="1:11" x14ac:dyDescent="0.2">
      <c r="A9" s="54" t="s">
        <v>8</v>
      </c>
      <c r="B9" s="55">
        <v>8</v>
      </c>
      <c r="C9" s="54" t="s">
        <v>100</v>
      </c>
    </row>
    <row r="10" spans="1:11" x14ac:dyDescent="0.2">
      <c r="A10" s="54" t="s">
        <v>9</v>
      </c>
      <c r="B10" s="55">
        <v>2</v>
      </c>
      <c r="C10" s="54" t="s">
        <v>101</v>
      </c>
    </row>
    <row r="11" spans="1:11" x14ac:dyDescent="0.2">
      <c r="A11" s="54" t="s">
        <v>10</v>
      </c>
      <c r="B11" s="55">
        <v>5</v>
      </c>
      <c r="C11" s="54" t="s">
        <v>102</v>
      </c>
    </row>
    <row r="12" spans="1:11" x14ac:dyDescent="0.2">
      <c r="A12" s="54" t="s">
        <v>11</v>
      </c>
      <c r="B12" s="55">
        <v>2</v>
      </c>
      <c r="C12" s="54" t="s">
        <v>103</v>
      </c>
    </row>
    <row r="13" spans="1:11" x14ac:dyDescent="0.2">
      <c r="A13" s="56" t="s">
        <v>104</v>
      </c>
      <c r="B13" s="57">
        <v>1</v>
      </c>
      <c r="C13" s="56" t="s">
        <v>105</v>
      </c>
    </row>
    <row r="15" spans="1:11" s="60" customFormat="1" ht="48" customHeight="1" x14ac:dyDescent="0.2">
      <c r="A15" s="58" t="s">
        <v>0</v>
      </c>
      <c r="B15" s="59" t="s">
        <v>2</v>
      </c>
      <c r="C15" s="58" t="s">
        <v>93</v>
      </c>
      <c r="D15" s="59" t="s">
        <v>95</v>
      </c>
      <c r="E15" s="58" t="s">
        <v>5</v>
      </c>
      <c r="F15" s="59" t="s">
        <v>6</v>
      </c>
      <c r="G15" s="58" t="s">
        <v>7</v>
      </c>
      <c r="H15" s="59" t="s">
        <v>8</v>
      </c>
      <c r="I15" s="58" t="s">
        <v>9</v>
      </c>
      <c r="J15" s="59" t="s">
        <v>10</v>
      </c>
      <c r="K15" s="58" t="s">
        <v>11</v>
      </c>
    </row>
    <row r="16" spans="1:11" s="60" customFormat="1" x14ac:dyDescent="0.2">
      <c r="A16" s="61">
        <v>3</v>
      </c>
      <c r="B16" s="62">
        <v>2</v>
      </c>
      <c r="C16" s="61">
        <v>10</v>
      </c>
      <c r="D16" s="62">
        <v>4</v>
      </c>
      <c r="E16" s="61">
        <v>6</v>
      </c>
      <c r="F16" s="62">
        <v>2</v>
      </c>
      <c r="G16" s="61">
        <v>9</v>
      </c>
      <c r="H16" s="62">
        <v>8</v>
      </c>
      <c r="I16" s="61">
        <v>2</v>
      </c>
      <c r="J16" s="62">
        <v>5</v>
      </c>
      <c r="K16" s="61">
        <v>2</v>
      </c>
    </row>
    <row r="17" spans="1:11" s="60" customFormat="1" ht="79.5" customHeight="1" x14ac:dyDescent="0.2">
      <c r="A17" s="63" t="s">
        <v>91</v>
      </c>
      <c r="B17" s="64" t="s">
        <v>92</v>
      </c>
      <c r="C17" s="63" t="s">
        <v>94</v>
      </c>
      <c r="D17" s="64" t="s">
        <v>96</v>
      </c>
      <c r="E17" s="63" t="s">
        <v>97</v>
      </c>
      <c r="F17" s="64" t="s">
        <v>98</v>
      </c>
      <c r="G17" s="63" t="s">
        <v>99</v>
      </c>
      <c r="H17" s="64" t="s">
        <v>100</v>
      </c>
      <c r="I17" s="63" t="s">
        <v>101</v>
      </c>
      <c r="J17" s="64" t="s">
        <v>102</v>
      </c>
      <c r="K17" s="63" t="s">
        <v>103</v>
      </c>
    </row>
  </sheetData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3"/>
  <sheetViews>
    <sheetView zoomScaleNormal="100" workbookViewId="0">
      <selection activeCell="E15" sqref="E15"/>
    </sheetView>
  </sheetViews>
  <sheetFormatPr baseColWidth="10" defaultColWidth="10.6640625" defaultRowHeight="16" x14ac:dyDescent="0.2"/>
  <cols>
    <col min="1" max="1" width="28.6640625" customWidth="1"/>
    <col min="2" max="2" width="8.6640625" customWidth="1"/>
    <col min="3" max="3" width="47.83203125" customWidth="1"/>
  </cols>
  <sheetData>
    <row r="1" spans="1:3" s="53" customFormat="1" ht="31.5" customHeight="1" x14ac:dyDescent="0.2">
      <c r="A1" s="52" t="s">
        <v>89</v>
      </c>
      <c r="B1" s="52" t="s">
        <v>90</v>
      </c>
      <c r="C1" s="52" t="s">
        <v>86</v>
      </c>
    </row>
    <row r="2" spans="1:3" x14ac:dyDescent="0.2">
      <c r="A2" s="54" t="s">
        <v>0</v>
      </c>
      <c r="B2" s="55">
        <v>3</v>
      </c>
      <c r="C2" s="54" t="s">
        <v>91</v>
      </c>
    </row>
    <row r="3" spans="1:3" x14ac:dyDescent="0.2">
      <c r="A3" s="54" t="s">
        <v>2</v>
      </c>
      <c r="B3" s="55">
        <v>2</v>
      </c>
      <c r="C3" s="54" t="s">
        <v>92</v>
      </c>
    </row>
    <row r="4" spans="1:3" x14ac:dyDescent="0.2">
      <c r="A4" s="54" t="s">
        <v>93</v>
      </c>
      <c r="B4" s="55">
        <v>10</v>
      </c>
      <c r="C4" s="54" t="s">
        <v>94</v>
      </c>
    </row>
    <row r="5" spans="1:3" x14ac:dyDescent="0.2">
      <c r="A5" s="54" t="s">
        <v>95</v>
      </c>
      <c r="B5" s="55">
        <v>4</v>
      </c>
      <c r="C5" s="54" t="s">
        <v>96</v>
      </c>
    </row>
    <row r="6" spans="1:3" x14ac:dyDescent="0.2">
      <c r="A6" s="54" t="s">
        <v>5</v>
      </c>
      <c r="B6" s="55">
        <v>6</v>
      </c>
      <c r="C6" s="54" t="s">
        <v>97</v>
      </c>
    </row>
    <row r="7" spans="1:3" x14ac:dyDescent="0.2">
      <c r="A7" s="54" t="s">
        <v>6</v>
      </c>
      <c r="B7" s="55">
        <v>2</v>
      </c>
      <c r="C7" s="54" t="s">
        <v>98</v>
      </c>
    </row>
    <row r="8" spans="1:3" x14ac:dyDescent="0.2">
      <c r="A8" s="54" t="s">
        <v>7</v>
      </c>
      <c r="B8" s="55">
        <v>9</v>
      </c>
      <c r="C8" s="54" t="s">
        <v>99</v>
      </c>
    </row>
    <row r="9" spans="1:3" x14ac:dyDescent="0.2">
      <c r="A9" s="54" t="s">
        <v>8</v>
      </c>
      <c r="B9" s="55">
        <v>8</v>
      </c>
      <c r="C9" s="54" t="s">
        <v>100</v>
      </c>
    </row>
    <row r="10" spans="1:3" x14ac:dyDescent="0.2">
      <c r="A10" s="54" t="s">
        <v>9</v>
      </c>
      <c r="B10" s="55">
        <v>2</v>
      </c>
      <c r="C10" s="54" t="s">
        <v>101</v>
      </c>
    </row>
    <row r="11" spans="1:3" x14ac:dyDescent="0.2">
      <c r="A11" s="54" t="s">
        <v>10</v>
      </c>
      <c r="B11" s="55">
        <v>5</v>
      </c>
      <c r="C11" s="54" t="s">
        <v>102</v>
      </c>
    </row>
    <row r="12" spans="1:3" x14ac:dyDescent="0.2">
      <c r="A12" s="54" t="s">
        <v>11</v>
      </c>
      <c r="B12" s="55">
        <v>2</v>
      </c>
      <c r="C12" s="54" t="s">
        <v>103</v>
      </c>
    </row>
    <row r="13" spans="1:3" x14ac:dyDescent="0.2">
      <c r="A13" s="56" t="s">
        <v>104</v>
      </c>
      <c r="B13" s="57">
        <v>1</v>
      </c>
      <c r="C13" s="56" t="s">
        <v>105</v>
      </c>
    </row>
  </sheetData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8-10-26 Screen_Candidates (4)</vt:lpstr>
      <vt:lpstr>8-10-26 Screen_Candidates (3)</vt:lpstr>
      <vt:lpstr>8-10-26 Screen_Candidates (2)</vt:lpstr>
      <vt:lpstr>8-10-26 Screen_Candidates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 Landry</dc:creator>
  <dc:description/>
  <cp:lastModifiedBy>Alan Landry</cp:lastModifiedBy>
  <cp:revision>0</cp:revision>
  <dcterms:created xsi:type="dcterms:W3CDTF">2026-08-10T18:13:39Z</dcterms:created>
  <dcterms:modified xsi:type="dcterms:W3CDTF">2026-08-18T18:41:04Z</dcterms:modified>
  <dc:language>en-US</dc:language>
</cp:coreProperties>
</file>